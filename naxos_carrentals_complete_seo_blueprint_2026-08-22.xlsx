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and Center" sheetId="1" r:id="rId5"/>
    <sheet state="visible" name="GSC Daily" sheetId="2" r:id="rId6"/>
    <sheet state="visible" name="GSC Queries" sheetId="3" r:id="rId7"/>
    <sheet state="visible" name="GSC Pages" sheetId="4" r:id="rId8"/>
    <sheet state="visible" name="Site Crawl" sheetId="5" r:id="rId9"/>
    <sheet state="visible" name="Keyword Universe" sheetId="6" r:id="rId10"/>
    <sheet state="visible" name="Fanout Matrix" sheetId="7" r:id="rId11"/>
    <sheet state="visible" name="URL Master Plan" sheetId="8" r:id="rId12"/>
    <sheet state="visible" name="Exact Content EN" sheetId="9" r:id="rId13"/>
    <sheet state="visible" name="Exact Content EL" sheetId="10" r:id="rId14"/>
    <sheet state="visible" name="PAA &amp; Answers" sheetId="11" r:id="rId15"/>
    <sheet state="visible" name="Schema JSON-LD" sheetId="12" r:id="rId16"/>
    <sheet state="visible" name="Internal Links" sheetId="13" r:id="rId17"/>
    <sheet state="visible" name="AI &amp; Crawl Files" sheetId="14" r:id="rId18"/>
    <sheet state="visible" name="Competitors" sheetId="15" r:id="rId19"/>
    <sheet state="visible" name="Redesign System" sheetId="16" r:id="rId20"/>
    <sheet state="visible" name="90-Day Plan" sheetId="17" r:id="rId21"/>
    <sheet state="visible" name="Sources &amp; Assumptions" sheetId="18" r:id="rId22"/>
  </sheets>
  <definedNames/>
  <calcPr/>
</workbook>
</file>

<file path=xl/sharedStrings.xml><?xml version="1.0" encoding="utf-8"?>
<sst xmlns="http://schemas.openxmlformats.org/spreadsheetml/2006/main" count="7967" uniqueCount="1948">
  <si>
    <t>GSC Landing Pages + Recovery Signals</t>
  </si>
  <si>
    <t>GSC Query Intelligence</t>
  </si>
  <si>
    <t>Current live status and sitemap presence are joined to the attached GSC page rows.</t>
  </si>
  <si>
    <t>Query totals are privacy-filtered and do not reconcile to site totals; use them directionally.</t>
  </si>
  <si>
    <t>GSC URL</t>
  </si>
  <si>
    <t>Query</t>
  </si>
  <si>
    <t>Language</t>
  </si>
  <si>
    <t>Clicks</t>
  </si>
  <si>
    <t>Cluster</t>
  </si>
  <si>
    <t>Impressions</t>
  </si>
  <si>
    <t>CTR</t>
  </si>
  <si>
    <t>Position</t>
  </si>
  <si>
    <t>Live status</t>
  </si>
  <si>
    <t>In sitemap</t>
  </si>
  <si>
    <t>Final URL</t>
  </si>
  <si>
    <t>Current title</t>
  </si>
  <si>
    <t>Missed clicks @ 4% CTR</t>
  </si>
  <si>
    <t>Action</t>
  </si>
  <si>
    <t>https://naxos-carrentals.com/en/fleet/scooters</t>
  </si>
  <si>
    <t>Missed clicks @ 5% CTR</t>
  </si>
  <si>
    <t>fast motor rental naxos</t>
  </si>
  <si>
    <t>English/Other</t>
  </si>
  <si>
    <t>Naxos guide</t>
  </si>
  <si>
    <t>Quick win</t>
  </si>
  <si>
    <t>404: This page could not be found.</t>
  </si>
  <si>
    <t>naxos scooter rental</t>
  </si>
  <si>
    <t>https://naxos-carrentals.com/en/guides/best-car-rental-naxos-reviews-comparison</t>
  </si>
  <si>
    <t>Scooters &amp; motorbikes</t>
  </si>
  <si>
    <t>https://naxos-carrentals.com/en/about</t>
  </si>
  <si>
    <t>Car rental in Naxos, Greece | Fast Motor Rental Naxos | Fast Motor Rental Naxos</t>
  </si>
  <si>
    <t>fast motor car rental naxos</t>
  </si>
  <si>
    <t>https://naxos-carrentals.com/it/guides/parking-in-naxos</t>
  </si>
  <si>
    <t>Core car rental</t>
  </si>
  <si>
    <t>best car rental naxos</t>
  </si>
  <si>
    <t>Reviews &amp; comparison</t>
  </si>
  <si>
    <t>Parcheggio a Naxos: dove e come | Fast Motor Rental Naxos | Fast Motor Rental Naxos</t>
  </si>
  <si>
    <t>https://naxos-carrentals.com/en/guides/idp-greece-rules</t>
  </si>
  <si>
    <t>scooter rental naxos</t>
  </si>
  <si>
    <t>https://naxos-carrentals.com/en/guides/driving-in-naxos</t>
  </si>
  <si>
    <t>Driving in Naxos: roads, rules and the 2026 traffic code | Fast… | Fast Motor Rental Naxos</t>
  </si>
  <si>
    <t>https://naxos-carrentals.com/en</t>
  </si>
  <si>
    <t>Car rental in Naxos, Greece | Fast Motor Rental Naxos</t>
  </si>
  <si>
    <t>ενοικιαση αυτοκινητου ναξοσ χωρισ πιστωτικη καρτα</t>
  </si>
  <si>
    <t>Greek</t>
  </si>
  <si>
    <t>https://naxos-carrentals.com/en/insurance</t>
  </si>
  <si>
    <t>Insurance &amp; payment</t>
  </si>
  <si>
    <t>Naxos Car Rental Insurance - Basic, Full &amp; Zero Excess CDW | Fas… | Fast Motor Rental Naxos</t>
  </si>
  <si>
    <t>rent scooter naxos</t>
  </si>
  <si>
    <t>https://naxos-carrentals.com/en/fleet/cars/suzuki-jimny</t>
  </si>
  <si>
    <t>Suzuki Jimny 4×4 | Fast Motor Rental Naxos | Fast Motor Rental Naxos</t>
  </si>
  <si>
    <t>https://naxos-carrentals.com/en/guides/naxos-car-rental-without-credit-card-insurance</t>
  </si>
  <si>
    <t>https://naxos-carrentals.com/en/guides/naxos-rent-a-car-prices-cost-breakdown</t>
  </si>
  <si>
    <t>Naxos Rent a Car Prices (2026): Average Costs &amp; Avoid Hidden Fee… | Fast Motor Rental Naxos</t>
  </si>
  <si>
    <t>https://naxos-carrentals.com/</t>
  </si>
  <si>
    <t>scooter rent naxos</t>
  </si>
  <si>
    <t>https://naxos-carrentals.com/it/guides/best-car-rental-naxos-reviews-comparison</t>
  </si>
  <si>
    <t>https://naxos-carrentals.com/it/about</t>
  </si>
  <si>
    <t>Noleggio auto a Naxos | Fast Motor Rental Naxos | Fast Motor Rental Naxos</t>
  </si>
  <si>
    <t>best naxos car rental</t>
  </si>
  <si>
    <t>https://naxos-carrentals.com/it/guides/naxos-car-rental-without-credit-card-insurance</t>
  </si>
  <si>
    <t>https://naxos-carrentals.com/it/guides/naxos-rent-a-car-prices-cost-breakdown</t>
  </si>
  <si>
    <t>Prezzi Noleggio Auto Naxos (2026): Costi Medi ed Evitare Costι N… | Fast Motor Rental Naxos</t>
  </si>
  <si>
    <t>https://naxos-carrentals.com/en/guides/do-you-need-a-car-in-naxos</t>
  </si>
  <si>
    <t>scooter naxos</t>
  </si>
  <si>
    <t>Do you need a car in Naxos? An honest 2026 guide | Fast Motor Re… | Fast Motor Rental Naxos</t>
  </si>
  <si>
    <t>https://naxos-carrentals.com/el/faq</t>
  </si>
  <si>
    <t>Naxos Organic Growth Command Center</t>
  </si>
  <si>
    <t>GSC actuals + live technical crawl + bilingual content, schema, AI discovery and premium redesign blueprint · 2026-08-22</t>
  </si>
  <si>
    <t>best car rental in naxos greece</t>
  </si>
  <si>
    <t>Συχνές Ερωτήσεις Ενοικίασης Αυτοκινήτου στη Νάξο (2026) | Fast M… | Fast Motor Rental Naxos</t>
  </si>
  <si>
    <t>Clicks · 68 days</t>
  </si>
  <si>
    <t>https://naxos-carrentals.com/en/locations/agia-anna</t>
  </si>
  <si>
    <t>Impressions · 68 days</t>
  </si>
  <si>
    <t>Car rental Agia Anna | Fast Motor Rental Naxos | Fast Motor Rental Naxos</t>
  </si>
  <si>
    <t>Organic CTR</t>
  </si>
  <si>
    <t>noleggio scooter naxos</t>
  </si>
  <si>
    <t>Italian</t>
  </si>
  <si>
    <t>https://naxos-carrentals.com/de/guides/naxos-car-rental-without-credit-card-insurance</t>
  </si>
  <si>
    <t>Weighted position</t>
  </si>
  <si>
    <t>https://naxos-carrentals.com/de/guides/naxos-rent-a-car-prices-cost-breakdown</t>
  </si>
  <si>
    <t>Mietwagenpreise auf Naxos (2026): Kosten &amp; Versteckte Gebühren |… | Fast Motor Rental Naxos</t>
  </si>
  <si>
    <t>Build</t>
  </si>
  <si>
    <t>https://naxos-carrentals.com/en/guides/new-greek-traffic-code-2026</t>
  </si>
  <si>
    <t>noleggio scooter naxos prezzi</t>
  </si>
  <si>
    <t>naxos rent quad</t>
  </si>
  <si>
    <t>ATV, quad &amp; buggy</t>
  </si>
  <si>
    <t>https://naxos-carrentals.com/en/guides/rent-a-car-naxos-port-vs-airport-pickup-guide</t>
  </si>
  <si>
    <t>noleggio motorino naxos</t>
  </si>
  <si>
    <t>https://naxos-carrentals.com/en/guides/naxos-airport-jnx-guide</t>
  </si>
  <si>
    <t>Naxos Airport (JNX) guide: car rental, transfers and what to exp… | Fast Motor Rental Naxos</t>
  </si>
  <si>
    <t>https://naxos-carrentals.com/el/guides/naxos-rent-a-car-prices-cost-breakdown</t>
  </si>
  <si>
    <t>automatic</t>
  </si>
  <si>
    <t>Other</t>
  </si>
  <si>
    <t>Τιμές Ενοικίασης Αυτοκινήτου στη Νάξο (2026): Κόστος &amp; Κρυφές Χρ… | Fast Motor Rental Naxos</t>
  </si>
  <si>
    <t>https://naxos-carrentals.com/en/fleet/cars</t>
  </si>
  <si>
    <t>naxos rent a scooter</t>
  </si>
  <si>
    <t>Momentum</t>
  </si>
  <si>
    <t>Rent a Car Naxos - Automatic, SUV, Family &amp; Compact | Fast Motor… | Fast Motor Rental Naxos</t>
  </si>
  <si>
    <t>P0 recovery signals</t>
  </si>
  <si>
    <t>https://naxos-carrentals.com/el/guides/naxos-car-rental-without-credit-card-insurance</t>
  </si>
  <si>
    <t>car rental naxos landing pages</t>
  </si>
  <si>
    <t>Metric</t>
  </si>
  <si>
    <t>Previous 28d</t>
  </si>
  <si>
    <t>Recent 28d</t>
  </si>
  <si>
    <t>28-day change</t>
  </si>
  <si>
    <t>Top GSC URL now 404</t>
  </si>
  <si>
    <t>100 clicks · 2,800 impressions</t>
  </si>
  <si>
    <t>/en/fleet/scooters</t>
  </si>
  <si>
    <t>scooter huren naxos</t>
  </si>
  <si>
    <t>https://naxos-carrentals.com/de/guides/best-car-rental-naxos-reviews-comparison</t>
  </si>
  <si>
    <t>Up</t>
  </si>
  <si>
    <t>GSC pages missing from sitemap</t>
  </si>
  <si>
    <t>of 92 page rows</t>
  </si>
  <si>
    <t>Duplicate brand in titles</t>
  </si>
  <si>
    <t>https://naxos-carrentals.com/de/about</t>
  </si>
  <si>
    <t>template defect</t>
  </si>
  <si>
    <t>Mietwagen auf Naxos | Fast Motor Rental Naxos | Fast Motor Rental Naxos</t>
  </si>
  <si>
    <t>rent a scooter naxos</t>
  </si>
  <si>
    <t>llms-full.txt</t>
  </si>
  <si>
    <t>https://naxos-carrentals.com/el/fleet/cars/toyota-aygo</t>
  </si>
  <si>
    <t>410 Gone</t>
  </si>
  <si>
    <t>create exact file</t>
  </si>
  <si>
    <t>Negative = improvement</t>
  </si>
  <si>
    <t>Winning redirects mismatch intent</t>
  </si>
  <si>
    <t>restore/repair first</t>
  </si>
  <si>
    <t>What the data says</t>
  </si>
  <si>
    <t>Execution order</t>
  </si>
  <si>
    <t>1</t>
  </si>
  <si>
    <t>Toyota Aygo X | Fast Motor Rental Naxos | Fast Motor Rental Naxos</t>
  </si>
  <si>
    <t>location scooter naxos</t>
  </si>
  <si>
    <t>Visibility is rising</t>
  </si>
  <si>
    <t>Recent 28d clicks +116% and impressions +74.6% versus the prior 28d.</t>
  </si>
  <si>
    <t>French</t>
  </si>
  <si>
    <t>W1</t>
  </si>
  <si>
    <t>Recover</t>
  </si>
  <si>
    <t>404, sitemap, redirects, duplicate titles</t>
  </si>
  <si>
    <t>2</t>
  </si>
  <si>
    <t>CTR remains the easiest gain</t>
  </si>
  <si>
    <t>Position is already around page-one territory, while recent 14d CTR fell 30.2% even as impressions grew.</t>
  </si>
  <si>
    <t>W2</t>
  </si>
  <si>
    <t>https://naxos-carrentals.com/el/guides/best-car-rental-naxos-reviews-comparison</t>
  </si>
  <si>
    <t>Lift CTR</t>
  </si>
  <si>
    <t>Deploy exact EN/EL titles and descriptions</t>
  </si>
  <si>
    <t>3</t>
  </si>
  <si>
    <t>international driving permit greece</t>
  </si>
  <si>
    <t>Scooters dominate proven demand</t>
  </si>
  <si>
    <t>The former scooter page owns the strongest landing-page signal but is currently lost to a 404.</t>
  </si>
  <si>
    <t>W3–5</t>
  </si>
  <si>
    <t>Build authority</t>
  </si>
  <si>
    <t>Naxos pillar, routes, prices, IDP, comparison</t>
  </si>
  <si>
    <t>Driving licence &amp; rules</t>
  </si>
  <si>
    <t>4</t>
  </si>
  <si>
    <t>Legacy guides still carry equity</t>
  </si>
  <si>
    <t>Reviews, IDP, price and pickup URLs appear in GSC; mismatched redirects waste that signal.</t>
  </si>
  <si>
    <t>W4–8</t>
  </si>
  <si>
    <t>Redesign</t>
  </si>
  <si>
    <t>Booking-first premium experience and trust proof</t>
  </si>
  <si>
    <t>https://naxos-carrentals.com/el/about</t>
  </si>
  <si>
    <t>5</t>
  </si>
  <si>
    <t>Ενοικίαση αυτοκινήτου στη Νάξο | Fast Motor Rental Naxos | Fast Motor Rental Naxos</t>
  </si>
  <si>
    <t>Greek needs native QA</t>
  </si>
  <si>
    <t>Greek guide and destination metadata contains English leakage and generic descriptions.</t>
  </si>
  <si>
    <t>W6–12</t>
  </si>
  <si>
    <t>Compound</t>
  </si>
  <si>
    <t>Internal links, entity proof, local editorial links</t>
  </si>
  <si>
    <t>https://naxos-carrentals.com/el/book</t>
  </si>
  <si>
    <t>GSC impressions</t>
  </si>
  <si>
    <t>naxos car rental reviews</t>
  </si>
  <si>
    <t>Κράτηση Αυτοκινήτου στη Νάξο - Ασφαλές Online Σύστημα | Fast Mot… | Fast Motor Rental Naxos</t>
  </si>
  <si>
    <t>https://naxos-carrentals.com/en/guides/naxos-mountain-villages-by-car</t>
  </si>
  <si>
    <t>best car rental in naxos</t>
  </si>
  <si>
    <t>Naxos mountain villages by car: Chalki, Filoti, Apeiranthos guid… | Fast Motor Rental Naxos</t>
  </si>
  <si>
    <t>https://naxos-carrentals.com/fr/guides/best-car-rental-naxos-reviews-comparison</t>
  </si>
  <si>
    <t>location de voiture agios prokopios</t>
  </si>
  <si>
    <t>https://naxos-carrentals.com/fr/about</t>
  </si>
  <si>
    <t>Location de voiture à Naxos | Fast Motor Rental Naxos | Fast Motor Rental Naxos</t>
  </si>
  <si>
    <t>https://naxos-carrentals.com/de/guides/rent-a-car-naxos-port-vs-airport-pickup-guide</t>
  </si>
  <si>
    <t>https://naxos-carrentals.com/de/guides/naxos-airport-jnx-guide</t>
  </si>
  <si>
    <t>Flughafen Naxos (JNX): kompletter Guide | Fast Motor Rental Naxos | Fast Motor Rental Naxos</t>
  </si>
  <si>
    <t>naxos rent a car</t>
  </si>
  <si>
    <t>https://naxos-carrentals.com/fr/locations/agios-prokopios</t>
  </si>
  <si>
    <t>Location Agios Prokopios | Fast Motor Rental Naxos | Fast Motor Rental Naxos</t>
  </si>
  <si>
    <t>best car rental naxos greece</t>
  </si>
  <si>
    <t>https://naxos-carrentals.com/it/pricing</t>
  </si>
  <si>
    <t>Prezzi Noleggio Auto Naxos - Trasparenti e All-Inclusive | Fast… | Fast Motor Rental Naxos</t>
  </si>
  <si>
    <t>https://naxos-carrentals.com/el/locations</t>
  </si>
  <si>
    <t>rent a car naxos</t>
  </si>
  <si>
    <t>Σημεία Παράδοσης Αυτοκινήτων στη Νάξο - Αεροδρόμιο, Λιμάνι, Ξενο… | Fast Motor Rental Naxos</t>
  </si>
  <si>
    <t>best car hire naxos</t>
  </si>
  <si>
    <t>https://naxos-carrentals.com/fr/guides</t>
  </si>
  <si>
    <t>naxos scooter rental prices</t>
  </si>
  <si>
    <t>Guides de Conduite Naxos - Itinéraires, Routes &amp; Astuces | Fast… | Fast Motor Rental Naxos</t>
  </si>
  <si>
    <t>https://naxos-carrentals.com/it</t>
  </si>
  <si>
    <t>naxos scooter</t>
  </si>
  <si>
    <t>Noleggio auto a Naxos | Fast Motor Rental Naxos</t>
  </si>
  <si>
    <t>https://naxos-carrentals.com/el/locations/agios-prokopios</t>
  </si>
  <si>
    <t>naxos scooter rent</t>
  </si>
  <si>
    <t>Ενοικίαση Αγίου Προκοπίου | Fast Motor Rental Naxos | Fast Motor Rental Naxos</t>
  </si>
  <si>
    <t>https://naxos-carrentals.com/fr/guides/naxos-car-rental-without-credit-card-insurance</t>
  </si>
  <si>
    <t>scooter hire agia anna</t>
  </si>
  <si>
    <t>https://naxos-carrentals.com/fr/guides/naxos-rent-a-car-prices-cost-breakdown</t>
  </si>
  <si>
    <t>Prix de Location de Voiture à Naxos (2026) : Coûts et Frais Cach… | Fast Motor Rental Naxos</t>
  </si>
  <si>
    <t>https://naxos-carrentals.com/el/fleet/cars/dacia-duster</t>
  </si>
  <si>
    <t>GSC Daily Performance</t>
  </si>
  <si>
    <t>scooter rental agia anna</t>
  </si>
  <si>
    <t>Attached Search Console export · Web · 2026-06-14 to 2026-08-20 · source CTR preserved and independently recalculated</t>
  </si>
  <si>
    <t>Date</t>
  </si>
  <si>
    <t>Dacia Duster | Fast Motor Rental Naxos | Fast Motor Rental Naxos</t>
  </si>
  <si>
    <t>https://naxos-carrentals.com/it/insurance</t>
  </si>
  <si>
    <t>hertz car rental - naxos, port reviews</t>
  </si>
  <si>
    <t>Airport &amp; port pickup</t>
  </si>
  <si>
    <t>Source CTR</t>
  </si>
  <si>
    <t>Recalculated CTR</t>
  </si>
  <si>
    <t>Assicurazione Noleggio Auto Naxos - Base, Full e Zero Franchigia… | Fast Motor Rental Naxos</t>
  </si>
  <si>
    <t>Data-quality flag</t>
  </si>
  <si>
    <t>https://naxos-carrentals.com/el/fleet</t>
  </si>
  <si>
    <t>naxos rent scooter</t>
  </si>
  <si>
    <t>Στόλος Ενοικιάσεων Αυτοκινήτων στη Νάξο | FMR Naxos | Fast Motor… | Fast Motor Rental Naxos</t>
  </si>
  <si>
    <t>Source export anomaly: impossible CTR with zero impressions</t>
  </si>
  <si>
    <t>rent a car naxos port</t>
  </si>
  <si>
    <t>https://naxos-carrentals.com/en/locations/mikri-vigla</t>
  </si>
  <si>
    <t>Car rental Mikri Vigla | Fast Motor Rental Naxos | Fast Motor Rental Naxos</t>
  </si>
  <si>
    <t>https://naxos-carrentals.com/en/fleet/cars/fiat-panda</t>
  </si>
  <si>
    <t>naxos rental scooter</t>
  </si>
  <si>
    <t>OK</t>
  </si>
  <si>
    <t>Fiat Panda | Fast Motor Rental Naxos | Fast Motor Rental Naxos</t>
  </si>
  <si>
    <t>https://naxos-carrentals.com/en/faq</t>
  </si>
  <si>
    <t>location voiture naxos</t>
  </si>
  <si>
    <t>Naxos Car Rental FAQ - 30+ Honest Answers (2026) | Fast Motor Re… | Fast Motor Rental Naxos</t>
  </si>
  <si>
    <t>https://naxos-carrentals.com/en/guides</t>
  </si>
  <si>
    <t>naxos car rental</t>
  </si>
  <si>
    <t>Naxos Driving Guides - Road Trips, Routes &amp; Local Tips | Fast Mo… | Fast Motor Rental Naxos</t>
  </si>
  <si>
    <t>https://naxos-carrentals.com/el/guides/rent-a-car-naxos-port-vs-airport-pickup-guide</t>
  </si>
  <si>
    <t>scooter rental agia anna airport</t>
  </si>
  <si>
    <t>https://naxos-carrentals.com/el/guides/naxos-airport-jnx-guide</t>
  </si>
  <si>
    <t>Αεροδρόμιο Νάξου (JNX): όλα όσα πρέπει να ξέρετε | Fast Motor Re… | Fast Motor Rental Naxos</t>
  </si>
  <si>
    <t>https://naxos-carrentals.com/de/faq</t>
  </si>
  <si>
    <t>scooter hire naxos</t>
  </si>
  <si>
    <t>Naxos Mietwagen FAQ - 30+ Ehrliche Antworten (2026) | Fast Motor… | Fast Motor Rental Naxos</t>
  </si>
  <si>
    <t>https://naxos-carrentals.com/en/guides/best-beaches-by-car-naxos</t>
  </si>
  <si>
    <t>Naxos beaches by car: the complete beach-hopper&amp;#x27;s guide 2026 | F… | Fast Motor Rental Naxos</t>
  </si>
  <si>
    <t>scooter naxos rental</t>
  </si>
  <si>
    <t>https://naxos-carrentals.com/de/locations/port-pickup</t>
  </si>
  <si>
    <t>Mietwagen Hafen Naxos | Fast Motor Rental Naxos | Fast Motor Rental Naxos</t>
  </si>
  <si>
    <t>https://naxos-carrentals.com/el/guides</t>
  </si>
  <si>
    <t>noleggio auto naxos</t>
  </si>
  <si>
    <t>Οδηγοί Οδήγησης στη Νάξο - Road Trip, Διαδρομές &amp; Συμβουλές | Fa… | Fast Motor Rental Naxos</t>
  </si>
  <si>
    <t>autovermietung naxos</t>
  </si>
  <si>
    <t>https://naxos-carrentals.com/el/fleet/collections/automatic</t>
  </si>
  <si>
    <t>Αυτόματο Αυτοκίνητα | Fast Motor Rental Naxos | Fast Motor Rental Naxos</t>
  </si>
  <si>
    <t>cma rent a car naxos reviews</t>
  </si>
  <si>
    <t>https://naxos-carrentals.com/en/terms</t>
  </si>
  <si>
    <t>rent scooter naxos greece</t>
  </si>
  <si>
    <t>avis naxos reviews</t>
  </si>
  <si>
    <t>Terms &amp; Conditions - Fast Motor Rental Naxos | Fast Motor Rental Naxos</t>
  </si>
  <si>
    <t>naxos noleggio scooter</t>
  </si>
  <si>
    <t>car rental naxos</t>
  </si>
  <si>
    <t>Live Technical Crawl</t>
  </si>
  <si>
    <t>Audited 149 current/surfaced URLs on 2026-08-22.</t>
  </si>
  <si>
    <t>Defend</t>
  </si>
  <si>
    <t>https://naxos-carrentals.com/el/cancellation</t>
  </si>
  <si>
    <t>naxos way car rental</t>
  </si>
  <si>
    <t>URL</t>
  </si>
  <si>
    <t>Πολιτική Ακύρωσης | Fast Motor Rental Naxos | Fast Motor Rental Naxos</t>
  </si>
  <si>
    <t>https://naxos-carrentals.com/en/fleet</t>
  </si>
  <si>
    <t>Locale</t>
  </si>
  <si>
    <t>giotis rentals naxos</t>
  </si>
  <si>
    <t>Status</t>
  </si>
  <si>
    <t>Naxos Car Rental Fleet - SUVs, Automatics &amp; Compacts | Fast Moto… | Fast Motor Rental Naxos</t>
  </si>
  <si>
    <t>Canonical</t>
  </si>
  <si>
    <t>https://naxos-carrentals.com/it/guides/best-beaches-by-car-naxos</t>
  </si>
  <si>
    <t>Self canonical</t>
  </si>
  <si>
    <t>scooter2ride naxos</t>
  </si>
  <si>
    <t>Title</t>
  </si>
  <si>
    <t>Title chars</t>
  </si>
  <si>
    <t>Meta description</t>
  </si>
  <si>
    <t>Spiagge di Naxos in auto: guida | Fast Motor Rental Naxos | Fast Motor Rental Naxos</t>
  </si>
  <si>
    <t>Meta chars</t>
  </si>
  <si>
    <t>https://naxos-carrentals.com/fr/locations/plaka</t>
  </si>
  <si>
    <t>H1 count</t>
  </si>
  <si>
    <t>H1</t>
  </si>
  <si>
    <t>naxos rent a car reviews</t>
  </si>
  <si>
    <t>Hreflang count</t>
  </si>
  <si>
    <t>Schema types</t>
  </si>
  <si>
    <t>Location Plaka | Fast Motor Rental Naxos | Fast Motor Rental Naxos</t>
  </si>
  <si>
    <t>Invalid JSON-LD</t>
  </si>
  <si>
    <t>Words</t>
  </si>
  <si>
    <t>https://naxos-carrentals.com/en/locations/naxos-town</t>
  </si>
  <si>
    <t>Images</t>
  </si>
  <si>
    <t>Missing alt</t>
  </si>
  <si>
    <t>ναξοσ ενοικιαση αυτοκινητου</t>
  </si>
  <si>
    <t>Internal links</t>
  </si>
  <si>
    <t>GSC clicks</t>
  </si>
  <si>
    <t>Car rental Naxos Town (Chora) | Fast Motor Rental Naxos | Fast Motor Rental Naxos</t>
  </si>
  <si>
    <t>GSC CTR</t>
  </si>
  <si>
    <t>https://naxos-carrentals.com/en/fleet/cars/kia-sportage</t>
  </si>
  <si>
    <t>GSC position</t>
  </si>
  <si>
    <t>naxos moped rental</t>
  </si>
  <si>
    <t>root</t>
  </si>
  <si>
    <t>Kia Sportage | Fast Motor Rental Naxos | Fast Motor Rental Naxos</t>
  </si>
  <si>
    <t>https://naxos-carrentals.com/en/contact</t>
  </si>
  <si>
    <t>moped rental naxos</t>
  </si>
  <si>
    <t>Fast Motor Rental Naxos · Car rental in Naxos, Greece | Fast Motor Rental Naxos</t>
  </si>
  <si>
    <t>Car rental in Naxos, Greece</t>
  </si>
  <si>
    <t>https://naxos-carrentals.com/it/locations/naxos-town</t>
  </si>
  <si>
    <t>scooter rental giardini naxos</t>
  </si>
  <si>
    <t>Rent a car on Naxos</t>
  </si>
  <si>
    <t>Not crawled</t>
  </si>
  <si>
    <t>AutoRental, BreadcrumbList, ListItem, LocalBusiness, Organization, WebSite</t>
  </si>
  <si>
    <t>https://naxos-carrentals.com/it/fleet</t>
  </si>
  <si>
    <t>wheelso car rental - naxos reviews</t>
  </si>
  <si>
    <t>Flotta Noleggio Auto Naxos - FMR Car Rental | Fast Motor Rental… | Fast Motor Rental Naxos</t>
  </si>
  <si>
    <t>https://naxos-carrentals.com/fr/locations/agia-anna</t>
  </si>
  <si>
    <t>naxos location scooter</t>
  </si>
  <si>
    <t>https://naxos-carrentals.com/de</t>
  </si>
  <si>
    <t>de</t>
  </si>
  <si>
    <t>https://naxos-carrentals.com/it/guides/rent-a-car-naxos-port-vs-airport-pickup-guide</t>
  </si>
  <si>
    <t>https://naxos-carrentals.com/el/fleet/cars/kia-picanto</t>
  </si>
  <si>
    <t>hertz naxos port</t>
  </si>
  <si>
    <t>Mietwagen auf Naxos | Fast Motor Rental Naxos</t>
  </si>
  <si>
    <t>Mietwagen auf Naxos</t>
  </si>
  <si>
    <t>Kia Picanto | Fast Motor Rental Naxos | Fast Motor Rental Naxos</t>
  </si>
  <si>
    <t>https://naxos-carrentals.com/de/guides</t>
  </si>
  <si>
    <t>φθηνη ενοικιαση αυτοκινητου ναξοσ</t>
  </si>
  <si>
    <t>Price &amp; value</t>
  </si>
  <si>
    <t>Auto auf Naxos mieten</t>
  </si>
  <si>
    <t>Naxos Fahrtipps - Routen, Roadtrips &amp; Lokale Hinweise | Fast Mot… | Fast Motor Rental Naxos</t>
  </si>
  <si>
    <t>https://naxos-carrentals.com/en/fleet/cars/citroen-c3</t>
  </si>
  <si>
    <t>naxos car rentals</t>
  </si>
  <si>
    <t>Citroen C3 | Fast Motor Rental Naxos | Fast Motor Rental Naxos</t>
  </si>
  <si>
    <t>https://naxos-carrentals.com/el/insurance</t>
  </si>
  <si>
    <t>naxos buggy rental</t>
  </si>
  <si>
    <t>https://naxos-carrentals.com/fr/fleet/cars</t>
  </si>
  <si>
    <t>ενοικιαση αυτοκινητου ναξοσ</t>
  </si>
  <si>
    <t>Location Voiture Naxos - Automatiques, SUV &amp; Vans | Fast Motor R… | Fast Motor Rental Naxos</t>
  </si>
  <si>
    <t>https://naxos-carrentals.com/fr</t>
  </si>
  <si>
    <t>moped rental agia anna</t>
  </si>
  <si>
    <t>Ehrliche Antworten zur Anmietung eines Autos auf Naxos 2026: Führerscheine, Alter, Versicherung, Kaution, Automatik, Fähre.</t>
  </si>
  <si>
    <t>Location de voiture à Naxos | Fast Motor Rental Naxos</t>
  </si>
  <si>
    <t>FAQ Mietwagen Naxos</t>
  </si>
  <si>
    <t>https://naxos-carrentals.com/fr/guides/idp-greece-rules</t>
  </si>
  <si>
    <t>ενοικιαση αυτοκινητου ναξος</t>
  </si>
  <si>
    <t>https://naxos-carrentals.com/fr/guides/rent-a-car-naxos-port-vs-airport-pickup-guide</t>
  </si>
  <si>
    <t>https://naxos-carrentals.com/fr/fleet/cars/fiat-panda</t>
  </si>
  <si>
    <t>greece</t>
  </si>
  <si>
    <t>https://naxos-carrentals.com/de/fleet</t>
  </si>
  <si>
    <t>naxos top drive reviews</t>
  </si>
  <si>
    <t>https://naxos-carrentals.com/de/cancellation</t>
  </si>
  <si>
    <t>Mietwagenflotte Naxos - FMR Autovermietung | Fast Motor Rental N… | Fast Motor Rental Naxos</t>
  </si>
  <si>
    <t>https://naxos-carrentals.com/it/gdpr</t>
  </si>
  <si>
    <t>naxos scooter hire</t>
  </si>
  <si>
    <t>Unsere Flotte auf Naxos</t>
  </si>
  <si>
    <t>https://naxos-carrentals.com/de/book</t>
  </si>
  <si>
    <t>naxos auto rent reviews</t>
  </si>
  <si>
    <t>https://naxos-carrentals.com/el/fleet/collections/family-7-seater</t>
  </si>
  <si>
    <t>φθηνα ενοικιαζομενα αυτοκινητα ναξοσ</t>
  </si>
  <si>
    <t>Οικογένειες · 7 θέσεις | Fast Motor Rental Naxos | Fast Motor Rental Naxos</t>
  </si>
  <si>
    <t>https://naxos-carrentals.com/el</t>
  </si>
  <si>
    <t>https://naxos-carrentals.com/de/fleet/cars</t>
  </si>
  <si>
    <t>Ενοικίαση αυτοκινήτου στη Νάξο | Fast Motor Rental Naxos</t>
  </si>
  <si>
    <t>ναξοσ ενοικιαζομενα αυτοκινητα</t>
  </si>
  <si>
    <t>https://naxos-carrentals.com/en/locations</t>
  </si>
  <si>
    <t>Autovermietung Naxos - Automatik, SUV &amp; Kleinwagen | Fast Motor… | Fast Motor Rental Naxos</t>
  </si>
  <si>
    <t>https://naxos-carrentals.com/en/fleet/cars/dacia-duster</t>
  </si>
  <si>
    <t>naxos auto rent</t>
  </si>
  <si>
    <t>Autos - vom Kompakten zum 7-Sitzer &amp; 4×4</t>
  </si>
  <si>
    <t>noleggio motorini naxos</t>
  </si>
  <si>
    <t>ενοικιαζομενα μηχανακια ναξοσ</t>
  </si>
  <si>
    <t>https://naxos-carrentals.com/fr/locations</t>
  </si>
  <si>
    <t>https://naxos-carrentals.com/de/fleet/cars/citroen-berlingo-7</t>
  </si>
  <si>
    <t>buggy rental naxos</t>
  </si>
  <si>
    <t>https://naxos-carrentals.com/en/fleet/cars/toyota-rav4</t>
  </si>
  <si>
    <t>noleggio quad naxos</t>
  </si>
  <si>
    <t>Toyota RAV4 Hybrid | Fast Motor Rental Naxos | Fast Motor Rental Naxos</t>
  </si>
  <si>
    <t>Citroen Berlingo 7-seater | Fast Motor Rental Naxos | Fast Motor Rental Naxos</t>
  </si>
  <si>
    <t>https://naxos-carrentals.com/fr/fleet/cars/toyota-aygo</t>
  </si>
  <si>
    <t>rent quad naxos</t>
  </si>
  <si>
    <t>Citroen Berlingo 7-seater</t>
  </si>
  <si>
    <t>car rental naxos _landing pages</t>
  </si>
  <si>
    <t>AutoRental, Brand, BreadcrumbList, EngineSpecification, ListItem, LocalBusiness, Organization, Product, QuantitativeValue, WebSite</t>
  </si>
  <si>
    <t>car rental in naxos</t>
  </si>
  <si>
    <t>https://naxos-carrentals.com/de/fleet/cars/hyundai-i10</t>
  </si>
  <si>
    <t>naxos car rental recommendations</t>
  </si>
  <si>
    <t>https://naxos-carrentals.com/de/fleet/cars/citroen-c3</t>
  </si>
  <si>
    <t>Hyundai i10 | Fast Motor Rental Naxos | Fast Motor Rental Naxos</t>
  </si>
  <si>
    <t>https://naxos-carrentals.com/de/fleet/cars/peugeot-208</t>
  </si>
  <si>
    <t>car rental naxos port</t>
  </si>
  <si>
    <t>Peugeot 208 | Fast Motor Rental Naxos | Fast Motor Rental Naxos</t>
  </si>
  <si>
    <t>https://naxos-carrentals.com/it/naxos</t>
  </si>
  <si>
    <t>ενοικιαζομενα αυτοκινητα ναξος</t>
  </si>
  <si>
    <t>Citroen C3</t>
  </si>
  <si>
    <t>Discover Naxos - History, Beaches, Villages &amp; Travel Guide | F… | Fast Motor Rental Naxos</t>
  </si>
  <si>
    <t>https://naxos-carrentals.com/fr/contact</t>
  </si>
  <si>
    <t>naxos car rental port</t>
  </si>
  <si>
    <t>https://naxos-carrentals.com/de/fleet/cars/dacia-duster</t>
  </si>
  <si>
    <t>naxos port car rental</t>
  </si>
  <si>
    <t>ναξοσ αυτοκινητα ενοικιαζομενα</t>
  </si>
  <si>
    <t>https://naxos-carrentals.com/fr/locations/filoti</t>
  </si>
  <si>
    <t>autovermietung naxos agia anna</t>
  </si>
  <si>
    <t>https://naxos-carrentals.com/it/guides</t>
  </si>
  <si>
    <t>Dacia Duster</t>
  </si>
  <si>
    <t>scooter rental naxos airport</t>
  </si>
  <si>
    <t>Guide di Guida Naxos - Itinerari Auto, Strade e Consigli | Fast… | Fast Motor Rental Naxos</t>
  </si>
  <si>
    <t>ενοικιαση αμαξιου ναξοσ</t>
  </si>
  <si>
    <t>https://naxos-carrentals.com/de/fleet/cars/fiat-500-cabrio</t>
  </si>
  <si>
    <t>motorbike rental naxos airport</t>
  </si>
  <si>
    <t>Fiat 500 Cabrio | Fast Motor Rental Naxos | Fast Motor Rental Naxos</t>
  </si>
  <si>
    <t>noleggio moto naxos</t>
  </si>
  <si>
    <t>Fiat 500 Cabrio</t>
  </si>
  <si>
    <t>naxos atv rental</t>
  </si>
  <si>
    <t>ενοικίαση αυτοκινήτου νάξος</t>
  </si>
  <si>
    <t>https://naxos-carrentals.com/de/fleet/cars/fiat-panda</t>
  </si>
  <si>
    <t>naxos roller mieten</t>
  </si>
  <si>
    <t>German</t>
  </si>
  <si>
    <t>naxos rent atv</t>
  </si>
  <si>
    <t>moto rent naxos</t>
  </si>
  <si>
    <t>Fiat Panda</t>
  </si>
  <si>
    <t>motorcycle rental naxos</t>
  </si>
  <si>
    <t>alquiler coche en naxos</t>
  </si>
  <si>
    <t>Spanish</t>
  </si>
  <si>
    <t>noleggio auto naxos porto</t>
  </si>
  <si>
    <t>noleggio auto a naxos</t>
  </si>
  <si>
    <t>Hyundai i10</t>
  </si>
  <si>
    <t>car rentals naxos</t>
  </si>
  <si>
    <t>best car rental naxos port</t>
  </si>
  <si>
    <t>https://naxos-carrentals.com/de/fleet/cars/kia-picanto</t>
  </si>
  <si>
    <t>naxos</t>
  </si>
  <si>
    <t>motor naxos</t>
  </si>
  <si>
    <t>Kia Picanto</t>
  </si>
  <si>
    <t>rental car naxos</t>
  </si>
  <si>
    <t>car rental naxos greece</t>
  </si>
  <si>
    <t>https://naxos-carrentals.com/de/fleet/cars/kia-sportage</t>
  </si>
  <si>
    <t>car rent naxos</t>
  </si>
  <si>
    <t>יוון</t>
  </si>
  <si>
    <t>Kia Sportage</t>
  </si>
  <si>
    <t>naxos scooter rental price per day 2026</t>
  </si>
  <si>
    <t>yes</t>
  </si>
  <si>
    <t>jnx port</t>
  </si>
  <si>
    <t>Peugeot 208</t>
  </si>
  <si>
    <t>greece motorway speed limit passenger cars 2026</t>
  </si>
  <si>
    <t>mars rent a car naxos</t>
  </si>
  <si>
    <t>Naxos Keyword Universe</t>
  </si>
  <si>
    <t>https://naxos-carrentals.com/de/fleet/cars/suzuki-jimny</t>
  </si>
  <si>
    <t>mietwagen naxos hafen</t>
  </si>
  <si>
    <t>GSC-first query set plus strategic EN/EL fan-out. Non-GSC demand requires Ahrefs/Semrush validation.</t>
  </si>
  <si>
    <t>Keyword</t>
  </si>
  <si>
    <t>naxos motors</t>
  </si>
  <si>
    <t>Suzuki Jimny 4×4</t>
  </si>
  <si>
    <t>naxos rent a car by matha rent reviews</t>
  </si>
  <si>
    <t>Intent</t>
  </si>
  <si>
    <t>Business value (1-5)</t>
  </si>
  <si>
    <t>jnx port greece</t>
  </si>
  <si>
    <t>https://naxos-carrentals.com/de/fleet/cars/toyota-aygo</t>
  </si>
  <si>
    <t>Source</t>
  </si>
  <si>
    <t>Opportunity score</t>
  </si>
  <si>
    <t>Priority</t>
  </si>
  <si>
    <t>ενοικιαση αυτοκινητου ναξοσ τιμεσ</t>
  </si>
  <si>
    <t>en/other</t>
  </si>
  <si>
    <t>Commercial/Transactional</t>
  </si>
  <si>
    <t>best car rental naxos airport</t>
  </si>
  <si>
    <t>Toyota Aygo X</t>
  </si>
  <si>
    <t>scooter 2 ride naxos</t>
  </si>
  <si>
    <t>GSC attached export</t>
  </si>
  <si>
    <t>P0</t>
  </si>
  <si>
    <t>https://naxos-carrentals.com/de/fleet/cars/toyota-rav4</t>
  </si>
  <si>
    <t>ενοικιασεισ αυτοκινητων στην ναξο τιμεσ</t>
  </si>
  <si>
    <t>rental naxos</t>
  </si>
  <si>
    <t>Toyota RAV4 Hybrid</t>
  </si>
  <si>
    <t>autovermietung insel naxos flughafen</t>
  </si>
  <si>
    <t>scooter rental giardini naxos airport</t>
  </si>
  <si>
    <t>https://naxos-carrentals.com/de/fleet/collections/automatic</t>
  </si>
  <si>
    <t>should i rent a car in naxos</t>
  </si>
  <si>
    <t>Automatik Autos | Fast Motor Rental Naxos | Fast Motor Rental Naxos</t>
  </si>
  <si>
    <t>P1</t>
  </si>
  <si>
    <t>rent motorbike naxos</t>
  </si>
  <si>
    <t>Automatik Autos · Mietwagen auf Naxos</t>
  </si>
  <si>
    <t>el</t>
  </si>
  <si>
    <t>Automatik Autos</t>
  </si>
  <si>
    <t>location voiture naxos aeroport</t>
  </si>
  <si>
    <t>naxos buggy hire</t>
  </si>
  <si>
    <t>https://naxos-carrentals.com/de/fleet/collections/family-7-seater</t>
  </si>
  <si>
    <t>naxos rent a car prices</t>
  </si>
  <si>
    <t>Familien · 7 Sitze | Fast Motor Rental Naxos | Fast Motor Rental Naxos</t>
  </si>
  <si>
    <t>Familien · 7 Sitze · Mietwagen auf Naxos</t>
  </si>
  <si>
    <t>Familien · 7 Sitze</t>
  </si>
  <si>
    <t>rent a buggy naxos</t>
  </si>
  <si>
    <t>naxos moto rent</t>
  </si>
  <si>
    <t>naxos quad rental</t>
  </si>
  <si>
    <t>https://naxos-carrentals.com/de/fleet/collections/suv-4x4</t>
  </si>
  <si>
    <t>Informational</t>
  </si>
  <si>
    <t>naxos quad bike hire</t>
  </si>
  <si>
    <t>SUV &amp; 4×4 | Fast Motor Rental Naxos | Fast Motor Rental Naxos</t>
  </si>
  <si>
    <t>SUV &amp; 4×4 · Mietwagen auf Naxos</t>
  </si>
  <si>
    <t>ενοικιαζομενα αμαξια ναξοσ</t>
  </si>
  <si>
    <t>SUV &amp; 4×4</t>
  </si>
  <si>
    <t>mietwagen naxos</t>
  </si>
  <si>
    <t>ενοικιαζομενα αυτοκινητα ναξοσ</t>
  </si>
  <si>
    <t>auto noleggio naxos</t>
  </si>
  <si>
    <t>Naxos-Mietwagen Fahrtipps: Roadtrips, Bergdörfer, Strandfahrten, Parken in Chora und Verkehrsregeln.</t>
  </si>
  <si>
    <t>Naxos Roadtrip-Guides</t>
  </si>
  <si>
    <t>rent a car naxos grecia</t>
  </si>
  <si>
    <t>P2</t>
  </si>
  <si>
    <t>kouros car rental naxos</t>
  </si>
  <si>
    <t>international driving license</t>
  </si>
  <si>
    <t>Familiengeführt seit 2018</t>
  </si>
  <si>
    <t>AboutPage, AutoRental, BreadcrumbList, ListItem, LocalBusiness, Organization, WebSite</t>
  </si>
  <si>
    <t>alcohol limit greece driving</t>
  </si>
  <si>
    <t>Query Fan-out Matrix</t>
  </si>
  <si>
    <t>One canonical URL per cluster. Expand modifiers inside the target page unless intent materially changes.</t>
  </si>
  <si>
    <t>auto mieten naxos</t>
  </si>
  <si>
    <t>Parent</t>
  </si>
  <si>
    <t>Modifier / sub-intent</t>
  </si>
  <si>
    <t>English query</t>
  </si>
  <si>
    <t>Greek query</t>
  </si>
  <si>
    <t>Canonical URL template</t>
  </si>
  <si>
    <t>best companies to rent a car from</t>
  </si>
  <si>
    <t>Vollständiger Preisleitfaden für Mietwagen auf Naxos 2026.</t>
  </si>
  <si>
    <t>Rule</t>
  </si>
  <si>
    <t>Car rental</t>
  </si>
  <si>
    <t>Mietwagenpreise auf Naxos (2026): Kosten &amp; Versteckte Gebühren</t>
  </si>
  <si>
    <t>Core</t>
  </si>
  <si>
    <t>car rental Naxos</t>
  </si>
  <si>
    <t>ενοικίαση αυτοκινήτου Νάξος</t>
  </si>
  <si>
    <t>/{lang}</t>
  </si>
  <si>
    <t>Transactional</t>
  </si>
  <si>
    <t>Do not create near-duplicate modifier pages</t>
  </si>
  <si>
    <t>Price</t>
  </si>
  <si>
    <t>Naxos car rental prices</t>
  </si>
  <si>
    <t>τιμές ενοικίασης αυτοκινήτου Νάξος</t>
  </si>
  <si>
    <t>best options</t>
  </si>
  <si>
    <t>/{lang}/pricing</t>
  </si>
  <si>
    <t>Commercial</t>
  </si>
  <si>
    <t>Reviews</t>
  </si>
  <si>
    <t>best car rental Naxos reviews</t>
  </si>
  <si>
    <t>καλύτερη ενοικίαση αυτοκινήτου Νάξος αξιολογήσεις</t>
  </si>
  <si>
    <t>/{lang}/guides/best-car-rental-naxos-reviews-comparison</t>
  </si>
  <si>
    <t>Payment</t>
  </si>
  <si>
    <t>cuál es el más barato</t>
  </si>
  <si>
    <t>Naxos car rental without credit card</t>
  </si>
  <si>
    <t>ενοικίαση αυτοκινήτου Νάξος χωρίς πιστωτική</t>
  </si>
  <si>
    <t>/{lang}/guides/naxos-car-rental-without-credit-card-insurance</t>
  </si>
  <si>
    <t>Insurance</t>
  </si>
  <si>
    <t>do i need an international driving permit</t>
  </si>
  <si>
    <t>Naxos car rental insurance</t>
  </si>
  <si>
    <t>ασφάλεια ενοικιαζόμενου Νάξος</t>
  </si>
  <si>
    <t>/{lang}/insurance</t>
  </si>
  <si>
    <t>Pickup</t>
  </si>
  <si>
    <t>empresas</t>
  </si>
  <si>
    <t>Port</t>
  </si>
  <si>
    <t>Naxos port car rental</t>
  </si>
  <si>
    <t>ενοικίαση αυτοκινήτου λιμάνι Νάξου</t>
  </si>
  <si>
    <t>/{lang}/locations/port-pickup</t>
  </si>
  <si>
    <t>free parking naxos</t>
  </si>
  <si>
    <t>Airport</t>
  </si>
  <si>
    <t>Naxos airport car rental</t>
  </si>
  <si>
    <t>ενοικίαση αυτοκινήτου αεροδρόμιο Νάξου</t>
  </si>
  <si>
    <t>/{lang}/locations/airport-pickup</t>
  </si>
  <si>
    <t>Fleet</t>
  </si>
  <si>
    <t>ja graag</t>
  </si>
  <si>
    <t>Automatic</t>
  </si>
  <si>
    <t>automatic car rental Naxos</t>
  </si>
  <si>
    <t>αυτόματο αυτοκίνητο Νάξος</t>
  </si>
  <si>
    <t>/{lang}/fleet/collections/automatic</t>
  </si>
  <si>
    <t>Kleiner Regionalflughafen unter 4 km von Chora. Nur Meet-and-Greet.</t>
  </si>
  <si>
    <t>Family</t>
  </si>
  <si>
    <t>naxos auto mieten</t>
  </si>
  <si>
    <t>7 seater car rental Naxos</t>
  </si>
  <si>
    <t>7θέσιο αυτοκίνητο Νάξος</t>
  </si>
  <si>
    <t>/{lang}/fleet/collections/family-7-seater</t>
  </si>
  <si>
    <t>Flughafen Naxos (JNX): kompletter Guide</t>
  </si>
  <si>
    <t>SUV</t>
  </si>
  <si>
    <t>SUV 4x4 rental Naxos</t>
  </si>
  <si>
    <t>SUV 4x4 ενοικίαση Νάξος</t>
  </si>
  <si>
    <t>naxos greece car rental</t>
  </si>
  <si>
    <t>/{lang}/fleet/collections/suv-4x4</t>
  </si>
  <si>
    <t>Guide</t>
  </si>
  <si>
    <t>Pillar</t>
  </si>
  <si>
    <t>οδηγός Νάξος</t>
  </si>
  <si>
    <t>naxos hire car</t>
  </si>
  <si>
    <t>/{lang}/naxos</t>
  </si>
  <si>
    <t>Beaches</t>
  </si>
  <si>
    <t>best beaches in Naxos</t>
  </si>
  <si>
    <t>καλύτερες παραλίες Νάξος</t>
  </si>
  <si>
    <t>/{lang}/naxos/beaches</t>
  </si>
  <si>
    <t>naxos noleggio auto</t>
  </si>
  <si>
    <t>Villages</t>
  </si>
  <si>
    <t>Naxos mountain villages by car</t>
  </si>
  <si>
    <t>ορεινά χωριά Νάξος με αυτοκίνητο</t>
  </si>
  <si>
    <t>/{lang}/guides/naxos-mountain-villages-by-car</t>
  </si>
  <si>
    <t>2 Minuten vom Fährhafen - Schlüssel bei Ankunft bereit</t>
  </si>
  <si>
    <t>naxos rent car</t>
  </si>
  <si>
    <t>Mietwagen Hafen Naxos</t>
  </si>
  <si>
    <t>Road trip</t>
  </si>
  <si>
    <t>Naxos road trip itinerary</t>
  </si>
  <si>
    <t>AutoRental, BreadcrumbList, GeoCoordinates, ListItem, LocalBusiness, Organization, Place, WebSite</t>
  </si>
  <si>
    <t>road trip Νάξος</t>
  </si>
  <si>
    <t>naxos rental cars</t>
  </si>
  <si>
    <t>/{lang}/guides/naxos-road-trip-itinerary</t>
  </si>
  <si>
    <t>Parking</t>
  </si>
  <si>
    <t>parking in Naxos</t>
  </si>
  <si>
    <t>parking στη Νάξο</t>
  </si>
  <si>
    <t>/{lang}/guides/parking-in-naxos</t>
  </si>
  <si>
    <t>rent a car agia anna naxos</t>
  </si>
  <si>
    <t>https://naxos-carrentals.com/de/naxos</t>
  </si>
  <si>
    <t>Decision</t>
  </si>
  <si>
    <t>do you need a car in Naxos</t>
  </si>
  <si>
    <t>χρειάζεται αυτοκίνητο στη Νάξο</t>
  </si>
  <si>
    <t>/{lang}/guides/do-you-need-a-car-in-naxos</t>
  </si>
  <si>
    <t>rent car naxos</t>
  </si>
  <si>
    <t>Everything you need to know about Naxos: history, geography, beaches, mountain villages, local culture and the best vehicle for each destination.</t>
  </si>
  <si>
    <t>Licence</t>
  </si>
  <si>
    <t>international driving permit Greece</t>
  </si>
  <si>
    <t>διεθνές δίπλωμα οδήγησης Ελλάδα</t>
  </si>
  <si>
    <t>Naxos entdecken</t>
  </si>
  <si>
    <t>/{lang}/guides/idp-greece-rules</t>
  </si>
  <si>
    <t>tak proszę</t>
  </si>
  <si>
    <t>AutoRental, LocalBusiness, Organization, WebSite</t>
  </si>
  <si>
    <t>Scooter</t>
  </si>
  <si>
    <t>Inventory gate</t>
  </si>
  <si>
    <t>yeah please</t>
  </si>
  <si>
    <t>Naxos scooter rental</t>
  </si>
  <si>
    <t>ενοικίαση scooter Νάξος</t>
  </si>
  <si>
    <t>/{lang}/fleet/scooters</t>
  </si>
  <si>
    <t>ενοικίαση αυτοκινήτου ναξος</t>
  </si>
  <si>
    <t>Owner decision before indexation</t>
  </si>
  <si>
    <t>ενοικιαση μηχανακι ναξος</t>
  </si>
  <si>
    <t>https://naxos-carrentals.com/de/naxos/beaches</t>
  </si>
  <si>
    <t>cost to hire</t>
  </si>
  <si>
    <t>Naxos Beaches &amp; Villages - Complete Guide with Vehicle Recomme… | Fast Motor Rental Naxos</t>
  </si>
  <si>
    <t>Explore every beach and mountain village on Naxos with expert vehicle recommendations for each destination.</t>
  </si>
  <si>
    <t>for 4 days</t>
  </si>
  <si>
    <t>Strände &amp; Dörfer</t>
  </si>
  <si>
    <t>milos</t>
  </si>
  <si>
    <t>naxos car rent</t>
  </si>
  <si>
    <t>noleggio auto naxos grecia</t>
  </si>
  <si>
    <t>Ενοικίαση αυτοκινήτου στη Νάξο</t>
  </si>
  <si>
    <t>si</t>
  </si>
  <si>
    <t>ενοικιασεισ αυτοκινητων ναξοσ</t>
  </si>
  <si>
    <t>coche</t>
  </si>
  <si>
    <t>in kos</t>
  </si>
  <si>
    <t>kosten pro tag</t>
  </si>
  <si>
    <t>Κάντε κράτηση για αυτοκίνητο στη Νάξο στο ασφαλές σύστημα ή ζητήστε προσφορά στο WhatsApp.</t>
  </si>
  <si>
    <t>Ολοκληρώστε την κράτησή σας</t>
  </si>
  <si>
    <t>location quad naxos</t>
  </si>
  <si>
    <t>naxos car rental prices</t>
  </si>
  <si>
    <t>Δωρεάν ακύρωση έως 21 ημέρες πριν την άφιξη. Σαφή επίπεδα επιστροφής χρημάτων.</t>
  </si>
  <si>
    <t>recensioni clienti</t>
  </si>
  <si>
    <t>Πολιτική Ακύρωσης</t>
  </si>
  <si>
    <t>renting a car in naxos</t>
  </si>
  <si>
    <t>what about naxos</t>
  </si>
  <si>
    <t>can you give me others?</t>
  </si>
  <si>
    <t>30+ ειλικρινείς απαντήσεις για ενοικίαση αυτοκινήτου στη Νάξο το 2026: διπλώματα, ηλικίες, ασφάλεια, εγγυήσεις, αυτόματα, πλοία.</t>
  </si>
  <si>
    <t>Συχνές ερωτήσεις ενοικίασης στη Νάξο</t>
  </si>
  <si>
    <t>do i need idp</t>
  </si>
  <si>
    <t>e na grécia</t>
  </si>
  <si>
    <t>Bilingual URL Master Plan</t>
  </si>
  <si>
    <t>Exact canonical targets for English and Greek. Scores combine GSC evidence, technical urgency and business value.</t>
  </si>
  <si>
    <t>in greece</t>
  </si>
  <si>
    <t>Lang</t>
  </si>
  <si>
    <t>podaj aktualny cennik</t>
  </si>
  <si>
    <t>Canonical URL</t>
  </si>
  <si>
    <t>Ο στόλος μας στη Νάξο</t>
  </si>
  <si>
    <t>Page type</t>
  </si>
  <si>
    <t>Primary keyword</t>
  </si>
  <si>
    <t>villages in naxos</t>
  </si>
  <si>
    <t>Editorial status</t>
  </si>
  <si>
    <t>Implementation score</t>
  </si>
  <si>
    <t>Wave</t>
  </si>
  <si>
    <t>50cc scooter rental</t>
  </si>
  <si>
    <t>en</t>
  </si>
  <si>
    <t>https://naxos-carrentals.com/el/fleet/cars</t>
  </si>
  <si>
    <t>Homepage</t>
  </si>
  <si>
    <t>Rewrite + redesign</t>
  </si>
  <si>
    <t>bitte</t>
  </si>
  <si>
    <t>Ενοικίαση Αυτοκινήτου Νάξος - Αυτόματα, SUV &amp; Van | Fast Motor R… | Fast Motor Rental Naxos</t>
  </si>
  <si>
    <t>Ready for editorial QA</t>
  </si>
  <si>
    <t>idp?</t>
  </si>
  <si>
    <t>Αυτοκίνητα - από αστικά compact έως επταθέσια και 4×4</t>
  </si>
  <si>
    <t>motorroller mieten</t>
  </si>
  <si>
    <t>naxos car hire</t>
  </si>
  <si>
    <t>https://naxos-carrentals.com/el/fleet/cars/citroen-berlingo-7</t>
  </si>
  <si>
    <t>naxos hafen mietwagen</t>
  </si>
  <si>
    <t>us</t>
  </si>
  <si>
    <t>greece legal blood alcohol limit drivers 2026</t>
  </si>
  <si>
    <t>https://naxos-carrentals.com/el/fleet/cars/citroen-c3</t>
  </si>
  <si>
    <t>renting a car</t>
  </si>
  <si>
    <t>scooter</t>
  </si>
  <si>
    <t>scooter 125</t>
  </si>
  <si>
    <t>Fleet hub</t>
  </si>
  <si>
    <t>Strengthen</t>
  </si>
  <si>
    <t>Naxos car rental fleet</t>
  </si>
  <si>
    <t>sì grazie</t>
  </si>
  <si>
    <t>what to do in naxos in 2 days</t>
  </si>
  <si>
    <t>alugar carro</t>
  </si>
  <si>
    <t>στόλος ενοικιαζόμενων αυτοκινήτων Νάξος</t>
  </si>
  <si>
    <t>do you need an international drivers license in greece 2026</t>
  </si>
  <si>
    <t>find me the cheapest economy car rental in naxos next month for 5 days with 
unlimited mileage</t>
  </si>
  <si>
    <t>suzuki jimmy</t>
  </si>
  <si>
    <t>https://naxos-carrentals.com/el/fleet/cars/fiat-500-cabrio</t>
  </si>
  <si>
    <t>Fleet category</t>
  </si>
  <si>
    <t>try again</t>
  </si>
  <si>
    <t>Rewrite metadata + comparison UX</t>
  </si>
  <si>
    <t>rent a car Naxos</t>
  </si>
  <si>
    <t>athen</t>
  </si>
  <si>
    <t>autonoleggio naxos</t>
  </si>
  <si>
    <t>https://naxos-carrentals.com/el/fleet/cars/fiat-panda</t>
  </si>
  <si>
    <t>je veux bien des recommandations</t>
  </si>
  <si>
    <t>ενοικιαζόμενα αυτοκίνητα Νάξος</t>
  </si>
  <si>
    <t>rent a car</t>
  </si>
  <si>
    <t>affitto scooter naxos</t>
  </si>
  <si>
    <t>https://naxos-carrentals.com/en/pricing</t>
  </si>
  <si>
    <t>Commercial guide</t>
  </si>
  <si>
    <t>Expand without invented prices</t>
  </si>
  <si>
    <t>yes list</t>
  </si>
  <si>
    <t>Proposed</t>
  </si>
  <si>
    <t>https://naxos-carrentals.com/el/fleet/cars/hyundai-i10</t>
  </si>
  <si>
    <t>auto mieten naxos hafen</t>
  </si>
  <si>
    <t>fastmotor rent</t>
  </si>
  <si>
    <t>https://naxos-carrentals.com/el/pricing</t>
  </si>
  <si>
    <t>mietwagen naxos flughafen</t>
  </si>
  <si>
    <t>naxos rent a car by matha rent αξιολογήσεις</t>
  </si>
  <si>
    <t>Trust / policy</t>
  </si>
  <si>
    <t>Verify and simplify</t>
  </si>
  <si>
    <t>new car naxos reviews</t>
  </si>
  <si>
    <t>https://naxos-carrentals.com/el/fleet/cars/kia-sportage</t>
  </si>
  <si>
    <t>ναξοσ</t>
  </si>
  <si>
    <t>location de voiture naxos</t>
  </si>
  <si>
    <t>ασφάλεια ενοικιαζόμενου αυτοκινήτου Νάξος</t>
  </si>
  <si>
    <t>https://naxos-carrentals.com/el/fleet/cars/peugeot-208</t>
  </si>
  <si>
    <t>location scooter naxos prix</t>
  </si>
  <si>
    <t>FAQ hub</t>
  </si>
  <si>
    <t>Keep visible Q&amp;A; remove FAQ rich-result expectations</t>
  </si>
  <si>
    <t>Naxos car rental FAQ</t>
  </si>
  <si>
    <t>roller mieten naxos preise</t>
  </si>
  <si>
    <t>scooter rental naxos greece</t>
  </si>
  <si>
    <t>naxos on the road</t>
  </si>
  <si>
    <t>https://naxos-carrentals.com/el/fleet/cars/suzuki-jimny</t>
  </si>
  <si>
    <t>car hire naxos port</t>
  </si>
  <si>
    <t>συχνές ερωτήσεις ενοικίασης αυτοκινήτου Νάξος</t>
  </si>
  <si>
    <t>car rental naxos chora</t>
  </si>
  <si>
    <t>las dos cosas</t>
  </si>
  <si>
    <t>car rental naxos airport</t>
  </si>
  <si>
    <t>cuales tienen mejores reseñas</t>
  </si>
  <si>
    <t>Location hub</t>
  </si>
  <si>
    <t>Add to sitemap + strengthen</t>
  </si>
  <si>
    <t>Naxos car rental locations</t>
  </si>
  <si>
    <t>enjoy naxos car rental</t>
  </si>
  <si>
    <t>quad huren naxos</t>
  </si>
  <si>
    <t>naxos motorbike rental</t>
  </si>
  <si>
    <t>buggy hire naxos</t>
  </si>
  <si>
    <t>σημεία παραλαβής αυτοκινήτου Νάξος</t>
  </si>
  <si>
    <t>https://naxos-carrentals.com/el/fleet/cars/toyota-rav4</t>
  </si>
  <si>
    <t>moped rental giardini naxos</t>
  </si>
  <si>
    <t>moto rental naxos</t>
  </si>
  <si>
    <t>Editorial hub</t>
  </si>
  <si>
    <t>Rebuild as topic cluster</t>
  </si>
  <si>
    <t>Naxos driving guide</t>
  </si>
  <si>
    <t>moped hire naxos</t>
  </si>
  <si>
    <t>roller mieten naxos</t>
  </si>
  <si>
    <t>οδηγός οδήγησης Νάξος</t>
  </si>
  <si>
    <t>motopower naxos</t>
  </si>
  <si>
    <t>quickrides-rentals.com</t>
  </si>
  <si>
    <t>motorbike rental naxos</t>
  </si>
  <si>
    <t>Αυτόματο Αυτοκίνητα · Ενοικίαση αυτοκινήτου στη Νάξο</t>
  </si>
  <si>
    <t>quad hire naxos</t>
  </si>
  <si>
    <t>https://naxos-carrentals.com/en/naxos</t>
  </si>
  <si>
    <t>Destination pillar</t>
  </si>
  <si>
    <t>Full rewrite; remove English leakage on EL</t>
  </si>
  <si>
    <t>Αυτόματο Αυτοκίνητα</t>
  </si>
  <si>
    <t>rental scooter naxos</t>
  </si>
  <si>
    <t>quad bike hire naxos</t>
  </si>
  <si>
    <t>https://naxos-carrentals.com/el/naxos</t>
  </si>
  <si>
    <t>atv rental naxos</t>
  </si>
  <si>
    <t>https://naxos-carrentals.com/en/naxos/beaches</t>
  </si>
  <si>
    <t>Destination cluster</t>
  </si>
  <si>
    <t>ενοικιαση σκουτερ ναξοσ</t>
  </si>
  <si>
    <t>Expand into decision guide</t>
  </si>
  <si>
    <t>best beaches Naxos</t>
  </si>
  <si>
    <t>Οικογένειες · 7 θέσεις · Ενοικίαση αυτοκινήτου στη Νάξο</t>
  </si>
  <si>
    <t>Οικογένειες · 7 θέσεις</t>
  </si>
  <si>
    <t>atvs naxos</t>
  </si>
  <si>
    <t>https://naxos-carrentals.com/el/naxos/beaches</t>
  </si>
  <si>
    <t>rent a quad naxos</t>
  </si>
  <si>
    <t>https://naxos-carrentals.com/el/fleet/collections/suv-4x4</t>
  </si>
  <si>
    <t>Trust page</t>
  </si>
  <si>
    <t>Add evidence</t>
  </si>
  <si>
    <t>south ferry terminal inurl:article</t>
  </si>
  <si>
    <t>local car rental Naxos</t>
  </si>
  <si>
    <t>SUV &amp; 4×4 · Ενοικίαση αυτοκινήτου στη Νάξο</t>
  </si>
  <si>
    <t>ενοικιαση αυτοκινητου ναξο</t>
  </si>
  <si>
    <t>τοπική εταιρεία ενοικίασης αυτοκινήτων Νάξος</t>
  </si>
  <si>
    <t>do i need an idp in greece</t>
  </si>
  <si>
    <t>atv hire naxos</t>
  </si>
  <si>
    <t>Contact page</t>
  </si>
  <si>
    <t>Clarify channels + NAP</t>
  </si>
  <si>
    <t>Fast Motor Rental Naxos contact</t>
  </si>
  <si>
    <t>Οδηγοί οδήγησης αυτοκινήτου στη Νάξο: road trip, ορεινά χωριά, παραλίες, παρκάρισμα, κανόνες.</t>
  </si>
  <si>
    <t>idp greece</t>
  </si>
  <si>
    <t>Ταξιδιωτικοί οδηγοί &amp; διαδρομές στη Νάξο</t>
  </si>
  <si>
    <t>https://naxos-carrentals.com/el/contact</t>
  </si>
  <si>
    <t>Fast Motor Rental Naxos επικοινωνία</t>
  </si>
  <si>
    <t>rent atv naxos</t>
  </si>
  <si>
    <t>drivetime naxos</t>
  </si>
  <si>
    <t>https://naxos-carrentals.com/en/book</t>
  </si>
  <si>
    <t>Booking bridge</t>
  </si>
  <si>
    <t>Reduce friction</t>
  </si>
  <si>
    <t>book car rental Naxos</t>
  </si>
  <si>
    <t>promponas rent a car naxos</t>
  </si>
  <si>
    <t>naxos atv rentals</t>
  </si>
  <si>
    <t>Οικογενειακή επιχείρηση από το 2018</t>
  </si>
  <si>
    <t>κράτηση αυτοκινήτου Νάξος</t>
  </si>
  <si>
    <t>international drivers license greece</t>
  </si>
  <si>
    <t>Guide article</t>
  </si>
  <si>
    <t>naxos top drive</t>
  </si>
  <si>
    <t>Restore exact winning URL</t>
  </si>
  <si>
    <t>do you need an idp to drive in greece</t>
  </si>
  <si>
    <t>international drivers permit greece</t>
  </si>
  <si>
    <t>Πλήρης οδηγός τιμών για ενοικίαση αυτοκινήτου στη Νάξο το 2026.</t>
  </si>
  <si>
    <t>Τιμές Ενοικίασης Αυτοκινήτου στη Νάξο (2026): Κόστος &amp; Κρυφές Χρεώσεις</t>
  </si>
  <si>
    <t>international driving permit for greece</t>
  </si>
  <si>
    <t>φθηνή ενοικίαση 10θέσιο νάξος</t>
  </si>
  <si>
    <t>Restore only after payment terms are verified</t>
  </si>
  <si>
    <t>international driving permit</t>
  </si>
  <si>
    <t>car hire naxos landing pages</t>
  </si>
  <si>
    <t>ενοικίαση αυτοκινήτου Νάξος χωρίς πιστωτική κάρτα</t>
  </si>
  <si>
    <t>Refresh snippet; retain URL</t>
  </si>
  <si>
    <t>Naxos rent a car prices</t>
  </si>
  <si>
    <t>Μικρό περιφερειακό αεροδρόμιο, λιγότερο από 4 χλμ από τη Χώρα. Μόνο meet-and-greet.</t>
  </si>
  <si>
    <t>Αεροδρόμιο Νάξου (JNX): όλα όσα πρέπει να ξέρετε</t>
  </si>
  <si>
    <t>Restore comparison URL; current airport redirect mismatches</t>
  </si>
  <si>
    <t>Naxos port vs airport car rental</t>
  </si>
  <si>
    <t>ενοικίαση αυτοκινήτου Νάξος λιμάνι ή αεροδρόμιο</t>
  </si>
  <si>
    <t>Παραδίδουμε αυτοκίνητα στη Νάξο: αεροδρόμιο JNX, λιμάνι, Χώρα, Άγιος Προκόπιος, Αγία Άννα, Πλάκα, Μικρή Βίγλα, ξενοδοχεία.</t>
  </si>
  <si>
    <t>Σημεία παραλαβής στη Νάξο</t>
  </si>
  <si>
    <t>Restore focused URL; verify legal guidance</t>
  </si>
  <si>
    <t>Η πιο αγαπημένη παραλία της Νάξου - και η πιο ζητούμενη ζώνη παράδοσης</t>
  </si>
  <si>
    <t>Ενοικίαση Αγίου Προκοπίου</t>
  </si>
  <si>
    <t>https://naxos-carrentals.com/el/guides/idp-greece-rules</t>
  </si>
  <si>
    <t>Ανακαλύψτε τη Νάξο</t>
  </si>
  <si>
    <t>Refresh and expand</t>
  </si>
  <si>
    <t>https://naxos-carrentals.com/el/guides/do-you-need-a-car-in-naxos</t>
  </si>
  <si>
    <t>Παραλίες &amp; χωριά</t>
  </si>
  <si>
    <t>Exact Publishable Content — English</t>
  </si>
  <si>
    <t>Use as the implementation brief. Text inside {{DOUBLE_BRACES}} is an explicit owner/data placeholder and must not be invented.</t>
  </si>
  <si>
    <t>Restore or keep only if continuously verified</t>
  </si>
  <si>
    <t>Greek traffic code 2026</t>
  </si>
  <si>
    <t>SEO title</t>
  </si>
  <si>
    <t>Publishable body copy</t>
  </si>
  <si>
    <t>https://naxos-carrentals.com/el/guides/new-greek-traffic-code-2026</t>
  </si>
  <si>
    <t>Car Rental Naxos | Local Cars, Easy Online Booking</t>
  </si>
  <si>
    <t>νέος ΚΟΚ 2026</t>
  </si>
  <si>
    <t>Rent a car in Naxos with a local team. Compare compact, automatic, family and 4×4 options, then confirm live availability securely online.</t>
  </si>
  <si>
    <t>Car rental in Naxos, made simple</t>
  </si>
  <si>
    <t>Choose the right car for your Naxos itinerary, check live availability and continue to the secure booking engine. Compact cars suit Chora and the west-coast beaches; automatic, family and SUV options help with longer island days. Prices, availability and rental conditions are confirmed for your exact dates before payment.
## Find the right Naxos rental car
Start with passengers, luggage, transmission and the roads you plan to drive. Use a compact for easy parking, an automatic for relaxed island driving, a seven-seater for families or an SUV/4×4 when extra space and clearance matter.
## Plan pickup around your arrival
Select the pickup and return points offered by the booking engine. Add your ferry or flight details when requested so the local team can confirm the practical handover instructions.
## Book with the facts visible
Show the total price, included cover, excess, fuel policy, mileage, deposit or card requirement, cancellation terms and optional extras before checkout. Never replace a live term with a marketing promise.
## Use the Naxos driving guides
Read the port, airport, parking, beach and mountain-village guides before choosing the vehicle. Each guide links back to the most suitable fleet category and the booking step.
## Next step
Check live availability for your dates or contact +306948820568.</t>
  </si>
  <si>
    <t>Naxos Car Rental Fleet | Compact, Automatic, SUV &amp; Family</t>
  </si>
  <si>
    <t>Explore the Naxos rental fleet by size, transmission and trip type. Check live availability for compact, automatic, family and SUV vehicles.</t>
  </si>
  <si>
    <t>Choose your Naxos rental car</t>
  </si>
  <si>
    <t>Compare vehicles by seats, luggage, transmission, fuel and the kind of island driving you expect. Every card should lead to a dedicated vehicle page and a live availability check.
## Compact cars
Best for couples, Chora parking and the paved west-coast route.
## Automatic cars
A simpler choice for unfamiliar roads and stop-start summer traffic.
## Family and seven-seat cars
Prioritise usable luggage space, child-seat compatibility and clear passenger limits.
## SUV and 4×4 choices
Choose extra cabin space or clearance for longer island days; do not imply off-road use unless the rental terms expressly allow it.
## Next step
Check live availability for your dates or contact +306948820568.</t>
  </si>
  <si>
    <t>Rent a Car Naxos | Compare Compact, Automatic &amp; SUV Cars</t>
  </si>
  <si>
    <t>Compare rental cars in Naxos by seats, luggage, transmission and trip type. Open each vehicle for details and confirm availability for your dates.</t>
  </si>
  <si>
    <t>Contact us</t>
  </si>
  <si>
    <t>Rental cars in Naxos</t>
  </si>
  <si>
    <t>AutoRental, BreadcrumbList, ContactPage, ListItem, LocalBusiness, Organization, WebSite</t>
  </si>
  <si>
    <t>Refresh</t>
  </si>
  <si>
    <t>Use filters that answer real booking questions: automatic or manual, passenger count, luggage, body type and live availability. Keep model names accurate and state clearly when the booking is for a model or a similar vehicle category.
## Compare at a glance
Show seats, luggage, doors, transmission, fuel and air conditioning in the same order on every card.
## Match the car to the route
Link compact cars to Chora and beach routes, family cars to longer days, and SUVs to space-led itineraries.
## Check live availability
Do not show stale prices. Send dates and pickup details to the booking engine, then return a complete quote.
## Read the rental terms
Place insurance, deposit, licence, age, fuel and cancellation links beside the main booking CTA.
## Next step
Check live availability for your dates or contact +306948820568.</t>
  </si>
  <si>
    <t>Naxos beaches by car</t>
  </si>
  <si>
    <t>Naxos Car Rental Prices | What Changes the Total Cost</t>
  </si>
  <si>
    <t>Understand what changes Naxos car rental prices: dates, vehicle category, cover, pickup, extras and cancellation. Check the live total for your trip.</t>
  </si>
  <si>
    <t>Naxos car rental prices, explained</t>
  </si>
  <si>
    <t>The only reliable price is the live total for your dates and vehicle. This page explains the variables behind that total and the questions to check before booking; it must not publish example rates unless the business can keep them current.
## What changes the price
Season, rental length, vehicle category, transmission, pickup plan and demand can change the quote.
## What the total must show
Display taxes, included cover, excess, mileage, fuel policy, extras, deposit or card hold and cancellation terms before payment.
## How to compare quotes
Compare the same dates, category, cover and pickup terms. A lower headline rate is not cheaper when material fees appear later.
## Get the live total
Enter the exact dates and pickup point in the booking engine, then review the full breakdown.
## Next step
Check live availability for your dates or contact +306948820568.</t>
  </si>
  <si>
    <t>Naxos Car Rental Insurance | Cover, Excess &amp; Exclusions</t>
  </si>
  <si>
    <t>Read the verified cover, excess, exclusions and driver responsibilities for your Naxos rental. Match the page wording exactly to the booking terms.</t>
  </si>
  <si>
    <t>https://naxos-carrentals.com/el/guides/best-beaches-by-car-naxos</t>
  </si>
  <si>
    <t>Car rental insurance in Naxos</t>
  </si>
  <si>
    <t>30+ honest answers for renting a car on Naxos in 2026: driver licences, IDP, minimum age, insurance, deposits, automatic cars availability, and ferry rules.</t>
  </si>
  <si>
    <t>Insurance language must be exact. Explain what the base rental includes, the excess attached to each option, the exclusions, the documents required after an incident and the steps for roadside help. If a term differs by vehicle, show it at vehicle or checkout level.
## Included cover
Insert the owner-approved cover name and scope exactly as shown in the contract: {{VERIFIED_BASE_COVER}}.
## Excess and optional cover
State the excess in euros for every vehicle group and the verified effect of each optional cover: {{VERIFIED_EXCESS_TABLE}}.
## Common exclusions
List tyres, glass, underside, keys, fuel error, unauthorised drivers, prohibited roads and traffic-law breaches only where they are present in the signed terms.
## What to do after an incident
Stop safely, contact the rental team and emergency services when required, document the scene and follow the contract process before moving or repairing the vehicle.
## Next step
Check live availability for your dates or contact +306948820568.</t>
  </si>
  <si>
    <t>παραλίες Νάξου με αυτοκίνητο</t>
  </si>
  <si>
    <t>Naxos Car Rental FAQ | Licence, Insurance, Pickup &amp; Booking</t>
  </si>
  <si>
    <t>Clear answers about licences, age, insurance, deposits, pickup, fuel, ferries, cancellation and booking a rental car in Naxos.</t>
  </si>
  <si>
    <t>Naxos car rental questions, answered</t>
  </si>
  <si>
    <t>Use the questions below as visible, concise answers that link to the detailed policy or guide. Google removed FAQ rich results in 2026, so this page exists for users, internal linking and machine-readable clarity—not for an FAQ rich-result promise.
## Before you book
Cover licence, minimum age, payment method, deposit, availability and what the quote includes.
## Pickup and return
Explain the confirmed meeting point, arrival details, delays, fuel and vehicle inspection.
## During the rental
Explain authorised drivers, road restrictions, parking, incidents and roadside contact.
## Changes and cancellation
Link to the exact, owner-approved cancellation schedule and booking amendment process.
## Next step
Check live availability for your dates or contact +306948820568.</t>
  </si>
  <si>
    <t>Naxos Car Rental Locations | Port, Airport, Chora &amp; Beaches</t>
  </si>
  <si>
    <t>Plan car pickup in Naxos at the port, airport, Chora or supported beach areas. Confirm the exact meeting point and availability for your booking.</t>
  </si>
  <si>
    <t>Car rental pickup locations in Naxos</t>
  </si>
  <si>
    <t>Choose the arrival or accommodation area that fits your trip, then confirm the exact meeting instructions in the booking. Only label delivery as free, island-wide or 24/7 when the owner-approved terms support that claim.
## Naxos Port
A ferry-arrival page with meeting-point instructions, delay handling, luggage advice and links to Chora parking.
## Naxos Airport (JNX)
A flight-arrival page with the verified handover method, flight-details field and route into Chora.
## Chora and west-coast beaches
Create separate pages for Naxos Town, Agios Prokopios, Agia Anna, Plaka and Mikri Vigla with unique local guidance.
## Confirm the handover
Repeat the selected pickup point, date, time and contact method in the confirmation email and booking summary.
## Next step
Check live availability for your dates or contact +306948820568.</t>
  </si>
  <si>
    <t>Our Naxos fleet</t>
  </si>
  <si>
    <t>Naxos Driving Guides | Routes, Parking, Beaches &amp; Villages</t>
  </si>
  <si>
    <t>https://naxos-carrentals.com/el/guides/naxos-mountain-villages-by-car</t>
  </si>
  <si>
    <t>Use local Naxos driving guides for port and airport pickup, parking, beaches, villages, road trips, licences, insurance and rental decisions.</t>
  </si>
  <si>
    <t>ορεινά χωριά Νάξου με αυτοκίνητο</t>
  </si>
  <si>
    <t>Naxos driving and car rental guides</t>
  </si>
  <si>
    <t>Organise the library around decisions, not publishing dates: whether to rent, which car to choose, where to pick it up, what the terms mean and which routes are worth a driving day.
## Plan the rental
Prices, insurance, payment, licence, pickup and comparison guides.
## Drive Naxos confidently
Parking, road rules, fuel, distances and practical route notes.
## Build an island day
Beach, mountain-village and multi-day road-trip itineraries with honest drive times.
## Keep every guide current
Show a named author, checked date, sources, corrections route and links to the relevant commercial page.
## Next step
Check live availability for your dates or contact +306948820568.</t>
  </si>
  <si>
    <t>Naxos Guide 2026 | Beaches, Villages, Routes &amp; Local Tips</t>
  </si>
  <si>
    <t>Plan Naxos with a practical local guide to beaches, mountain villages, Chora, food, hiking, transport, driving routes and the best trip length.</t>
  </si>
  <si>
    <t>Naxos travel guide: the island by coast, village and road</t>
  </si>
  <si>
    <t>Naxos rewards travellers who combine the walkable lanes of Chora, the long sandy west coast and the mountain villages of the interior. Use this guide to choose a base, decide how many days you need and separate the places reachable by bus from the routes that are easier with a car.
## Naxos in one minute
Largest island in the Cyclades, with Chora and Portara in the west, a long beach corridor to the south-west and a mountainous interior around Chalki, Filoti and Apeiranthos.
## How many days
Three days cover Chora, one beach day and one inland loop; four to five days allow slower beaches, Mount Zas or a north-coast drive.
## Where to stay
Choose Chora for ferries and evenings, Agios Prokopios or Agia Anna for easy beach access, Plaka for a quieter coast, or a village for an inland stay.
## Getting around
Bus routes work for Chora and popular west-coast beaches. A car adds flexibility for villages, archaeological sites, early starts and multi-stop days.
## Best driving routes
Link to a village loop, south-west beach day, north-coast drive and a short arrival-day route with realistic stops.
## Plan with verified details
Check ferry, flight, road and opening information close to travel; every time-sensitive claim needs a checked date and source.
## Next step
Check live availability for your dates or contact +306948820568.</t>
  </si>
  <si>
    <t>https://naxos-carrentals.com/en/guides/naxos-road-trip-itinerary</t>
  </si>
  <si>
    <t>Create</t>
  </si>
  <si>
    <t>Cars - from compact to 7-seater &amp; 4×4</t>
  </si>
  <si>
    <t>Best Beaches in Naxos | Map, Parking &amp; Car Guide</t>
  </si>
  <si>
    <t>Compare Naxos beaches by sand, wind, family fit, facilities, parking and drive time from Chora—from Agios Prokopios to Alyko and beyond.</t>
  </si>
  <si>
    <t>Naxos beaches: choose by wind, access and the day you want</t>
  </si>
  <si>
    <t>The west coast makes beach-hopping easy, but the right beach changes with wind, children, water sports, facilities and how far you want to drive. Use a comparison table first, then open the detailed route.
## Closest to Chora
Agios Georgios works for a short town-based swim; parking pressure rises at busy hours.
## The classic west-coast trio
Agios Prokopios, Agia Anna and Plaka offer long sandy sections with different balances of facilities and space.
## Wind and water sports
Mikri Vigla is a wind-driven choice; always separate swimming advice from current wind and safety conditions.
## Quieter south-west
Kastraki, Glyfada, Alyko and Pyrgaki reward an earlier start and a car, but services vary.
## Parking and vehicle choice
Use verified parking notes, never promise access on unpaved tracks, and link back to compact or family vehicle categories.
## Next step
Check live availability for your dates or contact +306948820568.</t>
  </si>
  <si>
    <t>https://naxos-carrentals.com/en/fleet/cars/citroen-berlingo-7</t>
  </si>
  <si>
    <t>https://naxos-carrentals.com/el/guides/naxos-road-trip-itinerary</t>
  </si>
  <si>
    <t>About Fast Motor Rental Naxos | Local Team &amp; Contact Details</t>
  </si>
  <si>
    <t>Meet Fast Motor Rental Naxos, see verified company and contact details, understand how bookings are handled and find the official support channels.</t>
  </si>
  <si>
    <t>A local Naxos rental team, clearly identified</t>
  </si>
  <si>
    <t>Replace generic claims with evidence: legal business name, operating history, named team, physical service location, registration details, fleet-maintenance process and verified review profiles. Until approved, use placeholders rather than invented trust signals.
## Who operates the service
{{LEGAL_BUSINESS_NAME}}, {{REGISTRATION_NUMBER}}, {{PHYSICAL_ADDRESS}}.
## How the fleet is prepared
Publish the owner-approved cleaning, inspection, maintenance and replacement process.
## How to reach the team
Use only the verified phone +306948820568, email info@fmrnaxos.gr and official social profiles.
## Independent proof
Embed or link only to genuine, attributable review platforms; never create, merge or mark up fabricated testimonials.
## Next step
Check live availability for your dates or contact +306948820568.</t>
  </si>
  <si>
    <t>Contact Fast Motor Rental Naxos | Phone, WhatsApp &amp; Email</t>
  </si>
  <si>
    <t>https://naxos-carrentals.com/en/guides/parking-in-naxos</t>
  </si>
  <si>
    <t>Contact Fast Motor Rental Naxos by phone or WhatsApp at +306948820568, or email info@fmrnaxos.gr. Use the booking engine for live vehicle availability.</t>
  </si>
  <si>
    <t>Create EN/EL counterpart to proven IT page</t>
  </si>
  <si>
    <t>Contact Fast Motor Rental Naxos</t>
  </si>
  <si>
    <t>For availability and price, use the live booking engine. For a current booking, include the booking reference, lead driver name and pickup date—but never request payment-card data through email or messaging.
## Book online
Open https://fastmotorentalnaxos.cosmicbooker.com to check dates and vehicles.
## Phone and WhatsApp
+306948820568. Show published support hours once verified: {{SUPPORT_HOURS}}.
## Email
info@fmrnaxos.gr. State the expected response window only after approval: {{RESPONSE_TIME}}.
## Business details
Add the verified physical address, map pin, legal name and registration number consistently across the site and Business Profile.
## Next step
Check live availability for your dates or contact +306948820568.</t>
  </si>
  <si>
    <t>Book a Car in Naxos | Check Live Availability</t>
  </si>
  <si>
    <t>https://naxos-carrentals.com/el/guides/parking-in-naxos</t>
  </si>
  <si>
    <t>Enter dates, pickup and driver details to check live Naxos rental-car availability, review the total and continue to secure booking.</t>
  </si>
  <si>
    <t>parking Νάξος Χώρα</t>
  </si>
  <si>
    <t>Check cars for your Naxos dates</t>
  </si>
  <si>
    <t>Keep the booking path on one visual surface: dates, pickup, return, driver age, vehicle results, inclusions and total. Preserve campaign and page context when handing off to the external booking engine.
## 1. Enter trip details
Pickup, return, date, time and driver age.
## 2. Compare available cars
Show the same vehicle attributes and total-price basis on every result.
## 3. Review terms
Place insurance, excess, deposit, fuel, mileage and cancellation before the final action.
## 4. Confirm securely
Use the official booking engine; never collect card data through the marketing site or messaging apps.
## Next step
Check live availability for your dates or contact +306948820568.</t>
  </si>
  <si>
    <t>Best Car Rental in Naxos: A 12-Point Comparison</t>
  </si>
  <si>
    <t>Best Car Rental in Naxos: A 12-Point Comparison. Get a direct answer, verified decision points, practical Naxos context and links to the relevant fleet, terms</t>
  </si>
  <si>
    <t>Keep as evergreen parent guide</t>
  </si>
  <si>
    <t>driving in Naxos</t>
  </si>
  <si>
    <t>This guide answers “best car rental Naxos reviews” with a direct summary first, then the evidence and exceptions needed to make a safe booking or travel decision. Every operational claim must match the live booking engine, signed rental terms or a cited official source and show a checked date.
## Compare like with like
Give the answer in the first two sentences, then add the Naxos-specific context that changes the decision.
## Reviews you can verify
Use a compact comparison table with the same definitions, dates and conditions; unknown values remain clearly marked for owner verification.
## Terms that change the real price
Add practical steps, exceptions and one relevant internal link instead of repeating the target keyword.
## Pickup, vehicle and support evidence
Finish with the decision, the next action and the date on which time-sensitive information was checked.
## Next step
Check live availability for your dates or contact +306948820568.</t>
  </si>
  <si>
    <t>Naxos Car Rental Without a Credit Card: What to Check</t>
  </si>
  <si>
    <t>https://naxos-carrentals.com/el/guides/driving-in-naxos</t>
  </si>
  <si>
    <t>Naxos Car Rental Without a Credit Card: What to Check. Get a direct answer, verified decision points, practical Naxos context and links to the relevant fleet,</t>
  </si>
  <si>
    <t>οδήγηση στη Νάξο</t>
  </si>
  <si>
    <t>This guide answers “Naxos car rental without credit card” with a direct summary first, then the evidence and exceptions needed to make a safe booking or travel decision. Every operational claim must match the live booking engine, signed rental terms or a cited official source and show a checked date.
## Card, debit and cash are different
Give the answer in the first two sentences, then add the Naxos-specific context that changes the decision.
## Deposit versus payment
Use a compact comparison table with the same definitions, dates and conditions; unknown values remain clearly marked for owner verification.
## Insurance does not remove every condition
Add practical steps, exceptions and one relevant internal link instead of repeating the target keyword.
## Questions to ask before booking
Finish with the decision, the next action and the date on which time-sensitive information was checked.
## Next step
Check live availability for your dates or contact +306948820568.</t>
  </si>
  <si>
    <t>https://naxos-carrentals.com/en/fleet/cars/fiat-500-cabrio</t>
  </si>
  <si>
    <t>Naxos Car Rental Prices: Complete Cost Breakdown</t>
  </si>
  <si>
    <t>Naxos Car Rental Prices: Complete Cost Breakdown. Get a direct answer, verified decision points, practical Naxos context and links to the relevant fleet, term</t>
  </si>
  <si>
    <t>This guide answers “Naxos rent a car prices” with a direct summary first, then the evidence and exceptions needed to make a safe booking or travel decision. Every operational claim must match the live booking engine, signed rental terms or a cited official source and show a checked date.
## Why prices change
Give the answer in the first two sentences, then add the Naxos-specific context that changes the decision.
## Compare the same cover and category
Use a compact comparison table with the same definitions, dates and conditions; unknown values remain clearly marked for owner verification.
## Fees and terms to expose
Add practical steps, exceptions and one relevant internal link instead of repeating the target keyword.
## Get an exact live quote
Finish with the decision, the next action and the date on which time-sensitive information was checked.
## Next step
Check live availability for your dates or contact +306948820568.</t>
  </si>
  <si>
    <t>https://naxos-carrentals.com/en/locations/port-pickup</t>
  </si>
  <si>
    <t>Naxos Port vs Airport Car Rental Pickup</t>
  </si>
  <si>
    <t>Location landing</t>
  </si>
  <si>
    <t>Add to sitemap + unique local content</t>
  </si>
  <si>
    <t>Naxos Port vs Airport Car Rental Pickup. Get a direct answer, verified decision points, practical Naxos context and links to the relevant fleet, terms and boo</t>
  </si>
  <si>
    <t>This guide answers “Naxos port vs airport car rental” with a direct summary first, then the evidence and exceptions needed to make a safe booking or travel decision. Every operational claim must match the live booking engine, signed rental terms or a cited official source and show a checked date.
## Choose by arrival mode
Give the answer in the first two sentences, then add the Naxos-specific context that changes the decision.
## Port arrival checklist
Use a compact comparison table with the same definitions, dates and conditions; unknown values remain clearly marked for owner verification.
## Airport arrival checklist
Add practical steps, exceptions and one relevant internal link instead of repeating the target keyword.
## Different return point
Finish with the decision, the next action and the date on which time-sensitive information was checked.
## Next step
Check live availability for your dates or contact +306948820568.</t>
  </si>
  <si>
    <t>International Driving Permit for Greece: Rental Rules</t>
  </si>
  <si>
    <t>International Driving Permit for Greece: Rental Rules. Get a direct answer, verified decision points, practical Naxos context and links to the relevant fleet,</t>
  </si>
  <si>
    <t>https://naxos-carrentals.com/el/locations/port-pickup</t>
  </si>
  <si>
    <t>This guide answers “international driving permit Greece” with a direct summary first, then the evidence and exceptions needed to make a safe booking or travel decision. Every operational claim must match the live booking engine, signed rental terms or a cited official source and show a checked date.
## Who may need an IDP
Give the answer in the first two sentences, then add the Naxos-specific context that changes the decision.
## Licence validity is separate from rental acceptance
Use a compact comparison table with the same definitions, dates and conditions; unknown values remain clearly marked for owner verification.
## Documents to carry
Add practical steps, exceptions and one relevant internal link instead of repeating the target keyword.
## Verify before travel
Finish with the decision, the next action and the date on which time-sensitive information was checked.
## Next step
Check live availability for your dates or contact +306948820568.</t>
  </si>
  <si>
    <t>Do You Need a Car in Naxos? Honest Guide by Trip Type</t>
  </si>
  <si>
    <t>Do You Need a Car in Naxos? Honest Guide by Trip Type. Get a direct answer, verified decision points, practical Naxos context and links to the relevant fleet,</t>
  </si>
  <si>
    <t>This guide answers “do you need a car in Naxos” with a direct summary first, then the evidence and exceptions needed to make a safe booking or travel decision. Every operational claim must match the live booking engine, signed rental terms or a cited official source and show a checked date.
## When you do not need a car
Give the answer in the first two sentences, then add the Naxos-specific context that changes the decision.
## When a car changes the trip
Use a compact comparison table with the same definitions, dates and conditions; unknown values remain clearly marked for owner verification.
## Rent for one or two strategic days
Add practical steps, exceptions and one relevant internal link instead of repeating the target keyword.
## Choose by base and itinerary
Finish with the decision, the next action and the date on which time-sensitive information was checked.
## Next step
Check live availability for your dates or contact +306948820568.</t>
  </si>
  <si>
    <t>Greek Traffic Code 2026: What Drivers in Naxos Need</t>
  </si>
  <si>
    <t>Greek Traffic Code 2026: What Drivers in Naxos Need. Get a direct answer, verified decision points, practical Naxos context and links to the relevant fleet, t</t>
  </si>
  <si>
    <t>https://naxos-carrentals.com/en/locations/airport-pickup</t>
  </si>
  <si>
    <t>This guide answers “Greek traffic code 2026” with a direct summary first, then the evidence and exceptions needed to make a safe booking or travel decision. Every operational claim must match the live booking engine, signed rental terms or a cited official source and show a checked date.
## Speed limits and signage
Give the answer in the first two sentences, then add the Naxos-specific context that changes the decision.
## Seat belts, helmets and phones
Use a compact comparison table with the same definitions, dates and conditions; unknown values remain clearly marked for owner verification.
## Alcohol and enforcement
Add practical steps, exceptions and one relevant internal link instead of repeating the target keyword.
## Source and checked date
Finish with the decision, the next action and the date on which time-sensitive information was checked.
## Next step
Check live availability for your dates or contact +306948820568.</t>
  </si>
  <si>
    <t>Best Naxos Beaches by Car: Routes, Parking &amp; Stops</t>
  </si>
  <si>
    <t>Best Naxos Beaches by Car: Routes, Parking &amp; Stops. Get a direct answer, verified decision points, practical Naxos context and links to the relevant fleet, te</t>
  </si>
  <si>
    <t>This guide answers “Naxos beaches by car” with a direct summary first, then the evidence and exceptions needed to make a safe booking or travel decision. Every operational claim must match the live booking engine, signed rental terms or a cited official source and show a checked date.
## West-coast easy route
Give the answer in the first two sentences, then add the Naxos-specific context that changes the decision.
## Mikri Vigla and the wind
Use a compact comparison table with the same definitions, dates and conditions; unknown values remain clearly marked for owner verification.
## Alyko and the south-west
Add practical steps, exceptions and one relevant internal link instead of repeating the target keyword.
## Parking and responsible access
Finish with the decision, the next action and the date on which time-sensitive information was checked.
## Next step
Check live availability for your dates or contact +306948820568.</t>
  </si>
  <si>
    <t>https://naxos-carrentals.com/el/locations/airport-pickup</t>
  </si>
  <si>
    <t>https://naxos-carrentals.com/en/fleet/cars/hyundai-i10</t>
  </si>
  <si>
    <t>Naxos Mountain Villages by Car: Chalki, Filoti &amp; Apeiranthos</t>
  </si>
  <si>
    <t>Naxos Mountain Villages by Car: Chalki, Filoti &amp; Apeiranthos. Get a direct answer, verified decision points, practical Naxos context and links to the relevant</t>
  </si>
  <si>
    <t>This guide answers “Naxos mountain villages by car” with a direct summary first, then the evidence and exceptions needed to make a safe booking or travel decision. Every operational claim must match the live booking engine, signed rental terms or a cited official source and show a checked date.
## Start early from Chora
Give the answer in the first two sentences, then add the Naxos-specific context that changes the decision.
## Chalki and the Tragea
Use a compact comparison table with the same definitions, dates and conditions; unknown values remain clearly marked for owner verification.
## Filoti and Mount Zas
Add practical steps, exceptions and one relevant internal link instead of repeating the target keyword.
## Apeiranthos and the return route
Finish with the decision, the next action and the date on which time-sensitive information was checked.
## Next step
Check live availability for your dates or contact +306948820568.</t>
  </si>
  <si>
    <t>Naxos Road Trip Itinerary: 1, 3 and 5-Day Plans</t>
  </si>
  <si>
    <t>Naxos Road Trip Itinerary: 1, 3 and 5-Day Plans. Get a direct answer, verified decision points, practical Naxos context and links to the relevant fleet, terms</t>
  </si>
  <si>
    <t>car rental Naxos Town</t>
  </si>
  <si>
    <t>This guide answers “Naxos road trip itinerary” with a direct summary first, then the evidence and exceptions needed to make a safe booking or travel decision. Every operational claim must match the live booking engine, signed rental terms or a cited official source and show a checked date.
## One-day highlights loop
Give the answer in the first two sentences, then add the Naxos-specific context that changes the decision.
## Three-day balanced plan
Use a compact comparison table with the same definitions, dates and conditions; unknown values remain clearly marked for owner verification.
## Five-day slow itinerary
Add practical steps, exceptions and one relevant internal link instead of repeating the target keyword.
## Drive times, fuel and parking
Finish with the decision, the next action and the date on which time-sensitive information was checked.
## Next step
Check live availability for your dates or contact +306948820568.</t>
  </si>
  <si>
    <t>Parking in Naxos: Chora, Beaches &amp; Practical Rules</t>
  </si>
  <si>
    <t>Parking in Naxos: Chora, Beaches &amp; Practical Rules. Get a direct answer, verified decision points, practical Naxos context and links to the relevant fleet, te</t>
  </si>
  <si>
    <t>https://naxos-carrentals.com/en/fleet/cars/kia-picanto</t>
  </si>
  <si>
    <t>This guide answers “parking in Naxos” with a direct summary first, then the evidence and exceptions needed to make a safe booking or travel decision. Every operational claim must match the live booking engine, signed rental terms or a cited official source and show a checked date.
## Parking around Chora
Give the answer in the first two sentences, then add the Naxos-specific context that changes the decision.
## Beach parking
Use a compact comparison table with the same definitions, dates and conditions; unknown values remain clearly marked for owner verification.
## What signs and access mean
Add practical steps, exceptions and one relevant internal link instead of repeating the target keyword.
## Arrival-day plan
Finish with the decision, the next action and the date on which time-sensitive information was checked.
## Next step
Check live availability for your dates or contact +306948820568.</t>
  </si>
  <si>
    <t>https://naxos-carrentals.com/el/locations/naxos-town</t>
  </si>
  <si>
    <t>ενοικίαση αυτοκινήτου Χώρα Νάξου</t>
  </si>
  <si>
    <t>Driving in Naxos: Roads, Rules, Fuel &amp; Local Advice</t>
  </si>
  <si>
    <t>Driving in Naxos: Roads, Rules, Fuel &amp; Local Advice. Get a direct answer, verified decision points, practical Naxos context and links to the relevant fleet, t</t>
  </si>
  <si>
    <t>This guide answers “driving in Naxos” with a direct summary first, then the evidence and exceptions needed to make a safe booking or travel decision. Every operational claim must match the live booking engine, signed rental terms or a cited official source and show a checked date.
## What Naxos roads are like
Give the answer in the first two sentences, then add the Naxos-specific context that changes the decision.
## Villages, bends and night driving
Use a compact comparison table with the same definitions, dates and conditions; unknown values remain clearly marked for owner verification.
## Fuel and range planning
Add practical steps, exceptions and one relevant internal link instead of repeating the target keyword.
## Rental restrictions and emergencies
Finish with the decision, the next action and the date on which time-sensitive information was checked.
## Next step
Check live availability for your dates or contact +306948820568.</t>
  </si>
  <si>
    <t>https://naxos-carrentals.com/en/locations/agios-prokopios</t>
  </si>
  <si>
    <t>Car Rental Naxos Port | Pickup Guide &amp; Live Availability</t>
  </si>
  <si>
    <t>car rental Agios Prokopios</t>
  </si>
  <si>
    <t>Plan car rental at Naxos Port with practical pickup, parking and route guidance. Confirm the exact meeting point and live availability for your dates.</t>
  </si>
  <si>
    <t>Car rental at Naxos Port</t>
  </si>
  <si>
    <t>Use this page to plan ferry arrival, luggage and a precise meeting point.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Naxos Port;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</si>
  <si>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Car Rental Naxos Airport (JNX) | Pickup Guide &amp; Live Availability</t>
  </si>
  <si>
    <t>Plan car rental at Naxos Airport (JNX) with practical pickup, parking and route guidance. Confirm the exact meeting point and live availability for your dates</t>
  </si>
  <si>
    <t>Car rental at Naxos Airport (JNX)</t>
  </si>
  <si>
    <t>Use this page to plan flight details, arrival timing and the verified handover process.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Naxos Airport (JNX);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</si>
  <si>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ενοικίαση αυτοκινήτου Άγιος Προκόπιος</t>
  </si>
  <si>
    <t>Car Rental Naxos Town (Chora) | Pickup Guide &amp; Live Availability</t>
  </si>
  <si>
    <t>Plan car rental at Naxos Town (Chora) with practical pickup, parking and route guidance. Confirm the exact meeting point and live availability for your dates.</t>
  </si>
  <si>
    <t>https://naxos-carrentals.com/en/fleet/cars/peugeot-208</t>
  </si>
  <si>
    <t>Car rental at Naxos Town (Chora)</t>
  </si>
  <si>
    <t>Use this page to plan parking pressure, hotel access and walkable streets.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Naxos Town (Chora);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</si>
  <si>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car rental Agia Anna Naxos</t>
  </si>
  <si>
    <t>Car Rental Agios Prokopios | Pickup Guide &amp; Live Availability</t>
  </si>
  <si>
    <t>Plan car rental at Agios Prokopios with practical pickup, parking and route guidance. Confirm the exact meeting point and live availability for your dates.</t>
  </si>
  <si>
    <t>Car rental at Agios Prokopios</t>
  </si>
  <si>
    <t>Use this page to plan beach access, Chora links and pickup confirmation.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Agios Prokopios;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</si>
  <si>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Car Rental Agia Anna | Pickup Guide &amp; Live Availability</t>
  </si>
  <si>
    <t>https://naxos-carrentals.com/el/locations/agia-anna</t>
  </si>
  <si>
    <t>Plan car rental at Agia Anna with practical pickup, parking and route guidance. Confirm the exact meeting point and live availability for your dates.</t>
  </si>
  <si>
    <t>ενοικίαση αυτοκινήτου Αγία Άννα Νάξος</t>
  </si>
  <si>
    <t>Car rental at Agia Anna</t>
  </si>
  <si>
    <t>Use this page to plan beach-village access, parking and route planning.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Agia Anna;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</si>
  <si>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https://naxos-carrentals.com/en/locations/plaka</t>
  </si>
  <si>
    <t>car rental Plaka Naxos</t>
  </si>
  <si>
    <t>Car Rental Plaka | Pickup Guide &amp; Live Availability</t>
  </si>
  <si>
    <t>Plan car rental at Plaka with practical pickup, parking and route guidance. Confirm the exact meeting point and live availability for your dates.</t>
  </si>
  <si>
    <t>Car rental at Plaka</t>
  </si>
  <si>
    <t>Use this page to plan long beach stays, accommodation access and drive times.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Plaka;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</si>
  <si>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car rental Mikri Vigla</t>
  </si>
  <si>
    <t>Car Rental Mikri Vigla | Pickup Guide &amp; Live Availability</t>
  </si>
  <si>
    <t>Plan car rental at Mikri Vigla with practical pickup, parking and route guidance. Confirm the exact meeting point and live availability for your dates.</t>
  </si>
  <si>
    <t>Car rental at Mikri Vigla</t>
  </si>
  <si>
    <t>Use this page to plan wind-sport plans, south-west routes and verified road access.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Mikri Vigla;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</si>
  <si>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https://naxos-carrentals.com/en/locations/filoti</t>
  </si>
  <si>
    <t>https://naxos-carrentals.com/en/fleet/cars/toyota-aygo</t>
  </si>
  <si>
    <t>car rental Filoti Naxos</t>
  </si>
  <si>
    <t>Car Rental Filoti | Pickup Guide &amp; Live Availability</t>
  </si>
  <si>
    <t>Plan car rental at Filoti with practical pickup, parking and route guidance. Confirm the exact meeting point and live availability for your dates.</t>
  </si>
  <si>
    <t>Car rental at Filoti</t>
  </si>
  <si>
    <t>Use this page to plan mountain-village streets, Mount Zas and the inland loop.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Filoti;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</si>
  <si>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https://naxos-carrentals.com/en/locations/apeiranthos</t>
  </si>
  <si>
    <t>car rental Apeiranthos Naxos</t>
  </si>
  <si>
    <t>Car Rental Apeiranthos | Pickup Guide &amp; Live Availability</t>
  </si>
  <si>
    <t>https://naxos-carrentals.com/el/locations/plaka</t>
  </si>
  <si>
    <t>Plan car rental at Apeiranthos with practical pickup, parking and route guidance. Confirm the exact meeting point and live availability for your dates.</t>
  </si>
  <si>
    <t>Car rental at Apeiranthos</t>
  </si>
  <si>
    <t>ενοικίαση αυτοκινήτου Πλάκα Νάξος</t>
  </si>
  <si>
    <t>Use this page to plan mountain roads, village parking and onward routes. The exact pickup point, any delivery charge, operating hours and vehicle availability must come from the live booking or an owner-approved location table—not from a generic island-wide promise.
## How pickup works
After booking, repeat the confirmed meeting point, date, time, contact method and arrival details.
## Parking and access
Publish an original, checked note for Apeiranthos; distinguish legal public parking from informal roadside habits.
## Best first route
Suggest one short, realistic route with drive time, fuel and a safe return plan.
## Choose a suitable car
Link to the relevant compact, automatic, family or SUV category based on passengers and luggage—not on unsupported road claims.
## Next step
Check live availability for your dates or contact +306948820568.</t>
  </si>
  <si>
    <t>https://naxos-carrentals.com/en/fleet/collections/automatic</t>
  </si>
  <si>
    <t>Fleet collection</t>
  </si>
  <si>
    <t>Rewrite + filterable inventory</t>
  </si>
  <si>
    <t>Automatic Car Rental in Naxos | Compare Live Availability</t>
  </si>
  <si>
    <t>Automatic Car Rental in Naxos: compare seats, luggage, transmission and current availability. Review exact terms and continue to secure booking.</t>
  </si>
  <si>
    <t>Automatic Car Rental in Naxos</t>
  </si>
  <si>
    <t>This collection page should list only vehicles that actually match “automatic car rental Naxos”. Keep the same comparison fields across cards, show the category-versus-model rule and send the selected dates into the live booking step.
## Who this category suits
Explain passenger, luggage, comfort and route fit without promising unavailable models.
## Compare the vehicles
Use identical rows for seats, luggage, transmission, doors, fuel and air conditioning.
## Availability and price
Pull both from the live booking source; do not cache a seasonal headline beyond its validity.
## Terms before booking
Link insurance, deposit, licence, fuel and cancellation beside the CTA.
## Next step
Check live availability for your dates or contact +306948820568.</t>
  </si>
  <si>
    <t>https://naxos-carrentals.com/en/fleet/collections/family-7-seater</t>
  </si>
  <si>
    <t>7-Seater &amp; Family Car Rental in Naxos | Compare Live Availability</t>
  </si>
  <si>
    <t>7-Seater &amp; Family Car Rental in Naxos: compare seats, luggage, transmission and current availability. Review exact terms and continue to secure booking.</t>
  </si>
  <si>
    <t>7-Seater &amp; Family Car Rental in Naxos</t>
  </si>
  <si>
    <t>This collection page should list only vehicles that actually match “7 seater car rental Naxos”. Keep the same comparison fields across cards, show the category-versus-model rule and send the selected dates into the live booking step.
## Who this category suits
Explain passenger, luggage, comfort and route fit without promising unavailable models.
## Compare the vehicles
Use identical rows for seats, luggage, transmission, doors, fuel and air conditioning.
## Availability and price
Pull both from the live booking source; do not cache a seasonal headline beyond its validity.
## Terms before booking
Link insurance, deposit, licence, fuel and cancellation beside the CTA.
## Next step
Check live availability for your dates or contact +306948820568.</t>
  </si>
  <si>
    <t>https://naxos-carrentals.com/en/fleet/collections/suv-4x4</t>
  </si>
  <si>
    <t>SUV &amp; 4×4 Rental in Naxos | Compare Live Availability</t>
  </si>
  <si>
    <t>SUV &amp; 4×4 Rental in Naxos: compare seats, luggage, transmission and current availability. Review exact terms and continue to secure booking.</t>
  </si>
  <si>
    <t>SUV &amp; 4×4 Rental in Naxos</t>
  </si>
  <si>
    <t>This collection page should list only vehicles that actually match “SUV 4x4 rental Naxos”. Keep the same comparison fields across cards, show the category-versus-model rule and send the selected dates into the live booking step.
## Who this category suits
Explain passenger, luggage, comfort and route fit without promising unavailable models.
## Compare the vehicles
Use identical rows for seats, luggage, transmission, doors, fuel and air conditioning.
## Availability and price
Pull both from the live booking source; do not cache a seasonal headline beyond its validity.
## Terms before booking
Link insurance, deposit, licence, fuel and cancellation beside the CTA.
## Next step
Check live availability for your dates or contact +306948820568.</t>
  </si>
  <si>
    <t>Vehicle detail</t>
  </si>
  <si>
    <t>Automatic Cars | Fast Motor Rental Naxos | Fast Motor Rental Naxos</t>
  </si>
  <si>
    <t>Unique copy + Product/Car schema; no fake Offer</t>
  </si>
  <si>
    <t>Hyundai i10 rental Naxos</t>
  </si>
  <si>
    <t>Hyundai i10 Rental Naxos | Specs &amp; Live Availability</t>
  </si>
  <si>
    <t>Automatic Cars · Car rental in Naxos, Greece</t>
  </si>
  <si>
    <t>See Hyundai i10 rental details for Naxos: 5 seats, automatic transmission, petrol and 5 doors. Check live availability.</t>
  </si>
  <si>
    <t>Hyundai i10 rental in Naxos</t>
  </si>
  <si>
    <t>Automatic Cars</t>
  </si>
  <si>
    <t>The Hyundai i10 page must identify whether guests book this exact model or a similar vehicle in the same category. Current displayed facts: 5 seats, automatic transmission, petrol and 5 doors. Verify luggage capacity, air conditioning, model year and availability before publishing them as facts.
## At a glance
5 seats · Automatic · Petrol · 5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</si>
  <si>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Toyota Aygo X rental Naxos</t>
  </si>
  <si>
    <t>Toyota Aygo X Rental Naxos | Specs &amp; Live Availability</t>
  </si>
  <si>
    <t>See Toyota Aygo X rental details for Naxos: 5 seats, manual transmission, petrol and 5 doors. Check live availability.</t>
  </si>
  <si>
    <t>https://naxos-carrentals.com/el/locations/mikri-vigla</t>
  </si>
  <si>
    <t>Toyota Aygo X rental in Naxos</t>
  </si>
  <si>
    <t>The Toyota Aygo X page must identify whether guests book this exact model or a similar vehicle in the same category. Current displayed facts: 5 seats, manual transmission, petrol and 5 doors. Verify luggage capacity, air conditioning, model year and availability before publishing them as facts.
## At a glance
5 seats · Manual · Petrol · 5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</si>
  <si>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ενοικίαση αυτοκινήτου Μικρή Βίγλα</t>
  </si>
  <si>
    <t>Fiat Panda rental Naxos</t>
  </si>
  <si>
    <t>Fiat Panda Rental Naxos | Specs &amp; Live Availability</t>
  </si>
  <si>
    <t>See Fiat Panda rental details for Naxos: 5 seats, manual transmission, petrol and 5 doors. Check live availability.</t>
  </si>
  <si>
    <t>Fiat Panda rental in Naxos</t>
  </si>
  <si>
    <t>The Fiat Panda page must identify whether guests book this exact model or a similar vehicle in the same category. Current displayed facts: 5 seats, manual transmission, petrol and 5 doors. Verify luggage capacity, air conditioning, model year and availability before publishing them as facts.
## At a glance
5 seats · Manual · Petrol · 5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</si>
  <si>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Families · 7 seats | Fast Motor Rental Naxos | Fast Motor Rental Naxos</t>
  </si>
  <si>
    <t>Families · 7 seats · Car rental in Naxos, Greece</t>
  </si>
  <si>
    <t>Fiat 500 Cabrio rental Naxos</t>
  </si>
  <si>
    <t>Fiat 500 Cabrio Rental Naxos | Specs &amp; Live Availability</t>
  </si>
  <si>
    <t>Families · 7 seats</t>
  </si>
  <si>
    <t>See Fiat 500 Cabrio rental details for Naxos: 4 seats, manual transmission, petrol and 3 doors. Check live availability.</t>
  </si>
  <si>
    <t>Fiat 500 Cabrio rental in Naxos</t>
  </si>
  <si>
    <t>The Fiat 500 Cabrio page must identify whether guests book this exact model or a similar vehicle in the same category. Current displayed facts: 4 seats, manual transmission, petrol and 3 doors. Verify luggage capacity, air conditioning, model year and availability before publishing them as facts.
## At a glance
4 seats · Manual · Petrol · 3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</si>
  <si>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Citroën C3 rental Naxos</t>
  </si>
  <si>
    <t>Citroën C3 Rental Naxos | Specs &amp; Live Availability</t>
  </si>
  <si>
    <t>See Citroën C3 rental details for Naxos: 5 seats, automatic transmission, petrol and 5 doors. Check live availability.</t>
  </si>
  <si>
    <t>Citroën C3 rental in Naxos</t>
  </si>
  <si>
    <t>The Citroën C3 page must identify whether guests book this exact model or a similar vehicle in the same category. Current displayed facts: 5 seats, automatic transmission, petrol and 5 doors. Verify luggage capacity, air conditioning, model year and availability before publishing them as facts.
## At a glance
5 seats · Automatic · Petrol · 5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</si>
  <si>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https://naxos-carrentals.com/el/locations/filoti</t>
  </si>
  <si>
    <t>Kia Picanto rental Naxos</t>
  </si>
  <si>
    <t>Kia Picanto Rental Naxos | Specs &amp; Live Availability</t>
  </si>
  <si>
    <t>ενοικίαση αυτοκινήτου Φιλώτι Νάξος</t>
  </si>
  <si>
    <t>See Kia Picanto rental details for Naxos: 5 seats, automatic transmission, petrol and 5 doors. Check live availability.</t>
  </si>
  <si>
    <t>SUV &amp; 4×4 · Car rental in Naxos, Greece</t>
  </si>
  <si>
    <t>Kia Picanto rental in Naxos</t>
  </si>
  <si>
    <t>The Kia Picanto page must identify whether guests book this exact model or a similar vehicle in the same category. Current displayed facts: 5 seats, automatic transmission, petrol and 5 doors. Verify luggage capacity, air conditioning, model year and availability before publishing them as facts.
## At a glance
5 seats · Automatic · Petrol · 5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</si>
  <si>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Peugeot 208 rental Naxos</t>
  </si>
  <si>
    <t>Peugeot 208 Rental Naxos | Specs &amp; Live Availability</t>
  </si>
  <si>
    <t>See Peugeot 208 rental details for Naxos: 5 seats, automatic transmission, petrol and 5 doors. Check live availability.</t>
  </si>
  <si>
    <t>Peugeot 208 rental in Naxos</t>
  </si>
  <si>
    <t>The Peugeot 208 page must identify whether guests book this exact model or a similar vehicle in the same category. Current displayed facts: 5 seats, automatic transmission, petrol and 5 doors. Verify luggage capacity, air conditioning, model year and availability before publishing them as facts.
## At a glance
5 seats · Automatic · Petrol · 5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</si>
  <si>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Suzuki Jimny 4×4 rental Naxos</t>
  </si>
  <si>
    <t>Suzuki Jimny 4×4 Rental Naxos | Specs &amp; Live Availability</t>
  </si>
  <si>
    <t>See Suzuki Jimny 4×4 rental details for Naxos: 4 seats, manual transmission, petrol and 3 doors. Check live availability.</t>
  </si>
  <si>
    <t>Suzuki Jimny 4×4 rental in Naxos</t>
  </si>
  <si>
    <t>The Suzuki Jimny 4×4 page must identify whether guests book this exact model or a similar vehicle in the same category. Current displayed facts: 4 seats, manual transmission, petrol and 3 doors. Verify luggage capacity, air conditioning, model year and availability before publishing them as facts.
## At a glance
4 seats · Manual · Petrol · 3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</si>
  <si>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404</t>
  </si>
  <si>
    <t>Dacia Duster rental Naxos</t>
  </si>
  <si>
    <t>Dacia Duster Rental Naxos | Specs &amp; Live Availability</t>
  </si>
  <si>
    <t>https://naxos-carrentals.com/el/locations/apeiranthos</t>
  </si>
  <si>
    <t>See Dacia Duster rental details for Naxos: {{VERIFY}} seats, {{verify}} transmission, {{verify}} and {{VERIFY}} doors. Check live availability.</t>
  </si>
  <si>
    <t>Dacia Duster rental in Naxos</t>
  </si>
  <si>
    <t>ενοικίαση αυτοκινήτου Απείρανθος Νάξος</t>
  </si>
  <si>
    <t>The Dacia Duster page must identify whether guests book this exact model or a similar vehicle in the same category. Current displayed facts: {{VERIFY}} seats, {{verify}} transmission, {{verify}} and {{VERIFY}} doors. Verify luggage capacity, air conditioning, model year and availability before publishing them as facts.
## At a glance
{{VERIFY}} seats · {{VERIFY}} · {{VERIFY}} · {{VERIFY}}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</si>
  <si>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Toyota RAV4 Hybrid rental Naxos</t>
  </si>
  <si>
    <t>Toyota RAV4 Hybrid Rental Naxos | Specs &amp; Live Availability</t>
  </si>
  <si>
    <t>See Toyota RAV4 Hybrid rental details for Naxos: {{VERIFY}} seats, {{verify}} transmission, hybrid and {{VERIFY}} doors. Check live availability.</t>
  </si>
  <si>
    <t>Toyota RAV4 Hybrid rental in Naxos</t>
  </si>
  <si>
    <t>The Toyota RAV4 Hybrid page must identify whether guests book this exact model or a similar vehicle in the same category. Current displayed facts: {{VERIFY}} seats, {{verify}} transmission, hybrid and {{VERIFY}} doors. Verify luggage capacity, air conditioning, model year and availability before publishing them as facts.
## At a glance
{{VERIFY}} seats · {{VERIFY}} · Hybrid · {{VERIFY}}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</si>
  <si>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Naxos car driving guides updated for 2026: best scenic road trips, mountain villages, beach route guides, parking in Chora, and traffic rules.</t>
  </si>
  <si>
    <t>Naxos road-trip guides</t>
  </si>
  <si>
    <t>Kia Sportage rental Naxos</t>
  </si>
  <si>
    <t>Kia Sportage Rental Naxos | Specs &amp; Live Availability</t>
  </si>
  <si>
    <t>See Kia Sportage rental details for Naxos: {{VERIFY}} seats, {{verify}} transmission, {{verify}} and {{VERIFY}} doors. Check live availability.</t>
  </si>
  <si>
    <t>Kia Sportage rental in Naxos</t>
  </si>
  <si>
    <t>The Kia Sportage page must identify whether guests book this exact model or a similar vehicle in the same category. Current displayed facts: {{VERIFY}} seats, {{verify}} transmission, {{verify}} and {{VERIFY}} doors. Verify luggage capacity, air conditioning, model year and availability before publishing them as facts.
## At a glance
{{VERIFY}} seats · {{VERIFY}} · {{VERIFY}} · {{VERIFY}}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</si>
  <si>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Citroën Berlingo 7-seater rental Naxos</t>
  </si>
  <si>
    <t>Citroën Berlingo 7-seater Rental Naxos | Specs &amp; Live Availability</t>
  </si>
  <si>
    <t>See Citroën Berlingo 7-seater rental details for Naxos: 7 seats, {{verify}} transmission, {{verify}} and {{VERIFY}} doors. Check live availability.</t>
  </si>
  <si>
    <t>Citroën Berlingo 7-seater rental in Naxos</t>
  </si>
  <si>
    <t>The Citroën Berlingo 7-seater page must identify whether guests book this exact model or a similar vehicle in the same category. Current displayed facts: 7 seats, {{verify}} transmission, {{verify}} and {{VERIFY}} doors. Verify luggage capacity, air conditioning, model year and availability before publishing them as facts.
## At a glance
7 seats · {{VERIFY}} · {{VERIFY}} · {{VERIFY}} doors · luggage {{VERIFY}} · air conditioning {{VERIFY}}.
## Best for
Describe passenger and luggage fit using measured capacity, then mention the Naxos trip types it supports.
## What is included
Pull live insurance, mileage, fuel, deposit, extras and cancellation terms from the same source used at checkout.
## Check your dates
Show availability and total price only after dates and pickup point are known; omit Offer schema until a visible, valid offer exists.
## Next step
Check live availability for your dates or contact +306948820568.</t>
  </si>
  <si>
    <t>From the family-friendly classics at Prokopios to the wild south at Alyko - driving Naxos&amp;#x27;s 30 km of west coast puts every beach within reach.</t>
  </si>
  <si>
    <t>Decision-gated recovery</t>
  </si>
  <si>
    <t>CURRENT 404: restore if scooters are sold; otherwise 301 to /guides/scooter-vs-car-naxos</t>
  </si>
  <si>
    <t>Naxos beaches by car: the complete beach-hopper&amp;#x27;s guide 2026</t>
  </si>
  <si>
    <t>Scooter Rental Naxos | Licence, Safety &amp; Live Availability</t>
  </si>
  <si>
    <t>Check whether scooter rental is currently offered in Naxos, which licence and safety rules apply, and compare a scooter with a car for your route.</t>
  </si>
  <si>
    <t>Scooter rental in Naxos: availability and rules</t>
  </si>
  <si>
    <t>PUBLISH ONLY AFTER INVENTORY CONFIRMATION. This URL generated 100 clicks and 2,800 impressions in the attached GSC period but now returns 404. If scooters remain an active service, restore the page with live inventory, licence classes, helmets, insurance, excess and road restrictions. If not, permanently redirect it to an honest scooter-versus-car guide and remove it from fleet navigation.
## Current availability
{{OWNER_DECISION: SCOOTERS_OFFERED_YES_OR_NO}}.
## Licence and age
Insert the verified licence category and minimum-age rule for each engine class.
## Insurance and safety equipment
List only signed terms and included protective equipment.
## Scooter or car for Naxos
Compare wind, luggage, passenger count, villages, night driving and weather without overselling either option.
## Next step
Check live availability for your dates or contact +306948820568.</t>
  </si>
  <si>
    <t>Owner decision</t>
  </si>
  <si>
    <t>Owner-operated since 2018</t>
  </si>
  <si>
    <t>Buses cover the obvious beaches. A rental car opens up everything else - and Naxos has a lot of everything else.</t>
  </si>
  <si>
    <t>Do you need a car in Naxos? An honest 2026 guide</t>
  </si>
  <si>
    <t>Most travel blogs still quote pre-2026 speed limits. Here&amp;#x27;s what actually applies on Naxos roads today - and what catches tourists off guard.</t>
  </si>
  <si>
    <t>Driving in Naxos: roads, rules and the 2026 traffic code</t>
  </si>
  <si>
    <t>Complete 2026 price guide for car rental in Naxos. Daily rates by season, manual vs automatic price differences, fuel costs, and how to avoid hidden fee traps.</t>
  </si>
  <si>
    <t>Naxos Rent a Car Prices (2026): Average Costs &amp; Avoid Hidden Fees</t>
  </si>
  <si>
    <t>Hyundai i10 ενοικίαση Νάξος</t>
  </si>
  <si>
    <t>The Tragea loop is the most photogenic drive in the Cyclades - marble streets, kitron distilleries, Venetian towers and souvlaki under 800-year-old plane tre…</t>
  </si>
  <si>
    <t>Naxos mountain villages by car: Chalki, Filoti, Apeiranthos guide</t>
  </si>
  <si>
    <t>Toyota Aygo X ενοικίαση Νάξος</t>
  </si>
  <si>
    <t>Fiat Panda ενοικίαση Νάξος</t>
  </si>
  <si>
    <t>JNX is a small regional airport under 4 km from Chora&amp;#x27;s port. No permanent rental desks - here&amp;#x27;s exactly how meet-and-greet car rental works and what to do o…</t>
  </si>
  <si>
    <t>Naxos Airport (JNX) guide: car rental, transfers and what to expect</t>
  </si>
  <si>
    <t>Ακριβές Περιεχόμενο Δημοσίευσης — Ελληνικά</t>
  </si>
  <si>
    <t>Compare Naxos car rental insurance options: Basic CDW (included), Full CDW (€150 excess) and Zero Excess CDW. Learn what&amp;#x27;s covered, deposits, and coverages.</t>
  </si>
  <si>
    <t>Insurance &amp; coverage</t>
  </si>
  <si>
    <t>Ενοικίαση Αυτοκινήτου Νάξος | Εύκολη Online Κράτηση</t>
  </si>
  <si>
    <t>Ενοικιάστε αυτοκίνητο στη Νάξο από τοπική ομάδα. Δείτε μικρά, αυτόματα, οικογενειακά και 4×4 και επιβεβαιώστε online διαθεσιμότητα.</t>
  </si>
  <si>
    <t>Ενοικίαση αυτοκινήτου στη Νάξο, χωρίς περιττή ταλαιπωρία</t>
  </si>
  <si>
    <t>Επιλέξτε το σωστό αυτοκίνητο για το πρόγραμμά σας στη Νάξο, ελέγξτε ζωντανά τη διαθεσιμότητα και συνεχίστε στο ασφαλές σύστημα κρατήσεων. Τα μικρά αυτοκίνητα βολεύουν στη Χώρα και στις δυτικές παραλίες, ενώ υπάρχουν επιλογές αυτόματων, οικογενειακών και SUV για μεγαλύτερες διαδρομές. Οι τιμές, η διαθεσιμότητα και οι όροι επιβεβαιώνονται για τις δικές σας ημερομηνίες πριν από την πληρωμή.
## Βρείτε το σωστό αυτοκίνητο για τη Νάξο
Ξεκινήστε από επιβάτες, αποσκευές, κιβώτιο και διαδρομές. Επιλέξτε μικρό αυτοκίνητο για εύκολο παρκάρισμα, αυτόματο για άνετη οδήγηση, επταθέσιο για οικογένεια ή SUV/4×4 όταν χρειάζεστε περισσότερο χώρο και απόσταση από το έδαφος.
## Οργανώστε την παραλαβή γύρω από την άφιξή σας
Επιλέξτε τα σημεία παραλαβής και επιστροφής που εμφανίζει το σύστημα κρατήσεων. Προσθέστε στοιχεία πλοίου ή πτήσης όταν ζητηθούν, ώστε η τοπική ομάδα να επιβεβαιώσει τις πρακτικές οδηγίες παράδοσης.
## Κάντε κράτηση με όλους τους όρους ορατούς
Πριν από την ολοκλήρωση πρέπει να εμφανίζονται συνολική τιμή, κάλυψη, απαλλαγή, πολιτική καυσίμων, χιλιόμετρα, εγγύηση ή απαίτηση κάρτας, ακυρωτικά και προαιρετικά extras. Κανένας όρος δεν πρέπει να αντικαθίσταται από μη επιβεβαιωμένη διαφημιστική υπόσχεση.
## Χρησιμοποιήστε τους οδηγούς οδήγησης στη Νάξο
Διαβάστε τους οδηγούς για λιμάνι, αεροδρόμιο, παρκάρισμα, παραλίες και ορεινά χωριά πριν επιλέξετε όχημα. Κάθε οδηγός συνδέεται με την κατάλληλη κατηγορία στόλου και το επόμενο βήμα κράτησης.
## Επόμενο βήμα
Ελέγξτε live διαθεσιμότητα για τις ημερομηνίες σας ή καλέστε +306948820568.</t>
  </si>
  <si>
    <t>Fiat 500 Cabrio ενοικίαση Νάξος</t>
  </si>
  <si>
    <t>Beach village blending into Agios Prokopios</t>
  </si>
  <si>
    <t>Car rental Agia Anna</t>
  </si>
  <si>
    <t>Στόλος Αυτοκινήτων Νάξος | Μικρά, Αυτόματα, SUV &amp; 7θέσια</t>
  </si>
  <si>
    <t>Δείτε τον στόλο ενοικιαζόμενων στη Νάξο ανά μέγεθος, κιβώτιο και τύπο ταξιδιού. Ελέγξτε διαθεσιμότητα για μικρά, αυτόματα, οικογενειακά και SUV.</t>
  </si>
  <si>
    <t>Επιλέξτε το αυτοκίνητό σας στη Νάξο</t>
  </si>
  <si>
    <t>Συγκρίνετε οχήματα με βάση θέσεις, αποσκευές, κιβώτιο, καύσιμο και τις διαδρομές που σχεδιάζετε. Κάθε κάρτα οδηγεί σε ξεχωριστή σελίδα οχήματος και σε ζωντανό έλεγχο διαθεσιμότητας.
## Μικρά αυτοκίνητα
Ιδανικά για ζευγάρια, παρκάρισμα στη Χώρα και τις ασφαλτοστρωμένες διαδρομές της δυτικής ακτής.
## Αυτόματα αυτοκίνητα
Πιο ξεκούραστη επιλογή για άγνωστους δρόμους και αυξημένη θερινή κίνηση.
## Οικογενειακά και επταθέσια
Δώστε έμφαση στον πραγματικό χώρο αποσκευών, στη συμβατότητα με παιδικά καθίσματα και στα σαφή όρια επιβατών.
## SUV και 4×4
Επιλέξτε περισσότερο χώρο ή απόσταση από το έδαφος για μεγαλύτερες διαδρομές· μην υπονοείτε off-road χρήση αν δεν επιτρέπεται ρητά από τους όρους.
## Επόμενο βήμα
Ελέγξτε live διαθεσιμότητα για τις ημερομηνίες σας ή καλέστε +306948820568.</t>
  </si>
  <si>
    <t>Ενοικιαζόμενα Αυτοκίνητα Νάξος | Μικρά, Αυτόματα &amp; SUV</t>
  </si>
  <si>
    <t>Συγκρίνετε ενοικιαζόμενα αυτοκίνητα στη Νάξο ανά θέσεις, αποσκευές, κιβώτιο και χρήση. Δείτε λεπτομέρειες και διαθεσιμότητα για τις ημερομηνίες σας.</t>
  </si>
  <si>
    <t>Ενοικιαζόμενα αυτοκίνητα στη Νάξο</t>
  </si>
  <si>
    <t>Χρησιμοποιήστε φίλτρα που απαντούν σε πραγματικές ανάγκες κράτησης: αυτόματο ή χειροκίνητο, επιβάτες, αποσκευές, τύπος αμαξώματος και ζωντανή διαθεσιμότητα. Τα ονόματα μοντέλων πρέπει να είναι ακριβή και να δηλώνεται καθαρά αν η κράτηση αφορά συγκεκριμένο μοντέλο ή παρόμοια κατηγορία.
## Σύγκριση με μία ματιά
Εμφανίστε θέσεις, αποσκευές, πόρτες, κιβώτιο, καύσιμο και κλιματισμό με την ίδια σειρά σε κάθε κάρτα.
## Ταιριάξτε το όχημα με τη διαδρομή
Συνδέστε τα μικρά αυτοκίνητα με Χώρα και παραλίες, τα οικογενειακά με μεγαλύτερες ημέρες και τα SUV με διαδρομές που απαιτούν χώρο.
## Ελέγξτε ζωντανά τη διαθεσιμότητα
Μην εμφανίζετε παλιές τιμές. Στείλτε ημερομηνίες και σημείο παραλαβής στο booking engine και επιστρέψτε πλήρη προσφορά.
## Διαβάστε τους όρους
Τοποθετήστε συνδέσμους για ασφάλιση, εγγύηση, δίπλωμα, ηλικία, καύσιμα και ακυρωτικά δίπλα στο βασικό CTA.
## Επόμενο βήμα
Ελέγξτε live διαθεσιμότητα για τις ημερομηνίες σας ή καλέστε +306948820568.</t>
  </si>
  <si>
    <t>Windsurf and kitesurf central - perfect for 4x4 cars</t>
  </si>
  <si>
    <t>Car rental Mikri Vigla</t>
  </si>
  <si>
    <t>Τιμές Ενοικίασης Αυτοκινήτου Νάξος | Τι Επηρεάζει το Κόστος</t>
  </si>
  <si>
    <t>Δείτε τι επηρεάζει την τιμή ενοικίασης στη Νάξο: ημερομηνίες, κατηγορία, κάλυψη, παραλαβή, extras και ακύρωση. Ελέγξτε το τελικό ποσό online.</t>
  </si>
  <si>
    <t>Citroën C3 ενοικίαση Νάξος</t>
  </si>
  <si>
    <t>Τιμές ενοικίασης αυτοκινήτου στη Νάξο, ξεκάθαρα</t>
  </si>
  <si>
    <t>Η μόνη αξιόπιστη τιμή είναι το ζωντανό συνολικό ποσό για τις ημερομηνίες και το όχημά σας. Η σελίδα εξηγεί τους παράγοντες που το διαμορφώνουν και τι πρέπει να ελέγξετε πριν την κράτηση· δεν πρέπει να εμφανίζει ενδεικτικές τιμές αν η επιχείρηση δεν μπορεί να τις ενημερώνει συνεχώς.
## Τι αλλάζει την τιμή
Εποχή, διάρκεια, κατηγορία οχήματος, κιβώτιο, τρόπος παραλαβής και ζήτηση μπορούν να αλλάξουν την προσφορά.
## Τι πρέπει να δείχνει το σύνολο
Πριν από την πληρωμή εμφανίστε φόρους, περιλαμβανόμενη κάλυψη, απαλλαγή, χιλιόμετρα, καύσιμα, extras, εγγύηση ή δέσμευση κάρτας και ακυρωτικά.
## Πώς να συγκρίνετε προσφορές
Συγκρίνετε ίδιες ημερομηνίες, κατηγορία, κάλυψη και παραλαβή. Μια χαμηλότερη αρχική τιμή δεν είναι φθηνότερη αν προστεθούν ουσιαστικές χρεώσεις αργότερα.
## Δείτε το ζωντανό σύνολο
Εισαγάγετε ακριβείς ημερομηνίες και σημείο παραλαβής στο σύστημα κρατήσεων και ελέγξτε την πλήρη ανάλυση.
## Επόμενο βήμα
Ελέγξτε live διαθεσιμότητα για τις ημερομηνίες σας ή καλέστε +306948820568.</t>
  </si>
  <si>
    <t>Ασφάλεια Ενοικιαζόμενου Νάξος | Κάλυψη, Απαλλαγή &amp; Εξαιρέσεις</t>
  </si>
  <si>
    <t>Διαβάστε την επιβεβαιωμένη κάλυψη, απαλλαγή, εξαιρέσεις και ευθύνες οδηγού. Το περιεχόμενο πρέπει να συμφωνεί ακριβώς με τους όρους κράτησης.</t>
  </si>
  <si>
    <t>Ασφάλεια ενοικιαζόμενου αυτοκινήτου στη Νάξο</t>
  </si>
  <si>
    <t>Η γλώσσα της ασφάλισης πρέπει να είναι απολύτως ακριβής. Εξηγήστε τι περιλαμβάνει η βασική μίσθωση, την απαλλαγή κάθε επιλογής, τις εξαιρέσεις, τα έγγραφα μετά από συμβάν και τα βήματα για οδική βοήθεια. Αν ένας όρος αλλάζει ανά όχημα, εμφανίστε τον στη σελίδα οχήματος ή στο checkout.
## Περιλαμβανόμενη κάλυψη
Προσθέστε την εγκεκριμένη ονομασία και το εύρος κάλυψης ακριβώς όπως εμφανίζονται στη σύμβαση: {{VERIFIED_BASE_COVER}}.
## Απαλλαγή και προαιρετική κάλυψη
Δηλώστε την απαλλαγή σε ευρώ για κάθε κατηγορία και την επιβεβαιωμένη επίδραση κάθε προαιρετικής κάλυψης: {{VERIFIED_EXCESS_TABLE}}.
## Συνήθεις εξαιρέσεις
Αναφέρετε ελαστικά, τζάμια, κάτω μέρος, κλειδιά, λάθος καύσιμο, μη εξουσιοδοτημένους οδηγούς, απαγορευμένους δρόμους και παραβάσεις μόνο όταν περιλαμβάνονται στους υπογεγραμμένους όρους.
## Τι κάνετε μετά από συμβάν
Σταματήστε με ασφάλεια, επικοινωνήστε με την εταιρεία και τις αρχές όπου απαιτείται, καταγράψτε το συμβάν και ακολουθήστε τη διαδικασία της σύμβασης πριν μετακινήσετε ή επισκευάσετε το όχημα.
## Επόμενο βήμα
Ελέγξτε live διαθεσιμότητα για τις ημερομηνίες σας ή καλέστε +306948820568.</t>
  </si>
  <si>
    <t>The capital - and where our office sits</t>
  </si>
  <si>
    <t>Ενοικίαση Αυτοκινήτου Νάξος FAQ | Δίπλωμα, Ασφάλεια &amp; Παραλαβή</t>
  </si>
  <si>
    <t>Car rental Naxos Town (Chora)</t>
  </si>
  <si>
    <t>Σαφείς απαντήσεις για δίπλωμα, ηλικία, ασφάλεια, εγγύηση, παραλαβή, καύσιμα, πλοία, ακύρωση και κράτηση αυτοκινήτου στη Νάξο.</t>
  </si>
  <si>
    <t>Ερωτήσεις για ενοικίαση αυτοκινήτου στη Νάξο</t>
  </si>
  <si>
    <t>Οι παρακάτω ερωτήσεις πρέπει να έχουν ορατές, σύντομες απαντήσεις και συνδέσμους προς τον αναλυτικό όρο ή οδηγό. Η Google αφαίρεσε τα FAQ rich results το 2026, άρα η σελίδα εξυπηρετεί χρήστες, internal linking και σαφή κατανόηση—not υπόσχεση rich result.
## Πριν από την κράτηση
Καλύψτε δίπλωμα, ελάχιστη ηλικία, τρόπο πληρωμής, εγγύηση, διαθεσιμότητα και τι περιλαμβάνει η προσφορά.
## Παραλαβή και επιστροφή
Εξηγήστε το επιβεβαιωμένο σημείο συνάντησης, στοιχεία άφιξης, καθυστερήσεις, καύσιμα και έλεγχο οχήματος.
## Κατά τη μίσθωση
Εξηγήστε εξουσιοδοτημένους οδηγούς, περιορισμούς δρόμων, στάθμευση, συμβάντα και επικοινωνία οδικής βοήθειας.
## Αλλαγές και ακύρωση
Συνδέστε την ακριβή, εγκεκριμένη πολιτική ακύρωσης και τη διαδικασία τροποποίησης κράτησης.
## Επόμενο βήμα
Ελέγξτε live διαθεσιμότητα για τις ημερομηνίες σας ή καλέστε +306948820568.</t>
  </si>
  <si>
    <t>Παραλαβή Αυτοκινήτου Νάξος | Λιμάνι, Αεροδρόμιο &amp; Παραλίες</t>
  </si>
  <si>
    <t>Οργανώστε παραλαβή αυτοκινήτου σε λιμάνι, αεροδρόμιο, Χώρα ή διαθέσιμες παραλιακές περιοχές. Επιβεβαιώστε ακριβές σημείο και διαθεσιμότητα.</t>
  </si>
  <si>
    <t>Σημεία παραλαβής αυτοκινήτου στη Νάξο</t>
  </si>
  <si>
    <t>Επιλέξτε την περιοχή άφιξης ή διαμονής που ταιριάζει στο ταξίδι σας και επιβεβαιώστε τις ακριβείς οδηγίες συνάντησης στην κράτηση. Χρησιμοποιήστε όρους όπως δωρεάν, σε όλο το νησί ή 24/7 μόνο όταν επιβεβαιώνονται από εγκεκριμένους όρους.
## Λιμάνι Νάξου
Σελίδα άφιξης με πλοίο με σημείο συνάντησης, διαχείριση καθυστέρησης, αποσκευές και σύνδεση με οδηγό parking στη Χώρα.
## Αεροδρόμιο Νάξου (JNX)
Σελίδα άφιξης με πτήση με επιβεβαιωμένο τρόπο παράδοσης, πεδίο στοιχείων πτήσης και διαδρομή προς τη Χώρα.
## Χώρα και δυτικές παραλίες
Δημιουργήστε ξεχωριστές σελίδες για Χώρα, Άγιο Προκόπιο, Αγία Άννα, Πλάκα και Μικρή Βίγλα με μοναδικές τοπικές πληροφορίες.
## Επιβεβαιώστε την παράδοση
Επαναλάβετε επιλεγμένο σημείο, ημερομηνία, ώρα και τρόπο επικοινωνίας στο email επιβεβαίωσης και στη σύνοψη κράτησης.
## Επόμενο βήμα
Ελέγξτε live διαθεσιμότητα για τις ημερομηνίες σας ή καλέστε +306948820568.</t>
  </si>
  <si>
    <t>Οδηγοί Οδήγησης Νάξος | Διαδρομές, Parking &amp; Παραλίες</t>
  </si>
  <si>
    <t>Τοπικοί οδηγοί για παραλαβή σε λιμάνι/αεροδρόμιο, parking, παραλίες, χωριά, road trips, δίπλωμα, ασφάλεια και επιλογή οχήματος.</t>
  </si>
  <si>
    <t>Kia Picanto ενοικίαση Νάξος</t>
  </si>
  <si>
    <t>Οδηγοί οδήγησης και ενοικίασης αυτοκινήτου στη Νάξο</t>
  </si>
  <si>
    <t>Discover Naxos</t>
  </si>
  <si>
    <t>Οργανώστε τη βιβλιοθήκη γύρω από αποφάσεις—not ημερομηνίες δημοσίευσης: αν χρειάζεται αυτοκίνητο, ποιο να επιλέξετε, πού να το παραλάβετε, τι σημαίνουν οι όροι και ποιες διαδρομές αξίζουν μια ημέρα οδήγησης.
## Οργανώστε τη μίσθωση
Οδηγοί για τιμές, ασφάλεια, πληρωμή, δίπλωμα, παραλαβή και σύγκριση.
## Οδηγήστε με σιγουριά
Parking, κανόνες, καύσιμα, αποστάσεις και πρακτικές σημειώσεις διαδρομών.
## Σχεδιάστε μια ημέρα στο νησί
Παραλίες, ορεινά χωριά και πολυήμερα road trips με ειλικρινείς χρόνους οδήγησης.
## Κρατήστε κάθε οδηγό ενημερωμένο
Εμφανίστε ονομαστικό συγγραφέα, ημερομηνία ελέγχου, πηγές, τρόπο διορθώσεων και links προς τη σχετική εμπορική σελίδα.
## Επόμενο βήμα
Ελέγξτε live διαθεσιμότητα για τις ημερομηνίες σας ή καλέστε +306948820568.</t>
  </si>
  <si>
    <t>Οδηγός Νάξου 2026 | Παραλίες, Χωριά, Διαδρομές &amp; Tips</t>
  </si>
  <si>
    <t>Οργανώστε τη Νάξο με πρακτικό οδηγό για παραλίες, ορεινά χωριά, Χώρα, φαγητό, πεζοπορία, μετακινήσεις, διαδρομές και ιδανική διάρκεια.</t>
  </si>
  <si>
    <t>Οδηγός Νάξου: ακτές, χωριά και διαδρομές</t>
  </si>
  <si>
    <t>Η Νάξος ανταμείβει όσους συνδυάζουν τα πεζοδρομημένα σοκάκια της Χώρας, τη μεγάλη αμμώδη δυτική ακτή και τα ορεινά χωριά της ενδοχώρας. Χρησιμοποιήστε τον οδηγό για να επιλέξετε βάση, διάρκεια και να ξεχωρίσετε τι εξυπηρετείται με λεωφορείο από τις διαδρομές που γίνονται ευκολότερα με αυτοκίνητο.
## Η Νάξος σε ένα λεπτό
Το μεγαλύτερο νησί των Κυκλάδων, με Χώρα και Πορτάρα στα δυτικά, μεγάλη παραλιακή ζώνη προς νοτιοδυτικά και ορεινή ενδοχώρα γύρω από Χαλκί, Φιλώτι και Απείρανθο.
## Πόσες ημέρες χρειάζονται
Τρεις ημέρες καλύπτουν Χώρα, μία ημέρα παραλίας και έναν γύρο χωριών· τέσσερις έως πέντε επιτρέπουν πιο χαλαρές παραλίες, Ζα ή διαδρομή προς βόρεια ακτή.
## Πού να μείνετε
Επιλέξτε Χώρα για πλοία και βράδια, Άγιο Προκόπιο ή Αγία Άννα για εύκολη παραλία, Πλάκα για πιο ήσυχη ακτή ή χωριό για εμπειρία ενδοχώρας.
## Μετακινήσεις
Τα λεωφορεία εξυπηρετούν Χώρα και δημοφιλείς δυτικές παραλίες. Το αυτοκίνητο δίνει ευελιξία για χωριά, αρχαιολογικούς χώρους, πρωινές αναχωρήσεις και ημέρες με πολλές στάσεις.
## Καλύτερες διαδρομές
Συνδέστε κυκλική διαδρομή χωριών, ημέρα νοτιοδυτικών παραλιών, βόρεια ακτή και σύντομη διαδρομή ημέρας άφιξης με ρεαλιστικές στάσεις.
## Σχεδιάστε με επιβεβαιωμένες πληροφορίες
Ελέγξτε πλοία, πτήσεις, δρόμους και ωράρια κοντά στο ταξίδι· κάθε χρονικά ευαίσθητη πληροφορία χρειάζεται ημερομηνία ελέγχου και πηγή.
## Επόμενο βήμα
Ελέγξτε live διαθεσιμότητα για τις ημερομηνίες σας ή καλέστε +306948820568.</t>
  </si>
  <si>
    <t>Beaches &amp; villages</t>
  </si>
  <si>
    <t>Καλύτερες Παραλίες Νάξου | Χάρτης, Parking &amp; Αυτοκίνητο</t>
  </si>
  <si>
    <t>Συγκρίνετε παραλίες Νάξου ανά άμμο, αέρα, οικογένειες, παροχές, parking και χρόνο από Χώρα—από Άγιο Προκόπιο έως Αλυκό.</t>
  </si>
  <si>
    <t>Παραλίες Νάξου: επιλέξτε με βάση αέρα, πρόσβαση και εμπειρία</t>
  </si>
  <si>
    <t>Η δυτική ακτή διευκολύνει το beach-hopping, αλλά η σωστή παραλία αλλάζει ανάλογα με αέρα, παιδιά, θαλάσσια σπορ, παροχές και απόσταση. Ξεκινήστε από συγκριτικό πίνακα και ανοίξτε μετά την αναλυτική διαδρομή.
## Κοντά στη Χώρα
Ο Άγιος Γεώργιος ταιριάζει σε σύντομη βουτιά από τη Χώρα· η πίεση στο parking αυξάνεται τις ώρες αιχμής.
## Η κλασική τριάδα της δυτικής ακτής
Άγιος Προκόπιος, Αγία Άννα και Πλάκα προσφέρουν μεγάλες αμμώδεις ζώνες με διαφορετική ισορροπία παροχών και χώρου.
## Άνεμος και θαλάσσια σπορ
Η Μικρή Βίγλα είναι επιλογή που επηρεάζεται από τον άνεμο· ξεχωρίστε πάντα γενικές πληροφορίες από τρέχουσες συνθήκες και ασφάλεια.
## Πιο ήσυχα νοτιοδυτικά
Καστράκι, Γλυφάδα, Αλυκό και Πυργάκι ανταμείβουν την πρωινή αναχώρηση και το αυτοκίνητο, αλλά οι παροχές διαφέρουν.
## Parking και επιλογή οχήματος
Χρησιμοποιήστε επιβεβαιωμένες σημειώσεις parking, μην υπόσχεστε πρόσβαση σε χωματόδρομους και συνδέστε τις κατάλληλες κατηγορίες οχήματος.
## Επόμενο βήμα
Ελέγξτε live διαθεσιμότητα για τις ημερομηνίες σας ή καλέστε +306948820568.</t>
  </si>
  <si>
    <t>Peugeot 208 ενοικίαση Νάξος</t>
  </si>
  <si>
    <t>Fast Motor Rental Naxos | Τοπική Ομάδα &amp; Στοιχεία Επικοινωνίας</t>
  </si>
  <si>
    <t>Γνωρίστε τη Fast Motor Rental Naxos, δείτε επιβεβαιωμένα εταιρικά στοιχεία, πώς γίνεται η κράτηση και τα επίσημα κανάλια υποστήριξης.</t>
  </si>
  <si>
    <t>Τοπική ομάδα ενοικιάσεων στη Νάξο, με σαφή στοιχεία</t>
  </si>
  <si>
    <t>Αντικαταστήστε τις γενικές υποσχέσεις με αποδείξεις: νομική επωνυμία, ιστορία λειτουργίας, ονομαστική ομάδα, φυσικό σημείο εξυπηρέτησης, στοιχεία εγγραφής, διαδικασία συντήρησης στόλου και επιβεβαιωμένα review profiles. Μέχρι να εγκριθούν, χρησιμοποιήστε placeholders αντί για επινοημένα trust signals.
## Ποιος λειτουργεί την υπηρεσία
{{LEGAL_BUSINESS_NAME}}, {{REGISTRATION_NUMBER}}, {{PHYSICAL_ADDRESS}}.
## Πώς προετοιμάζεται ο στόλος
Δημοσιεύστε την εγκεκριμένη διαδικασία καθαρισμού, ελέγχου, συντήρησης και αντικατάστασης οχήματος.
## Επικοινωνία
Χρησιμοποιήστε μόνο το επιβεβαιωμένο τηλέφωνο +306948820568, το email info@fmrnaxos.gr και τα επίσημα social profiles.
## Ανεξάρτητη απόδειξη
Ενσωματώστε ή συνδέστε μόνο γνήσιες, επώνυμες πλατφόρμες κριτικών· ποτέ μην δημιουργείτε ή μαρκάρετε επινοημένα testimonials.
## Επόμενο βήμα
Ελέγξτε live διαθεσιμότητα για τις ημερομηνίες σας ή καλέστε +306948820568.</t>
  </si>
  <si>
    <t>Car rental terms and conditions: driver requirements, driving licenses, cancellation policy, unpaved off-road rules, ferry transport, and damage protocols.</t>
  </si>
  <si>
    <t>Terms &amp; Conditions</t>
  </si>
  <si>
    <t>Επικοινωνία Fast Motor Rental Naxos | Τηλέφωνο, WhatsApp &amp; Email</t>
  </si>
  <si>
    <t>naxos guide</t>
  </si>
  <si>
    <t>Επικοινωνήστε με Fast Motor Rental Naxos στο +306948820568 ή στο info@fmrnaxos.gr. Για ζωντανή διαθεσιμότητα χρησιμοποιήστε το σύστημα κρατήσεων.</t>
  </si>
  <si>
    <t>Επικοινωνία με Fast Motor Rental Naxos</t>
  </si>
  <si>
    <t>Για διαθεσιμότητα και τιμή χρησιμοποιήστε το ζωντανό booking engine. Για υπάρχουσα κράτηση αναφέρετε κωδικό, όνομα κύριου οδηγού και ημερομηνία παραλαβής—but ποτέ στοιχεία κάρτας μέσω email ή μηνύματος.
## Online κράτηση
Ανοίξτε το https://fastmotorentalnaxos.cosmicbooker.com για ημερομηνίες και οχήματα.
## Τηλέφωνο και WhatsApp
+306948820568. Εμφανίστε ώρες υποστήριξης όταν επιβεβαιωθούν: {{SUPPORT_HOURS}}.
## Email
info@fmrnaxos.gr. Δηλώστε χρόνο απάντησης μόνο μετά από έγκριση: {{RESPONSE_TIME}}.
## Στοιχεία επιχείρησης
Προσθέστε επιβεβαιωμένη διεύθυνση, map pin, νομική επωνυμία και αριθμό εγγραφής με συνέπεια σε site και Business Profile.
## Επόμενο βήμα
Ελέγξτε live διαθεσιμότητα για τις ημερομηνίες σας ή καλέστε +306948820568.</t>
  </si>
  <si>
    <t>Strategic fan-out; validate volume in Ahrefs/Semrush</t>
  </si>
  <si>
    <t>naxos travel guide 2026</t>
  </si>
  <si>
    <t>fr</t>
  </si>
  <si>
    <t>Κράτηση Αυτοκινήτου Νάξος | Ζωντανή Διαθεσιμότητα</t>
  </si>
  <si>
    <t>things to do in naxos</t>
  </si>
  <si>
    <t>Εισαγάγετε ημερομηνίες, παραλαβή και στοιχεία οδηγού για ζωντανή διαθεσιμότητα, τελικό ποσό και ασφαλή κράτηση στη Νάξο.</t>
  </si>
  <si>
    <t>Δείτε διαθέσιμα αυτοκίνητα για τις ημερομηνίες σας</t>
  </si>
  <si>
    <t>Κρατήστε τη ροή κράτησης σε μία οπτική επιφάνεια: ημερομηνίες, παραλαβή, επιστροφή, ηλικία οδηγού, αποτελέσματα, περιλαμβανόμενα και σύνολο. Διατηρήστε campaign και page context κατά τη μετάβαση στο εξωτερικό booking engine.
## 1. Στοιχεία ταξιδιού
Παραλαβή, επιστροφή, ημερομηνία, ώρα και ηλικία οδηγού.
## 2. Σύγκριση διαθέσιμων αυτοκινήτων
Εμφανίστε τα ίδια χαρακτηριστικά και τη βάση τελικής τιμής σε κάθε αποτέλεσμα.
## 3. Έλεγχος όρων
Τοποθετήστε ασφάλεια, απαλλαγή, εγγύηση, καύσιμα, χιλιόμετρα και ακυρωτικά πριν την τελική ενέργεια.
## 4. Ασφαλής επιβεβαίωση
Χρησιμοποιήστε το επίσημο booking engine· ποτέ συλλογή στοιχείων κάρτας από το marketing site ή messaging apps.
## Επόμενο βήμα
Ελέγξτε live διαθεσιμότητα για τις ημερομηνίες σας ή καλέστε +306948820568.</t>
  </si>
  <si>
    <t>best beaches in naxos</t>
  </si>
  <si>
    <t>Location de voiture à Naxos</t>
  </si>
  <si>
    <t>Suzuki Jimny 4×4 ενοικίαση Νάξος</t>
  </si>
  <si>
    <t>naxos villages</t>
  </si>
  <si>
    <t>Louer une voiture à Naxos</t>
  </si>
  <si>
    <t>Καλύτερη Ενοικίαση Αυτοκινήτου στη Νάξο: 12 Κριτήρια</t>
  </si>
  <si>
    <t>Καλύτερη Ενοικίαση Αυτοκινήτου στη Νάξο: 12 Κριτήρια. Άμεση απάντηση, επιβεβαιωμένα κριτήρια, πρακτικό πλαίσιο για τη Νάξο και σύνδεση με στόλο, όρους και κρά</t>
  </si>
  <si>
    <t>naxos itinerary 3 days</t>
  </si>
  <si>
    <t>Ο οδηγός απαντά στο “καλύτερη ενοικίαση αυτοκινήτου Νάξος αξιολογήσεις”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Συγκρίνετε ίδιους όρους
Δώστε την απάντηση στις δύο πρώτες προτάσεις και μετά προσθέστε το ειδικό πλαίσιο της Νάξου που αλλάζει την απόφαση.
## Κριτικές που μπορείτε να επαληθεύσετε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Όροι που αλλάζουν το πραγματικό κόστος
Προσθέστε πρακτικά βήματα, εξαιρέσεις και ένα σχετικό internal link αντί να επαναλαμβάνετε το keyword.
## Απόδειξη παραλαβής, οχήματος και υποστήριξης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</si>
  <si>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naxos road trip</t>
  </si>
  <si>
    <t>Ενοικίαση Αυτοκινήτου Νάξος Χωρίς Πιστωτική: Τι να Ελέγξετε</t>
  </si>
  <si>
    <t>https://naxos-carrentals.com/fr/fleet</t>
  </si>
  <si>
    <t xml:space="preserve">Ενοικίαση Αυτοκινήτου Νάξος Χωρίς Πιστωτική: Τι να Ελέγξετε. Άμεση απάντηση, επιβεβαιωμένα κριτήρια, πρακτικό πλαίσιο για τη Νάξο και σύνδεση με στόλο, όρους </t>
  </si>
  <si>
    <t>Ο οδηγός απαντά στο “ενοικίαση αυτοκινήτου Νάξος χωρίς πιστωτική κάρτα”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Άλλο κάρτα, άλλο χρεωστική, άλλο μετρητά
Δώστε την απάντηση στις δύο πρώτες προτάσεις και μετά προσθέστε το ειδικό πλαίσιο της Νάξου που αλλάζει την απόφαση.
## Εγγύηση και πληρωμή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Η ασφάλιση δεν καταργεί κάθε προϋπόθεση
Προσθέστε πρακτικά βήματα, εξαιρέσεις και ένα σχετικό internal link αντί να επαναλαμβάνετε το keyword.
## Τι να ρωτήσετε πριν την κράτηση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</si>
  <si>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where to stay in naxos</t>
  </si>
  <si>
    <t>Flotte de Location Voiture Naxos - FMR Naxos | Fast Motor Rental… | Fast Motor Rental Naxos</t>
  </si>
  <si>
    <t>Τιμές Ενοικίασης Αυτοκινήτου Νάξος: Πλήρης Ανάλυση</t>
  </si>
  <si>
    <t>naxos parking</t>
  </si>
  <si>
    <t>Τιμές Ενοικίασης Αυτοκινήτου Νάξος: Πλήρης Ανάλυση. Άμεση απάντηση, επιβεβαιωμένα κριτήρια, πρακτικό πλαίσιο για τη Νάξο και σύνδεση με στόλο, όρους και κράτη</t>
  </si>
  <si>
    <t>Dacia Duster ενοικίαση Νάξος</t>
  </si>
  <si>
    <t>Ο οδηγός απαντά στο “τιμές ενοικίασης αυτοκινήτου Νάξος”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Γιατί αλλάζουν οι τιμές
Δώστε την απάντηση στις δύο πρώτες προτάσεις και μετά προσθέστε το ειδικό πλαίσιο της Νάξου που αλλάζει την απόφαση.
## Σύγκριση ίδιας κάλυψης και κατηγορίας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Χρεώσεις και όροι που πρέπει να φαίνονται
Προσθέστε πρακτικά βήματα, εξαιρέσεις και ένα σχετικό internal link αντί να επαναλαμβάνετε το keyword.
## Ακριβής ζωντανή προσφορά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</si>
  <si>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Notre flotte à Naxos</t>
  </si>
  <si>
    <t>driving in naxos</t>
  </si>
  <si>
    <t>Παραλαβή Αυτοκινήτου Νάξος: Λιμάνι ή Αεροδρόμιο</t>
  </si>
  <si>
    <t>Παραλαβή Αυτοκινήτου Νάξος: Λιμάνι ή Αεροδρόμιο. Άμεση απάντηση, επιβεβαιωμένα κριτήρια, πρακτικό πλαίσιο για τη Νάξο και σύνδεση με στόλο, όρους και κράτηση.</t>
  </si>
  <si>
    <t>Ο οδηγός απαντά στο “ενοικίαση αυτοκινήτου Νάξος λιμάνι ή αεροδρόμιο”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Επιλογή με βάση την άφιξη
Δώστε την απάντηση στις δύο πρώτες προτάσεις και μετά προσθέστε το ειδικό πλαίσιο της Νάξου που αλλάζει την απόφαση.
## Checklist λιμανιού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Checklist αεροδρομίου
Προσθέστε πρακτικά βήματα, εξαιρέσεις και ένα σχετικό internal link αντί να επαναλαμβάνετε το keyword.
## Διαφορετικό σημείο επιστροφής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</si>
  <si>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cheap car rental naxos</t>
  </si>
  <si>
    <t>Διεθνές Δίπλωμα Οδήγησης στην Ελλάδα: Κανόνες Ενοικίασης</t>
  </si>
  <si>
    <t>Διεθνές Δίπλωμα Οδήγησης στην Ελλάδα: Κανόνες Ενοικίασης. Άμεση απάντηση, επιβεβαιωμένα κριτήρια, πρακτικό πλαίσιο για τη Νάξο και σύνδεση με στόλο, όρους και</t>
  </si>
  <si>
    <t>naxos car rental without credit card</t>
  </si>
  <si>
    <t>Ο οδηγός απαντά στο “διεθνές δίπλωμα οδήγησης Ελλάδα”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Ποιος μπορεί να χρειάζεται IDP
Δώστε την απάντηση στις δύο πρώτες προτάσεις και μετά προσθέστε το ειδικό πλαίσιο της Νάξου που αλλάζει την απόφαση.
## Άλλο νομική ισχύς, άλλο αποδοχή από εταιρεία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Έγγραφα που έχετε μαζί
Προσθέστε πρακτικά βήματα, εξαιρέσεις και ένα σχετικό internal link αντί να επαναλαμβάνετε το keyword.
## Επιβεβαίωση πριν το ταξίδι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</si>
  <si>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naxos car rental no deposit</t>
  </si>
  <si>
    <t>Χρειάζεται Αυτοκίνητο στη Νάξο; Ειλικρινής Οδηγός</t>
  </si>
  <si>
    <t>Χρειάζεται Αυτοκίνητο στη Νάξο; Ειλικρινής Οδηγός. Άμεση απάντηση, επιβεβαιωμένα κριτήρια, πρακτικό πλαίσιο για τη Νάξο και σύνδεση με στόλο, όρους και κράτησ</t>
  </si>
  <si>
    <t>Ο οδηγός απαντά στο “χρειάζεται αυτοκίνητο στη Νάξο”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Πότε δεν χρειάζεται αυτοκίνητο
Δώστε την απάντηση στις δύο πρώτες προτάσεις και μετά προσθέστε το ειδικό πλαίσιο της Νάξου που αλλάζει την απόφαση.
## Πότε το αυτοκίνητο αλλάζει το ταξίδι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Μίσθωση για μία ή δύο στρατηγικές ημέρες
Προσθέστε πρακτικά βήματα, εξαιρέσεις και ένα σχετικό internal link αντί να επαναλαμβάνετε το keyword.
## Επιλογή ανά βάση και πρόγραμμα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</si>
  <si>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naxos airport car rental</t>
  </si>
  <si>
    <t>Voitures - de la compacte au 7-places &amp; 4×4</t>
  </si>
  <si>
    <t>Toyota RAV4 Hybrid ενοικίαση Νάξος</t>
  </si>
  <si>
    <t>Νέος ΚΟΚ 2026: Τι Πρέπει να Ξέρουν οι Οδηγοί στη Νάξο</t>
  </si>
  <si>
    <t>Νέος ΚΟΚ 2026: Τι Πρέπει να Ξέρουν οι Οδηγοί στη Νάξο. Άμεση απάντηση, επιβεβαιωμένα κριτήρια, πρακτικό πλαίσιο για τη Νάξο και σύνδεση με στόλο, όρους και κρ</t>
  </si>
  <si>
    <t>automatic car rental naxos</t>
  </si>
  <si>
    <t>Ο οδηγός απαντά στο “νέος ΚΟΚ 2026”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Όρια και σήμανση
Δώστε την απάντηση στις δύο πρώτες προτάσεις και μετά προσθέστε το ειδικό πλαίσιο της Νάξου που αλλάζει την απόφαση.
## Ζώνες, κράνη και κινητό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Αλκοόλ και έλεγχοι
Προσθέστε πρακτικά βήματα, εξαιρέσεις και ένα σχετικό internal link αντί να επαναλαμβάνετε το keyword.
## Πηγή και ημερομηνία ελέγχου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</si>
  <si>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Καλύτερες Παραλίες Νάξου με Αυτοκίνητο: Διαδρομές &amp; Parking</t>
  </si>
  <si>
    <t>7 seater car rental naxos</t>
  </si>
  <si>
    <t xml:space="preserve">Καλύτερες Παραλίες Νάξου με Αυτοκίνητο: Διαδρομές &amp; Parking. Άμεση απάντηση, επιβεβαιωμένα κριτήρια, πρακτικό πλαίσιο για τη Νάξο και σύνδεση με στόλο, όρους </t>
  </si>
  <si>
    <t>https://naxos-carrentals.com/fr/fleet/cars/citroen-berlingo-7</t>
  </si>
  <si>
    <t>Ο οδηγός απαντά στο “παραλίες Νάξου με αυτοκίνητο”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Εύκολη δυτική διαδρομή
Δώστε την απάντηση στις δύο πρώτες προτάσεις και μετά προσθέστε το ειδικό πλαίσιο της Νάξου που αλλάζει την απόφαση.
## Μικρή Βίγλα και άνεμος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Αλυκό και νοτιοδυτικά
Προσθέστε πρακτικά βήματα, εξαιρέσεις και ένα σχετικό internal link αντί να επαναλαμβάνετε το keyword.
## Parking και υπεύθυνη πρόσβαση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</si>
  <si>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suv rental naxos</t>
  </si>
  <si>
    <t>Ορεινά Χωριά Νάξου με Αυτοκίνητο: Χαλκί, Φιλώτι &amp; Απείρανθος</t>
  </si>
  <si>
    <t>οδηγός νάξος</t>
  </si>
  <si>
    <t>Ορεινά Χωριά Νάξου με Αυτοκίνητο: Χαλκί, Φιλώτι &amp; Απείρανθος. Άμεση απάντηση, επιβεβαιωμένα κριτήρια, πρακτικό πλαίσιο για τη Νάξο και σύνδεση με στόλο, όρους</t>
  </si>
  <si>
    <t>Ο οδηγός απαντά στο “ορεινά χωριά Νάξου με αυτοκίνητο”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Πρωινή αναχώρηση από Χώρα
Δώστε την απάντηση στις δύο πρώτες προτάσεις και μετά προσθέστε το ειδικό πλαίσιο της Νάξου που αλλάζει την απόφαση.
## Χαλκί και Τραγαία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Φιλώτι και Ζας
Προσθέστε πρακτικά βήματα, εξαιρέσεις και ένα σχετικό internal link αντί να επαναλαμβάνετε το keyword.
## Απείρανθος και επιστροφή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</si>
  <si>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τι να κάνω στη νάξο</t>
  </si>
  <si>
    <t>Road Trip Νάξος: Πρόγραμμα 1, 3 και 5 Ημερών</t>
  </si>
  <si>
    <t>Road Trip Νάξος: Πρόγραμμα 1, 3 και 5 Ημερών. Άμεση απάντηση, επιβεβαιωμένα κριτήρια, πρακτικό πλαίσιο για τη Νάξο και σύνδεση με στόλο, όρους και κράτηση.</t>
  </si>
  <si>
    <t>καλύτερες παραλίες νάξος</t>
  </si>
  <si>
    <t>Ο οδηγός απαντά στο “road trip Νάξος”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Κύκλος μίας ημέρας
Δώστε την απάντηση στις δύο πρώτες προτάσεις και μετά προσθέστε το ειδικό πλαίσιο της Νάξου που αλλάζει την απόφαση.
## Ισορροπημένο τριήμερο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Χαλαρό πενθήμερο
Προσθέστε πρακτικά βήματα, εξαιρέσεις και ένα σχετικό internal link αντί να επαναλαμβάνετε το keyword.
## Χρόνοι, καύσιμα και parking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</si>
  <si>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Kia Sportage ενοικίαση Νάξος</t>
  </si>
  <si>
    <t>https://naxos-carrentals.com/fr/fleet/cars/citroen-c3</t>
  </si>
  <si>
    <t>χωριά νάξου</t>
  </si>
  <si>
    <t>Parking στη Νάξο: Χώρα, Παραλίες &amp; Πρακτικοί Κανόνες</t>
  </si>
  <si>
    <t>Parking στη Νάξο: Χώρα, Παραλίες &amp; Πρακτικοί Κανόνες. Άμεση απάντηση, επιβεβαιωμένα κριτήρια, πρακτικό πλαίσιο για τη Νάξο και σύνδεση με στόλο, όρους και κρά</t>
  </si>
  <si>
    <t>Ο οδηγός απαντά στο “parking Νάξος Χώρα”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Parking γύρω από τη Χώρα
Δώστε την απάντηση στις δύο πρώτες προτάσεις και μετά προσθέστε το ειδικό πλαίσιο της Νάξου που αλλάζει την απόφαση.
## Parking στις παραλίες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Σήμανση και πρόσβαση
Προσθέστε πρακτικά βήματα, εξαιρέσεις και ένα σχετικό internal link αντί να επαναλαμβάνετε το keyword.
## Πλάνο ημέρας άφιξης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</si>
  <si>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road trip νάξος</t>
  </si>
  <si>
    <t>parking νάξος χώρα</t>
  </si>
  <si>
    <t>Οδήγηση στη Νάξο: Δρόμοι, Κανόνες, Καύσιμα &amp; Tips</t>
  </si>
  <si>
    <t>Οδήγηση στη Νάξο: Δρόμοι, Κανόνες, Καύσιμα &amp; Tips. Άμεση απάντηση, επιβεβαιωμένα κριτήρια, πρακτικό πλαίσιο για τη Νάξο και σύνδεση με στόλο, όρους και κράτησ</t>
  </si>
  <si>
    <t>Ο οδηγός απαντά στο “οδήγηση στη Νάξο” με σύντομη απάντηση πρώτα και μετά με τα στοιχεία και τις εξαιρέσεις που χρειάζονται για ασφαλή απόφαση. Κάθε λειτουργικός ισχυρισμός πρέπει να συμφωνεί με το booking engine, τους υπογεγραμμένους όρους ή επίσημη πηγή και να έχει ημερομηνία ελέγχου.
## Πώς είναι οι δρόμοι
Δώστε την απάντηση στις δύο πρώτες προτάσεις και μετά προσθέστε το ειδικό πλαίσιο της Νάξου που αλλάζει την απόφαση.
## Χωριά, στροφές και νυχτερινή οδήγηση
Χρησιμοποιήστε σύντομο συγκριτικό πίνακα με ίδιους ορισμούς, ημερομηνίες και προϋποθέσεις· τα άγνωστα στοιχεία μένουν σημειωμένα για έγκριση ιδιοκτήτη.
## Καύσιμα και αυτονομία
Προσθέστε πρακτικά βήματα, εξαιρέσεις και ένα σχετικό internal link αντί να επαναλαμβάνετε το keyword.
## Περιορισμοί μίσθωσης και έκτακτα
Κλείστε με την απόφαση, το επόμενο βήμα και την ημερομηνία ελέγχου των χρονικά ευαίσθητων πληροφοριών.
## Επόμενο βήμα
Ελέγξτε live διαθεσιμότητα για τις ημερομηνίες σας ή καλέστε +306948820568.</t>
  </si>
  <si>
    <t>ενοικιαζόμενα αυτοκίνητα νάξος</t>
  </si>
  <si>
    <t>Ενοικίαση Αυτοκινήτου Λιμάνι Νάξου | Παραλαβή &amp; Διαθεσιμότητα</t>
  </si>
  <si>
    <t>Οργανώστε ενοικίαση αυτοκινήτου σε Λιμάνι Νάξου με πρακτικές πληροφορίες παραλαβής, parking και διαδρομών. Επιβεβαιώστε σημείο και διαθεσιμότητα.</t>
  </si>
  <si>
    <t>φθηνή ενοικίαση αυτοκινήτου νάξος</t>
  </si>
  <si>
    <t>Ενοικίαση αυτοκινήτου: Λιμάνι Νάξου</t>
  </si>
  <si>
    <t>https://naxos-carrentals.com/fr/fleet/cars/dacia-duster</t>
  </si>
  <si>
    <t>Χρησιμοποιήστε τη σελίδα για πρακτικό σχεδιασμό παραλαβής, parking και διαδρομών στην περιοχή Λιμάνι Νάξου.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Λιμάνι Νάξου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</si>
  <si>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Citroën Berlingo 7-seater ενοικίαση Νάξος</t>
  </si>
  <si>
    <t>τιμές ενοικίασης αυτοκινήτου νάξος</t>
  </si>
  <si>
    <t>Ενοικίαση Αυτοκινήτου Αεροδρόμιο Νάξου (JNX) | Παραλαβή &amp; Διαθεσιμότητα</t>
  </si>
  <si>
    <t>Οργανώστε ενοικίαση αυτοκινήτου σε Αεροδρόμιο Νάξου (JNX) με πρακτικές πληροφορίες παραλαβής, parking και διαδρομών. Επιβεβαιώστε σημείο και διαθεσιμότητα.</t>
  </si>
  <si>
    <t>Ενοικίαση αυτοκινήτου: Αεροδρόμιο Νάξου (JNX)</t>
  </si>
  <si>
    <t>Χρησιμοποιήστε τη σελίδα για πρακτικό σχεδιασμό παραλαβής, parking και διαδρομών στην περιοχή Αεροδρόμιο Νάξου (JNX).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Αεροδρόμιο Νάξου (JNX)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</si>
  <si>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ενοικίαση αυτοκινήτου νάξος χωρίς πιστωτική</t>
  </si>
  <si>
    <t>Ενοικίαση Αυτοκινήτου Χώρα Νάξου | Παραλαβή &amp; Διαθεσιμότητα</t>
  </si>
  <si>
    <t>Οργανώστε ενοικίαση αυτοκινήτου σε Χώρα Νάξου με πρακτικές πληροφορίες παραλαβής, parking και διαδρομών. Επιβεβαιώστε σημείο και διαθεσιμότητα.</t>
  </si>
  <si>
    <t>Ενοικίαση αυτοκινήτου: Χώρα Νάξου</t>
  </si>
  <si>
    <t>Χρησιμοποιήστε τη σελίδα για πρακτικό σχεδιασμό παραλαβής, parking και διαδρομών στην περιοχή Χώρα Νάξου.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Χώρα Νάξου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</si>
  <si>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ενοικίαση αυτοκινήτου λιμάνι νάξου</t>
  </si>
  <si>
    <t>https://naxos-carrentals.com/fr/fleet/cars/fiat-500-cabrio</t>
  </si>
  <si>
    <t>Ενοικίαση Αυτοκινήτου Άγιος Προκόπιος | Παραλαβή &amp; Διαθεσιμότητα</t>
  </si>
  <si>
    <t>Οργανώστε ενοικίαση αυτοκινήτου σε Άγιος Προκόπιος με πρακτικές πληροφορίες παραλαβής, parking και διαδρομών. Επιβεβαιώστε σημείο και διαθεσιμότητα.</t>
  </si>
  <si>
    <t>ενοικίαση αυτοκινήτου αεροδρόμιο νάξου</t>
  </si>
  <si>
    <t>Ενοικίαση αυτοκινήτου: Άγιος Προκόπιος</t>
  </si>
  <si>
    <t>Χρησιμοποιήστε τη σελίδα για πρακτικό σχεδιασμό παραλαβής, parking και διαδρομών στην περιοχή Άγιος Προκόπιος.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Άγιος Προκόπιος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</si>
  <si>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αυτόματο αυτοκίνητο νάξος</t>
  </si>
  <si>
    <t>https://naxos-carrentals.com/el/fleet/scooters</t>
  </si>
  <si>
    <t>Ενοικίαση Αυτοκινήτου Αγία Άννα | Παραλαβή &amp; Διαθεσιμότητα</t>
  </si>
  <si>
    <t>Οργανώστε ενοικίαση αυτοκινήτου σε Αγία Άννα με πρακτικές πληροφορίες παραλαβής, parking και διαδρομών. Επιβεβαιώστε σημείο και διαθεσιμότητα.</t>
  </si>
  <si>
    <t>7θέσιο αυτοκίνητο νάξος</t>
  </si>
  <si>
    <t>Ενοικίαση αυτοκινήτου: Αγία Άννα</t>
  </si>
  <si>
    <t>Χρησιμοποιήστε τη σελίδα για πρακτικό σχεδιασμό παραλαβής, parking και διαδρομών στην περιοχή Αγία Άννα.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Αγία Άννα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</si>
  <si>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ασφάλεια ενοικιαζόμενου αυτοκινήτου νάξος</t>
  </si>
  <si>
    <t>Ενοικίαση Αυτοκινήτου Πλάκα | Παραλαβή &amp; Διαθεσιμότητα</t>
  </si>
  <si>
    <t>Οργανώστε ενοικίαση αυτοκινήτου σε Πλάκα με πρακτικές πληροφορίες παραλαβής, parking και διαδρομών. Επιβεβαιώστε σημείο και διαθεσιμότητα.</t>
  </si>
  <si>
    <t>Ενοικίαση αυτοκινήτου: Πλάκα</t>
  </si>
  <si>
    <t>Χρησιμοποιήστε τη σελίδα για πρακτικό σχεδιασμό παραλαβής, parking και διαδρομών στην περιοχή Πλάκα.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Πλάκα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</si>
  <si>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Ενοικίαση Αυτοκινήτου Μικρή Βίγλα | Παραλαβή &amp; Διαθεσιμότητα</t>
  </si>
  <si>
    <t>Οργανώστε ενοικίαση αυτοκινήτου σε Μικρή Βίγλα με πρακτικές πληροφορίες παραλαβής, parking και διαδρομών. Επιβεβαιώστε σημείο και διαθεσιμότητα.</t>
  </si>
  <si>
    <t>Ενοικίαση αυτοκινήτου: Μικρή Βίγλα</t>
  </si>
  <si>
    <t>Χρησιμοποιήστε τη σελίδα για πρακτικό σχεδιασμό παραλαβής, parking και διαδρομών στην περιοχή Μικρή Βίγλα.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Μικρή Βίγλα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</si>
  <si>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https://naxos-carrentals.com/fr/fleet/cars/hyundai-i10</t>
  </si>
  <si>
    <t>Ενοικίαση Αυτοκινήτου Φιλώτι | Παραλαβή &amp; Διαθεσιμότητα</t>
  </si>
  <si>
    <t>Οργανώστε ενοικίαση αυτοκινήτου σε Φιλώτι με πρακτικές πληροφορίες παραλαβής, parking και διαδρομών. Επιβεβαιώστε σημείο και διαθεσιμότητα.</t>
  </si>
  <si>
    <t>Ενοικίαση αυτοκινήτου: Φιλώτι</t>
  </si>
  <si>
    <t>Χρησιμοποιήστε τη σελίδα για πρακτικό σχεδιασμό παραλαβής, parking και διαδρομών στην περιοχή Φιλώτι.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Φιλώτι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</si>
  <si>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https://naxos-carrentals.com/fr/fleet/cars/kia-picanto</t>
  </si>
  <si>
    <t>Ενοικίαση Αυτοκινήτου Απείρανθος | Παραλαβή &amp; Διαθεσιμότητα</t>
  </si>
  <si>
    <t>Οργανώστε ενοικίαση αυτοκινήτου σε Απείρανθος με πρακτικές πληροφορίες παραλαβής, parking και διαδρομών. Επιβεβαιώστε σημείο και διαθεσιμότητα.</t>
  </si>
  <si>
    <t>Ενοικίαση αυτοκινήτου: Απείρανθος</t>
  </si>
  <si>
    <t>Χρησιμοποιήστε τη σελίδα για πρακτικό σχεδιασμό παραλαβής, parking και διαδρομών στην περιοχή Απείρανθος. Το ακριβές σημείο, τυχόν χρέωση, ώρες και διαθεσιμότητα πρέπει να προέρχονται από live booking ή εγκεκριμένο πίνακα—not από γενική υπόσχεση για όλο το νησί.
## Πώς γίνεται η παραλαβή
Μετά την κράτηση επαναλάβετε επιβεβαιωμένο σημείο, ημερομηνία, ώρα, τρόπο επικοινωνίας και στοιχεία άφιξης.
## Parking και πρόσβαση
Δημοσιεύστε πρωτότυπη, ελεγμένη σημείωση για Απείρανθος και ξεχωρίστε νόμιμο δημόσιο parking από άτυπες πρακτικές.
## Πρώτη διαδρομή
Προτείνετε μία σύντομη, ρεαλιστική διαδρομή με χρόνο, καύσιμα και ασφαλές πλάνο επιστροφής.
## Κατάλληλο αυτοκίνητο
Συνδέστε μικρό, αυτόματο, οικογενειακό ή SUV με βάση επιβάτες και αποσκευές—not μη επιβεβαιωμένους ισχυρισμούς δρόμων.
## Επόμενο βήμα
Ελέγξτε live διαθεσιμότητα για τις ημερομηνίες σας ή καλέστε +306948820568.</t>
  </si>
  <si>
    <t>Αυτόματο Αυτοκίνητο στη Νάξο | Ζωντανή Διαθεσιμότητα</t>
  </si>
  <si>
    <t>Αυτόματο Αυτοκίνητο στη Νάξο: συγκρίνετε θέσεις, αποσκευές, κιβώτιο και διαθεσιμότητα. Ελέγξτε ακριβείς όρους και συνεχίστε σε ασφαλή κράτηση.</t>
  </si>
  <si>
    <t>Αυτόματο Αυτοκίνητο στη Νάξο</t>
  </si>
  <si>
    <t>Η σελίδα πρέπει να εμφανίζει μόνο οχήματα που πράγματι αντιστοιχούν στο “αυτόματο αυτοκίνητο Νάξος”. Κρατήστε ίδια πεδία σύγκρισης, δηλώστε αν η κράτηση αφορά κατηγορία ή μοντέλο και μεταφέρετε τις ημερομηνίες στο live booking.
## Σε ποιους ταιριάζει
Εξηγήστε επιβάτες, αποσκευές, άνεση και χρήση χωρίς υπόσχεση μη διαθέσιμου μοντέλου.
## Σύγκριση οχημάτων
Ίδιες γραμμές για θέσεις, αποσκευές, κιβώτιο, πόρτες, καύσιμο και κλιματισμό.
## Διαθεσιμότητα και τιμή
Και τα δύο προέρχονται από live booking· μην κρατάτε εποχική headline τιμή μετά τη λήξη της.
## Όροι πριν την κράτηση
Συνδέστε ασφάλεια, εγγύηση, δίπλωμα, καύσιμα και ακύρωση δίπλα στο CTA.
## Επόμενο βήμα
Ελέγξτε live διαθεσιμότητα για τις ημερομηνίες σας ή καλέστε +306948820568.</t>
  </si>
  <si>
    <t>https://naxos-carrentals.com/fr/fleet/cars/kia-sportage</t>
  </si>
  <si>
    <t>7θέσια &amp; Οικογενειακά Αυτοκίνητα στη Νάξο | Ζωντανή Διαθεσιμότητα</t>
  </si>
  <si>
    <t>7θέσια &amp; Οικογενειακά Αυτοκίνητα στη Νάξο: συγκρίνετε θέσεις, αποσκευές, κιβώτιο και διαθεσιμότητα. Ελέγξτε ακριβείς όρους και συνεχίστε σε ασφαλή κράτηση.</t>
  </si>
  <si>
    <t>7θέσια &amp; Οικογενειακά Αυτοκίνητα στη Νάξο</t>
  </si>
  <si>
    <t>Η σελίδα πρέπει να εμφανίζει μόνο οχήματα που πράγματι αντιστοιχούν στο “7θέσιο αυτοκίνητο Νάξος”. Κρατήστε ίδια πεδία σύγκρισης, δηλώστε αν η κράτηση αφορά κατηγορία ή μοντέλο και μεταφέρετε τις ημερομηνίες στο live booking.
## Σε ποιους ταιριάζει
Εξηγήστε επιβάτες, αποσκευές, άνεση και χρήση χωρίς υπόσχεση μη διαθέσιμου μοντέλου.
## Σύγκριση οχημάτων
Ίδιες γραμμές για θέσεις, αποσκευές, κιβώτιο, πόρτες, καύσιμο και κλιματισμό.
## Διαθεσιμότητα και τιμή
Και τα δύο προέρχονται από live booking· μην κρατάτε εποχική headline τιμή μετά τη λήξη της.
## Όροι πριν την κράτηση
Συνδέστε ασφάλεια, εγγύηση, δίπλωμα, καύσιμα και ακύρωση δίπλα στο CTA.
## Επόμενο βήμα
Ελέγξτε live διαθεσιμότητα για τις ημερομηνίες σας ή καλέστε +306948820568.</t>
  </si>
  <si>
    <t>SUV &amp; 4×4 Ενοικίαση στη Νάξο | Ζωντανή Διαθεσιμότητα</t>
  </si>
  <si>
    <t>SUV &amp; 4×4 Ενοικίαση στη Νάξο: συγκρίνετε θέσεις, αποσκευές, κιβώτιο και διαθεσιμότητα. Ελέγξτε ακριβείς όρους και συνεχίστε σε ασφαλή κράτηση.</t>
  </si>
  <si>
    <t>SUV &amp; 4×4 Ενοικίαση στη Νάξο</t>
  </si>
  <si>
    <t>Η σελίδα πρέπει να εμφανίζει μόνο οχήματα που πράγματι αντιστοιχούν στο “SUV 4x4 ενοικίαση Νάξος”. Κρατήστε ίδια πεδία σύγκρισης, δηλώστε αν η κράτηση αφορά κατηγορία ή μοντέλο και μεταφέρετε τις ημερομηνίες στο live booking.
## Σε ποιους ταιριάζει
Εξηγήστε επιβάτες, αποσκευές, άνεση και χρήση χωρίς υπόσχεση μη διαθέσιμου μοντέλου.
## Σύγκριση οχημάτων
Ίδιες γραμμές για θέσεις, αποσκευές, κιβώτιο, πόρτες, καύσιμο και κλιματισμό.
## Διαθεσιμότητα και τιμή
Και τα δύο προέρχονται από live booking· μην κρατάτε εποχική headline τιμή μετά τη λήξη της.
## Όροι πριν την κράτηση
Συνδέστε ασφάλεια, εγγύηση, δίπλωμα, καύσιμα και ακύρωση δίπλα στο CTA.
## Επόμενο βήμα
Ελέγξτε live διαθεσιμότητα για τις ημερομηνίες σας ή καλέστε +306948820568.</t>
  </si>
  <si>
    <t>Hyundai i10 Ενοικίαση Νάξος | Χαρακτηριστικά &amp; Διαθεσιμότητα</t>
  </si>
  <si>
    <t>Δείτε Hyundai i10 για ενοικίαση στη Νάξο: 5 θέσεις, αυτόματο, βενζίνη και 5 πόρτες. Ελέγξτε διαθεσιμότητα.</t>
  </si>
  <si>
    <t>https://naxos-carrentals.com/fr/fleet/cars/peugeot-208</t>
  </si>
  <si>
    <t>Hyundai i10 για ενοικίαση στη Νάξο</t>
  </si>
  <si>
    <t>Η σελίδα Hyundai i10 πρέπει να δηλώνει αν ο πελάτης κλείνει το συγκεκριμένο μοντέλο ή παρόμοιο της ίδιας κατηγορίας. Τρέχοντα εμφανιζόμενα στοιχεία: 5 θέσεις, αυτόματο, βενζίνη και 5 πόρτες. Επιβεβαιώστε αποσκευές, κλιματισμό, έτος και διαθεσιμότητα πριν δημοσιευτούν ως γεγονότα.
## Με μία ματιά
5 θέσεις · Αυτόματο · Βενζίνη · 5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</si>
  <si>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Toyota Aygo X Ενοικίαση Νάξος | Χαρακτηριστικά &amp; Διαθεσιμότητα</t>
  </si>
  <si>
    <t>Δείτε Toyota Aygo X για ενοικίαση στη Νάξο: 5 θέσεις, χειροκίνητο, βενζίνη και 5 πόρτες. Ελέγξτε διαθεσιμότητα.</t>
  </si>
  <si>
    <t>Toyota Aygo X για ενοικίαση στη Νάξο</t>
  </si>
  <si>
    <t>Η σελίδα Toyota Aygo X πρέπει να δηλώνει αν ο πελάτης κλείνει το συγκεκριμένο μοντέλο ή παρόμοιο της ίδιας κατηγορίας. Τρέχοντα εμφανιζόμενα στοιχεία: 5 θέσεις, χειροκίνητο, βενζίνη και 5 πόρτες. Επιβεβαιώστε αποσκευές, κλιματισμό, έτος και διαθεσιμότητα πριν δημοσιευτούν ως γεγονότα.
## Με μία ματιά
5 θέσεις · Χειροκίνητο · Βενζίνη · 5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</si>
  <si>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Fiat Panda Ενοικίαση Νάξος | Χαρακτηριστικά &amp; Διαθεσιμότητα</t>
  </si>
  <si>
    <t>Δείτε Fiat Panda για ενοικίαση στη Νάξο: 5 θέσεις, χειροκίνητο, βενζίνη και 5 πόρτες. Ελέγξτε διαθεσιμότητα.</t>
  </si>
  <si>
    <t>Fiat Panda για ενοικίαση στη Νάξο</t>
  </si>
  <si>
    <t>Η σελίδα Fiat Panda πρέπει να δηλώνει αν ο πελάτης κλείνει το συγκεκριμένο μοντέλο ή παρόμοιο της ίδιας κατηγορίας. Τρέχοντα εμφανιζόμενα στοιχεία: 5 θέσεις, χειροκίνητο, βενζίνη και 5 πόρτες. Επιβεβαιώστε αποσκευές, κλιματισμό, έτος και διαθεσιμότητα πριν δημοσιευτούν ως γεγονότα.
## Με μία ματιά
5 θέσεις · Χειροκίνητο · Βενζίνη · 5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</si>
  <si>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https://naxos-carrentals.com/fr/fleet/cars/suzuki-jimny</t>
  </si>
  <si>
    <t>Fiat 500 Cabrio Ενοικίαση Νάξος | Χαρακτηριστικά &amp; Διαθεσιμότητα</t>
  </si>
  <si>
    <t>Δείτε Fiat 500 Cabrio για ενοικίαση στη Νάξο: 4 θέσεις, χειροκίνητο, βενζίνη και 3 πόρτες. Ελέγξτε διαθεσιμότητα.</t>
  </si>
  <si>
    <t>Fiat 500 Cabrio για ενοικίαση στη Νάξο</t>
  </si>
  <si>
    <t>Η σελίδα Fiat 500 Cabrio πρέπει να δηλώνει αν ο πελάτης κλείνει το συγκεκριμένο μοντέλο ή παρόμοιο της ίδιας κατηγορίας. Τρέχοντα εμφανιζόμενα στοιχεία: 4 θέσεις, χειροκίνητο, βενζίνη και 3 πόρτες. Επιβεβαιώστε αποσκευές, κλιματισμό, έτος και διαθεσιμότητα πριν δημοσιευτούν ως γεγονότα.
## Με μία ματιά
4 θέσεις · Χειροκίνητο · Βενζίνη · 3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</si>
  <si>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Citroën C3 Ενοικίαση Νάξος | Χαρακτηριστικά &amp; Διαθεσιμότητα</t>
  </si>
  <si>
    <t>Δείτε Citroën C3 για ενοικίαση στη Νάξο: 5 θέσεις, αυτόματο, βενζίνη και 5 πόρτες. Ελέγξτε διαθεσιμότητα.</t>
  </si>
  <si>
    <t>Citroën C3 για ενοικίαση στη Νάξο</t>
  </si>
  <si>
    <t>Η σελίδα Citroën C3 πρέπει να δηλώνει αν ο πελάτης κλείνει το συγκεκριμένο μοντέλο ή παρόμοιο της ίδιας κατηγορίας. Τρέχοντα εμφανιζόμενα στοιχεία: 5 θέσεις, αυτόματο, βενζίνη και 5 πόρτες. Επιβεβαιώστε αποσκευές, κλιματισμό, έτος και διαθεσιμότητα πριν δημοσιευτούν ως γεγονότα.
## Με μία ματιά
5 θέσεις · Αυτόματο · Βενζίνη · 5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</si>
  <si>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Kia Picanto Ενοικίαση Νάξος | Χαρακτηριστικά &amp; Διαθεσιμότητα</t>
  </si>
  <si>
    <t>Δείτε Kia Picanto για ενοικίαση στη Νάξο: 5 θέσεις, αυτόματο, βενζίνη και 5 πόρτες. Ελέγξτε διαθεσιμότητα.</t>
  </si>
  <si>
    <t>Kia Picanto για ενοικίαση στη Νάξο</t>
  </si>
  <si>
    <t>People Also Ask + Exact Answers</t>
  </si>
  <si>
    <t>Η σελίδα Kia Picanto πρέπει να δηλώνει αν ο πελάτης κλείνει το συγκεκριμένο μοντέλο ή παρόμοιο της ίδιας κατηγορίας. Τρέχοντα εμφανιζόμενα στοιχεία: 5 θέσεις, αυτόματο, βενζίνη και 5 πόρτες. Επιβεβαιώστε αποσκευές, κλιματισμό, έτος και διαθεσιμότητα πριν δημοσιευτούν ως γεγονότα.
## Με μία ματιά
5 θέσεις · Αυτόματο · Βενζίνη · 5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</si>
  <si>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Visible answers support users and retrieval. Google removed FAQ rich results in 2026, so no ranking promise is attached to FAQPage markup.</t>
  </si>
  <si>
    <t>Question</t>
  </si>
  <si>
    <t>Exact answer</t>
  </si>
  <si>
    <t>Target URL</t>
  </si>
  <si>
    <t>Type</t>
  </si>
  <si>
    <t>Peugeot 208 Ενοικίαση Νάξος | Χαρακτηριστικά &amp; Διαθεσιμότητα</t>
  </si>
  <si>
    <t>Schema note</t>
  </si>
  <si>
    <t>Δείτε Peugeot 208 για ενοικίαση στη Νάξο: 5 θέσεις, αυτόματο, βενζίνη και 5 πόρτες. Ελέγξτε διαθεσιμότητα.</t>
  </si>
  <si>
    <t>Do I need a car in Naxos?</t>
  </si>
  <si>
    <t>Peugeot 208 για ενοικίαση στη Νάξο</t>
  </si>
  <si>
    <t>Not for every trip. Chora and the main west-coast beaches can work by bus, while a car is more useful for mountain villages, archaeological stops, early starts and multi-stop days.</t>
  </si>
  <si>
    <t>Η σελίδα Peugeot 208 πρέπει να δηλώνει αν ο πελάτης κλείνει το συγκεκριμένο μοντέλο ή παρόμοιο της ίδιας κατηγορίας. Τρέχοντα εμφανιζόμενα στοιχεία: 5 θέσεις, αυτόματο, βενζίνη και 5 πόρτες. Επιβεβαιώστε αποσκευές, κλιματισμό, έτος και διαθεσιμότητα πριν δημοσιευτούν ως γεγονότα.
## Με μία ματιά
5 θέσεις · Αυτόματο · Βενζίνη · 5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</si>
  <si>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PAA/FAQ</t>
  </si>
  <si>
    <t>Visible Q&amp;A only; FAQ rich result removed by Google in 2026</t>
  </si>
  <si>
    <t>Χρειάζεται αυτοκίνητο στη Νάξο;</t>
  </si>
  <si>
    <t>https://naxos-carrentals.com/fr/fleet/cars/toyota-rav4</t>
  </si>
  <si>
    <t>Όχι για κάθε ταξίδι. Η Χώρα και οι βασικές δυτικές παραλίες εξυπηρετούνται με λεωφορείο, ενώ το αυτοκίνητο βοηθά για ορεινά χωριά, αρχαιολογικές στάσεις, πρωινές αναχωρήσεις και ημέρες με πολλές στάσεις.</t>
  </si>
  <si>
    <t>Suzuki Jimny 4×4 Ενοικίαση Νάξος | Χαρακτηριστικά &amp; Διαθεσιμότητα</t>
  </si>
  <si>
    <t>Ορατό Q&amp;A· χωρίς προσδοκία FAQ rich result</t>
  </si>
  <si>
    <t>Δείτε Suzuki Jimny 4×4 για ενοικίαση στη Νάξο: 4 θέσεις, χειροκίνητο, βενζίνη και 3 πόρτες. Ελέγξτε διαθεσιμότητα.</t>
  </si>
  <si>
    <t>Can I pick up a rental car at Naxos Port?</t>
  </si>
  <si>
    <t>Use the booking engine to select an offered port option, then follow the confirmed meeting instructions. Add ferry details when requested so delays can be handled correctly.</t>
  </si>
  <si>
    <t>Suzuki Jimny 4×4 για ενοικίαση στη Νάξο</t>
  </si>
  <si>
    <t>Η σελίδα Suzuki Jimny 4×4 πρέπει να δηλώνει αν ο πελάτης κλείνει το συγκεκριμένο μοντέλο ή παρόμοιο της ίδιας κατηγορίας. Τρέχοντα εμφανιζόμενα στοιχεία: 4 θέσεις, χειροκίνητο, βενζίνη και 3 πόρτες. Επιβεβαιώστε αποσκευές, κλιματισμό, έτος και διαθεσιμότητα πριν δημοσιευτούν ως γεγονότα.
## Με μία ματιά
4 θέσεις · Χειροκίνητο · Βενζίνη · 3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</si>
  <si>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Μπορώ να παραλάβω αυτοκίνητο στο λιμάνι Νάξου;</t>
  </si>
  <si>
    <t>Επιλέξτε διαθέσιμη επιλογή λιμανιού στο booking engine και ακολουθήστε τις επιβεβαιωμένες οδηγίες συνάντησης. Προσθέστε στοιχεία πλοίου όταν ζητηθούν για σωστή διαχείριση καθυστέρησης.</t>
  </si>
  <si>
    <t>Dacia Duster Ενοικίαση Νάξος | Χαρακτηριστικά &amp; Διαθεσιμότητα</t>
  </si>
  <si>
    <t>Δείτε Dacia Duster για ενοικίαση στη Νάξο: {{VERIFY}} θέσεις, {{verify}}, {{verify}} και {{VERIFY}} πόρτες. Ελέγξτε διαθεσιμότητα.</t>
  </si>
  <si>
    <t>Can I pick up a car at Naxos Airport?</t>
  </si>
  <si>
    <t>Select Naxos Airport (JNX) only when it appears as an available pickup point for your dates. The confirmation must state the exact handover process.</t>
  </si>
  <si>
    <t>Dacia Duster για ενοικίαση στη Νάξο</t>
  </si>
  <si>
    <t>Η σελίδα Dacia Duster πρέπει να δηλώνει αν ο πελάτης κλείνει το συγκεκριμένο μοντέλο ή παρόμοιο της ίδιας κατηγορίας. Τρέχοντα εμφανιζόμενα στοιχεία: {{VERIFY}} θέσεις, {{verify}}, {{verify}} και {{VERIFY}} πόρτες. Επιβεβαιώστε αποσκευές, κλιματισμό, έτος και διαθεσιμότητα πριν δημοσιευτούν ως γεγονότα.
## Με μία ματιά
{{VERIFY}} θέσεις · {{VERIFY}} · {{VERIFY}} · {{VERIFY}}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</si>
  <si>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Μπορώ να παραλάβω αυτοκίνητο στο αεροδρόμιο Νάξου;</t>
  </si>
  <si>
    <t>Επιλέξτε Αεροδρόμιο Νάξου (JNX) μόνο όταν εμφανίζεται ως διαθέσιμο σημείο για τις ημερομηνίες σας. Η επιβεβαίωση πρέπει να αναφέρει ακριβώς τη διαδικασία παράδοσης.</t>
  </si>
  <si>
    <t>https://naxos-carrentals.com/fr/fleet/collections/automatic</t>
  </si>
  <si>
    <t>Toyota RAV4 Hybrid Ενοικίαση Νάξος | Χαρακτηριστικά &amp; Διαθεσιμότητα</t>
  </si>
  <si>
    <t>How much does car rental in Naxos cost?</t>
  </si>
  <si>
    <t>Δείτε Toyota RAV4 Hybrid για ενοικίαση στη Νάξο: {{VERIFY}} θέσεις, {{verify}}, υβριδικό και {{VERIFY}} πόρτες. Ελέγξτε διαθεσιμότητα.</t>
  </si>
  <si>
    <t>The total changes with dates, rental length, vehicle category, transmission, pickup and cover. Compare live quotes with the same inclusions instead of relying on an undated daily rate.</t>
  </si>
  <si>
    <t>Exact JSON-LD by URL</t>
  </si>
  <si>
    <t>Toyota RAV4 Hybrid για ενοικίαση στη Νάξο</t>
  </si>
  <si>
    <t>Η σελίδα Toyota RAV4 Hybrid πρέπει να δηλώνει αν ο πελάτης κλείνει το συγκεκριμένο μοντέλο ή παρόμοιο της ίδιας κατηγορίας. Τρέχοντα εμφανιζόμενα στοιχεία: {{VERIFY}} θέσεις, {{verify}}, υβριδικό και {{VERIFY}} πόρτες. Επιβεβαιώστε αποσκευές, κλιματισμό, έτος και διαθεσιμότητα πριν δημοσιευτούν ως γεγονότα.
## Με μία ματιά
{{VERIFY}} θέσεις · {{VERIFY}} · Υβριδικό · {{VERIFY}}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</si>
  <si>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Deploy only markup that matches visible content. Validate placeholders and remove unsupported or unverified properties.</t>
  </si>
  <si>
    <t>Automatique Voitures | Fast Motor Rental Naxos | Fast Motor Rental Naxos</t>
  </si>
  <si>
    <t>Πόσο κοστίζει η ενοικίαση αυτοκινήτου στη Νάξο;</t>
  </si>
  <si>
    <t>Το σύνολο αλλάζει με ημερομηνίες, διάρκεια, κατηγορία, κιβώτιο, παραλαβή και κάλυψη. Συγκρίνετε ζωντανές προσφορές με ίδια περιλαμβανόμενα αντί για παλιά ημερήσια τιμή.</t>
  </si>
  <si>
    <t>Automatique Voitures · Location de voiture à Naxos</t>
  </si>
  <si>
    <t>Automatique Voitures</t>
  </si>
  <si>
    <t>Can I rent a car in Naxos without a credit card?</t>
  </si>
  <si>
    <t>Kia Sportage Ενοικίαση Νάξος | Χαρακτηριστικά &amp; Διαθεσιμότητα</t>
  </si>
  <si>
    <t>Payment and deposit rules must be confirmed for the selected vehicle and dates. A debit-card payment option does not automatically mean there is no deposit or card requirement at pickup.</t>
  </si>
  <si>
    <t>Exact JSON-LD template</t>
  </si>
  <si>
    <t>Δείτε Kia Sportage για ενοικίαση στη Νάξο: {{VERIFY}} θέσεις, {{verify}}, {{verify}} και {{VERIFY}} πόρτες. Ελέγξτε διαθεσιμότητα.</t>
  </si>
  <si>
    <t>Kia Sportage για ενοικίαση στη Νάξο</t>
  </si>
  <si>
    <t>Deployment gate</t>
  </si>
  <si>
    <t>Η σελίδα Kia Sportage πρέπει να δηλώνει αν ο πελάτης κλείνει το συγκεκριμένο μοντέλο ή παρόμοιο της ίδιας κατηγορίας. Τρέχοντα εμφανιζόμενα στοιχεία: {{VERIFY}} θέσεις, {{verify}}, {{verify}} και {{VERIFY}} πόρτες. Επιβεβαιώστε αποσκευές, κλιματισμό, έτος και διαθεσιμότητα πριν δημοσιευτούν ως γεγονότα.
## Με μία ματιά
{{VERIFY}} θέσεις · {{VERIFY}} · {{VERIFY}} · {{VERIFY}}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</si>
  <si>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Μπορώ να νοικιάσω αυτοκίνητο στη Νάξο χωρίς πιστωτική κάρτα;</t>
  </si>
  <si>
    <t>Οι κανόνες πληρωμής και εγγύησης πρέπει να επιβεβαιώνονται για όχημα και ημερομηνίες. Η δυνατότητα πληρωμής με χρεωστική δεν σημαίνει αυτόματα ότι δεν υπάρχει εγγύηση ή απαίτηση κάρτας στην παραλαβή.</t>
  </si>
  <si>
    <t>What insurance is included?</t>
  </si>
  <si>
    <t>Read the booking summary and signed terms for the exact cover, excess and exclusions. Marketing copy must use the same definitions and euro amounts.</t>
  </si>
  <si>
    <t>https://naxos-carrentals.com/fr/fleet/collections/family-7-seater</t>
  </si>
  <si>
    <t>{
  "@context": "https://schema.org",
  "@graph": [
    {
      "@type": "WebPage",
      "@id": "https://naxos-carrentals.com/en#webpage",
      "url": "https://naxos-carrentals.com/en",
      "name": "Car rental in Naxos, made simple",
      "description": "Rent a car in Naxos with a local team. Compare compact, automatic, family and 4×4 options, then confirm live availability securely online.",
      "inLanguage": "en",
      "isPartOf": {
        "@id": "https://naxos-carrentals.com/#website"
      }
    },
    {
      "@type": "BreadcrumbList",
      "@id": "https://naxos-carrentals.com/en#breadcrumb",
      "itemListElement": [
        {
          "@type": "ListItem",
          "position": 1,
          "name": "Home",
          "item": "https://naxos-carrentals.com/en"
        },
        {
          "@type": "ListItem",
          "position": 2,
          "name": "Car rental in Naxos, made simple",
          "item": "https://naxos-carrentals.com/en"
        }
      ]
    },
    {
      "@type": "AutoRental",
      "@id": "https://naxos-carrentals.com/#business",
      "name": "Fast Motor Rental Naxos",
      "url": "https://naxos-carrentals.com",
      "telephone": "+306948820568",
      "email": "info@fmrnaxos.gr",
      "areaServed": {
        "@type": "Place",
        "name": "Naxos, Greece"
      },
      "sameAs": [
        "https://www.instagram.com/fastmotorentalnaxos",
        "https://www.facebook.com/fastmotorentalnaxos"
      ]
    },
    {
      "@type": "WebSite",
      "@id": "https://naxos-carrentals.com/#website",
      "url": "https://naxos-carrentals.com",
      "name": "Fast Motor Rental Naxos",
      "inLanguage": [
        "en",
        "el",
        "it",
        "fr",
        "de"
      ],
      "publisher": {
        "@id": "https://naxos-carrentals.com/#business"
      }
    }
  ]
}</t>
  </si>
  <si>
    <t>Validate in Schema.org validator and Google Rich Results Test where supported</t>
  </si>
  <si>
    <t>Citroën Berlingo 7-seater Ενοικίαση Νάξος | Χαρακτηριστικά &amp; Διαθεσιμότητα</t>
  </si>
  <si>
    <t>Τι ασφάλεια περιλαμβάνεται;</t>
  </si>
  <si>
    <t>Διαβάστε τη σύνοψη κράτησης και τους υπογεγραμμένους όρους για ακριβή κάλυψη, απαλλαγή και εξαιρέσεις. Το marketing πρέπει να χρησιμοποιεί τους ίδιους ορισμούς και ποσά.</t>
  </si>
  <si>
    <t>Familles · 7 places | Fast Motor Rental Naxos | Fast Motor Rental Naxos</t>
  </si>
  <si>
    <t>Δείτε Citroën Berlingo 7-seater για ενοικίαση στη Νάξο: 7 θέσεις, {{verify}}, {{verify}} και {{VERIFY}} πόρτες. Ελέγξτε διαθεσιμότητα.</t>
  </si>
  <si>
    <t>Familles · 7 places · Location de voiture à Naxos</t>
  </si>
  <si>
    <t>Citroën Berlingo 7-seater για ενοικίαση στη Νάξο</t>
  </si>
  <si>
    <t>Do I need an International Driving Permit in Greece?</t>
  </si>
  <si>
    <t>Η σελίδα Citroën Berlingo 7-seater πρέπει να δηλώνει αν ο πελάτης κλείνει το συγκεκριμένο μοντέλο ή παρόμοιο της ίδιας κατηγορίας. Τρέχοντα εμφανιζόμενα στοιχεία: 7 θέσεις, {{verify}}, {{verify}} και {{VERIFY}} πόρτες. Επιβεβαιώστε αποσκευές, κλιματισμό, έτος και διαθεσιμότητα πριν δημοσιευτούν ως γεγονότα.
## Με μία ματιά
7 θέσεις · {{VERIFY}} · {{VERIFY}} · {{VERIFY}} πόρτες · αποσκευές {{VERIFY}} · κλιματισμός {{VERIFY}}.
## Για ποιον ταιριάζει
Περιγράψτε επιβάτες και αποσκευές με μετρημένη χωρητικότητα και μετά τις διαδρομές Νάξου που υποστηρίζει.
## Τι περιλαμβάνεται
Αντλήστε ασφάλεια, χιλιόμετρα, καύσιμα, εγγύηση, extras και ακυρωτικά από την ίδια πηγή με το checkout.
## Ελέγξτε τις ημερομηνίες
Εμφανίστε διαθεσιμότητα και σύνολο μόνο όταν είναι γνωστά ημερομηνίες και σημείο· παραλείψτε Offer schema χωρίς ορατή, έγκυρη προσφορά.
## Επόμενο βήμα
Ελέγξτε live διαθεσιμότητα για τις ημερομηνίες σας ή καλέστε +306948820568.</t>
  </si>
  <si>
    <t>Familles · 7 places</t>
  </si>
  <si>
    <t>Requirements depend on the licence-issuing country and the rental company's acceptance rules. Verify with an official source and the rental company before travel.</t>
  </si>
  <si>
    <t>{
  "@context": "https://schema.org",
  "@graph": [
    {
      "@type": "WebPage",
      "@id": "https://naxos-carrentals.com/el#webpage",
      "url": "https://naxos-carrentals.com/el",
      "name": "Ενοικίαση αυτοκινήτου στη Νάξο, χωρίς περιττή ταλαιπωρία",
      "description": "Ενοικιάστε αυτοκίνητο στη Νάξο από τοπική ομάδα. Δείτε μικρά, αυτόματα, οικογενειακά και 4×4 και επιβεβαιώστε online διαθεσιμότητα.",
      "inLanguage": "el",
      "isPartOf": {
        "@id": "https://naxos-carrentals.com/#website"
      }
    },
    {
      "@type": "BreadcrumbList",
      "@id": "https://naxos-carrentals.com/el#breadcrumb",
      "itemListElement": [
        {
          "@type": "ListItem",
          "position": 1,
          "name": "Αρχική",
          "item": "https://naxos-carrentals.com/el"
        },
        {
          "@type": "ListItem",
          "position": 2,
          "name": "Ενοικίαση αυτοκινήτου στη Νάξο, χωρίς περιττή ταλαιπωρία",
          "item": "https://naxos-carrentals.com/el"
        }
      ]
    },
    {
      "@type": "AutoRental",
      "@id": "https://naxos-carrentals.com/#business",
      "name": "Fast Motor Rental Naxos",
      "url": "https://naxos-carrentals.com",
      "telephone": "+306948820568",
      "email": "info@fmrnaxos.gr",
      "areaServed": {
        "@type": "Place",
        "name": "Naxos, Greece"
      },
      "sameAs": [
        "https://www.instagram.com/fastmotorentalnaxos",
        "https://www.facebook.com/fastmotorentalnaxos"
      ]
    },
    {
      "@type": "WebSite",
      "@id": "https://naxos-carrentals.com/#website",
      "url": "https://naxos-carrentals.com",
      "name": "Fast Motor Rental Naxos",
      "inLanguage": [
        "en",
        "el",
        "it",
        "fr",
        "de"
      ],
      "publisher": {
        "@id": "https://naxos-carrentals.com/#business"
      }
    }
  ]
}</t>
  </si>
  <si>
    <t>Χρειάζομαι Διεθνές Δίπλωμα Οδήγησης στην Ελλάδα;</t>
  </si>
  <si>
    <t>Οι απαιτήσεις εξαρτώνται από τη χώρα έκδοσης και τους κανόνες αποδοχής της εταιρείας. Επιβεβαιώστε με επίσημη πηγή και την εταιρεία πριν το ταξίδι.</t>
  </si>
  <si>
    <t>https://naxos-carrentals.com/fr/fleet/collections/suv-4x4</t>
  </si>
  <si>
    <t>{
  "@context": "https://schema.org",
  "@graph": [
    {
      "@type": "WebPage",
      "@id": "https://naxos-carrentals.com/en/fleet#webpage",
      "url": "https://naxos-carrentals.com/en/fleet",
      "name": "Choose your Naxos rental car",
      "description": "Explore the Naxos rental fleet by size, transmission and trip type. Check live availability for compact, automatic, family and SUV vehicles.",
      "inLanguage": "en",
      "isPartOf": {
        "@id": "https://naxos-carrentals.com/#website"
      }
    },
    {
      "@type": "BreadcrumbList",
      "@id": "https://naxos-carrentals.com/en/fleet#breadcrumb",
      "itemListElement": [
        {
          "@type": "ListItem",
          "position": 1,
          "name": "Home",
          "item": "https://naxos-carrentals.com/en"
        },
        {
          "@type": "ListItem",
          "position": 2,
          "name": "Choose your Naxos rental car",
          "item": "https://naxos-carrentals.com/en/fleet"
        }
      ]
    },
    {
      "@type": "ItemList",
      "@id": "https://naxos-carrentals.com/en/fleet#list",
      "name": "Choose your Naxos rental car",
      "numberOfItems": "{{LIVE_ITEM_COUNT}}",
      "itemListElement": "{{SERVER_RENDERED_VEHICLE_LIST}}"
    }
  ]
}</t>
  </si>
  <si>
    <t>Is an automatic car worth it in Naxos?</t>
  </si>
  <si>
    <t>Ενοικίαση Scooter Νάξος | Δίπλωμα, Ασφάλεια &amp; Διαθεσιμότητα</t>
  </si>
  <si>
    <t>An automatic can reduce workload on unfamiliar roads and in stop-start traffic. Book early in busy periods because automatic availability may be more limited.</t>
  </si>
  <si>
    <t>Δείτε αν προσφέρεται σήμερα scooter στη Νάξο, ποιο δίπλωμα και κανόνες ισχύουν και πώς συγκρίνεται με αυτοκίνητο για τη διαδρομή σας.</t>
  </si>
  <si>
    <t>Ενοικίαση scooter στη Νάξο: διαθεσιμότητα και κανόνες</t>
  </si>
  <si>
    <t>Αξίζει αυτόματο αυτοκίνητο στη Νάξο;</t>
  </si>
  <si>
    <t>ΔΗΜΟΣΙΕΥΣΗ ΜΟΝΟ ΜΕΤΑ ΑΠΟ ΕΠΙΒΕΒΑΙΩΣΗ ΣΤΟΛΟΥ. Το URL έφερε 100 clicks και 2.800 impressions στο GSC, αλλά τώρα επιστρέφει 404. Αν τα scooter παραμένουν ενεργή υπηρεσία, επαναφέρετε τη σελίδα με live στόλο, κατηγορίες διπλώματος, κράνη, ασφάλεια, απαλλαγή και περιορισμούς δρόμων. Αν όχι, κάντε μόνιμο redirect σε ειλικρινή οδηγό scooter-versus-car και αφαιρέστε το από τον στόλο.
## Τρέχουσα διαθεσιμότητα
{{OWNER_DECISION: SCOOTERS_OFFERED_YES_OR_NO}}.
## Δίπλωμα και ηλικία
Προσθέστε επιβεβαιωμένη κατηγορία διπλώματος και ελάχιστη ηλικία ανά κυβισμό.
## Ασφάλεια και εξοπλισμός
Αναφέρετε μόνο υπογεγραμμένους όρους και περιλαμβανόμενο προστατευτικό εξοπλισμό.
## Scooter ή αυτοκίνητο στη Νάξο
Συγκρίνετε άνεμο, αποσκευές, επιβάτες, χωριά, νυχτερινή οδήγηση και καιρό χωρίς υπερβολές.
## Επόμενο βήμα
Ελέγξτε live διαθεσιμότητα για τις ημερομηνίες σας ή καλέστε +306948820568.</t>
  </si>
  <si>
    <t>Ένα αυτόματο μειώνει την κόπωση σε άγνωστους δρόμους και κίνηση. Κάντε έγκαιρη κράτηση σε περιόδους αιχμής, επειδή η διαθεσιμότητα μπορεί να είναι περιορισμένη.</t>
  </si>
  <si>
    <t>{
  "@context": "https://schema.org",
  "@graph": [
    {
      "@type": "WebPage",
      "@id": "https://naxos-carrentals.com/el/fleet#webpage",
      "url": "https://naxos-carrentals.com/el/fleet",
      "name": "Επιλέξτε το αυτοκίνητό σας στη Νάξο",
      "description": "Δείτε τον στόλο ενοικιαζόμενων στη Νάξο ανά μέγεθος, κιβώτιο και τύπο ταξιδιού. Ελέγξτε διαθεσιμότητα για μικρά, αυτόματα, οικογενειακά και SUV.",
      "inLanguage": "el",
      "isPartOf": {
        "@id": "https://naxos-carrentals.com/#website"
      }
    },
    {
      "@type": "BreadcrumbList",
      "@id": "https://naxos-carrentals.com/el/fleet#breadcrumb",
      "itemListElement": [
        {
          "@type": "ListItem",
          "position": 1,
          "name": "Αρχική",
          "item": "https://naxos-carrentals.com/el"
        },
        {
          "@type": "ListItem",
          "position": 2,
          "name": "Επιλέξτε το αυτοκίνητό σας στη Νάξο",
          "item": "https://naxos-carrentals.com/el/fleet"
        }
      ]
    },
    {
      "@type": "ItemList",
      "@id": "https://naxos-carrentals.com/el/fleet#list",
      "name": "Επιλέξτε το αυτοκίνητό σας στη Νάξο",
      "numberOfItems": "{{LIVE_ITEM_COUNT}}",
      "itemListElement": "{{SERVER_RENDERED_VEHICLE_LIST}}"
    }
  ]
}</t>
  </si>
  <si>
    <t>SUV &amp; 4×4 · Location de voiture à Naxos</t>
  </si>
  <si>
    <t>Which car is best for Naxos?</t>
  </si>
  <si>
    <t>{
  "@context": "https://schema.org",
  "@graph": [
    {
      "@type": "WebPage",
      "@id": "https://naxos-carrentals.com/en/fleet/cars#webpage",
      "url": "https://naxos-carrentals.com/en/fleet/cars",
      "name": "Rental cars in Naxos",
      "description": "Compare rental cars in Naxos by seats, luggage, transmission and trip type. Open each vehicle for details and confirm availability for your dates.",
      "inLanguage": "en",
      "isPartOf": {
        "@id": "https://naxos-carrentals.com/#website"
      }
    },
    {
      "@type": "BreadcrumbList",
      "@id": "https://naxos-carrentals.com/en/fleet/cars#breadcrumb",
      "itemListElement": [
        {
          "@type": "ListItem",
          "position": 1,
          "name": "Home",
          "item": "https://naxos-carrentals.com/en"
        },
        {
          "@type": "ListItem",
          "position": 2,
          "name": "Rental cars in Naxos",
          "item": "https://naxos-carrentals.com/en/fleet/cars"
        }
      ]
    },
    {
      "@type": "ItemList",
      "@id": "https://naxos-carrentals.com/en/fleet/cars#list",
      "name": "Rental cars in Naxos",
      "numberOfItems": "{{LIVE_ITEM_COUNT}}",
      "itemListElement": "{{SERVER_RENDERED_VEHICLE_LIST}}"
    }
  ]
}</t>
  </si>
  <si>
    <t>Choose by passengers, luggage, transmission and itinerary. Compact cars make parking easier; family vehicles add space; an SUV should be selected for space or clearance, not as permission for prohibited roads.</t>
  </si>
  <si>
    <t>{
  "@context": "https://schema.org",
  "@graph": [
    {
      "@type": "WebPage",
      "@id": "https://naxos-carrentals.com/el/fleet/cars#webpage",
      "url": "https://naxos-carrentals.com/el/fleet/cars",
      "name": "Ενοικιαζόμενα αυτοκίνητα στη Νάξο",
      "description": "Συγκρίνετε ενοικιαζόμενα αυτοκίνητα στη Νάξο ανά θέσεις, αποσκευές, κιβώτιο και χρήση. Δείτε λεπτομέρειες και διαθεσιμότητα για τις ημερομηνίες σας.",
      "inLanguage": "el",
      "isPartOf": {
        "@id": "https://naxos-carrentals.com/#website"
      }
    },
    {
      "@type": "BreadcrumbList",
      "@id": "https://naxos-carrentals.com/el/fleet/cars#breadcrumb",
      "itemListElement": [
        {
          "@type": "ListItem",
          "position": 1,
          "name": "Αρχική",
          "item": "https://naxos-carrentals.com/el"
        },
        {
          "@type": "ListItem",
          "position": 2,
          "name": "Ενοικιαζόμενα αυτοκίνητα στη Νάξο",
          "item": "https://naxos-carrentals.com/el/fleet/cars"
        }
      ]
    },
    {
      "@type": "ItemList",
      "@id": "https://naxos-carrentals.com/el/fleet/cars#list",
      "name": "Ενοικιαζόμενα αυτοκίνητα στη Νάξο",
      "numberOfItems": "{{LIVE_ITEM_COUNT}}",
      "itemListElement": "{{SERVER_RENDERED_VEHICLE_LIST}}"
    }
  ]
}</t>
  </si>
  <si>
    <t>Ποιο αυτοκίνητο είναι καλύτερο για τη Νάξο;</t>
  </si>
  <si>
    <t>Επιλέξτε με βάση επιβάτες, αποσκευές, κιβώτιο και πρόγραμμα. Τα μικρά παρκάρουν ευκολότερα, τα οικογενειακά δίνουν χώρο και ένα SUV δεν αποτελεί άδεια για απαγορευμένους δρόμους.</t>
  </si>
  <si>
    <t>{
  "@context": "https://schema.org",
  "@graph": [
    {
      "@type": "WebPage",
      "@id": "https://naxos-carrentals.com/en/pricing#webpage",
      "url": "https://naxos-carrentals.com/en/pricing",
      "name": "Naxos car rental prices, explained",
      "description": "Understand what changes Naxos car rental prices: dates, vehicle category, cover, pickup, extras and cancellation. Check the live total for your trip.",
      "inLanguage": "en",
      "isPartOf": {
        "@id": "https://naxos-carrentals.com/#website"
      }
    },
    {
      "@type": "BreadcrumbList",
      "@id": "https://naxos-carrentals.com/en/pricing#breadcrumb",
      "itemListElement": [
        {
          "@type": "ListItem",
          "position": 1,
          "name": "Home",
          "item": "https://naxos-carrentals.com/en"
        },
        {
          "@type": "ListItem",
          "position": 2,
          "name": "Naxos car rental prices, explained",
          "item": "https://naxos-carrentals.com/en/pricing"
        }
      ]
    }
  ]
}</t>
  </si>
  <si>
    <t>Can I take a Naxos rental car on a ferry?</t>
  </si>
  <si>
    <t>Only with explicit written permission when the rental terms allow it. Insurance and roadside assistance may not apply off-island, so confirm before booking any ferry.</t>
  </si>
  <si>
    <t>{
  "@context": "https://schema.org",
  "@graph": [
    {
      "@type": "WebPage",
      "@id": "https://naxos-carrentals.com/el/pricing#webpage",
      "url": "https://naxos-carrentals.com/el/pricing",
      "name": "Τιμές ενοικίασης αυτοκινήτου στη Νάξο, ξεκάθαρα",
      "description": "Δείτε τι επηρεάζει την τιμή ενοικίασης στη Νάξο: ημερομηνίες, κατηγορία, κάλυψη, παραλαβή, extras και ακύρωση. Ελέγξτε το τελικό ποσό online.",
      "inLanguage": "el",
      "isPartOf": {
        "@id": "https://naxos-carrentals.com/#website"
      }
    },
    {
      "@type": "BreadcrumbList",
      "@id": "https://naxos-carrentals.com/el/pricing#breadcrumb",
      "itemListElement": [
        {
          "@type": "ListItem",
          "position": 1,
          "name": "Αρχική",
          "item": "https://naxos-carrentals.com/el"
        },
        {
          "@type": "ListItem",
          "position": 2,
          "name": "Τιμές ενοικίασης αυτοκινήτου στη Νάξο, ξεκάθαρα",
          "item": "https://naxos-carrentals.com/el/pricing"
        }
      ]
    }
  ]
}</t>
  </si>
  <si>
    <t>{
  "@context": "https://schema.org",
  "@graph": [
    {
      "@type": "WebPage",
      "@id": "https://naxos-carrentals.com/en/insurance#webpage",
      "url": "https://naxos-carrentals.com/en/insurance",
      "name": "Car rental insurance in Naxos",
      "description": "Read the verified cover, excess, exclusions and driver responsibilities for your Naxos rental. Match the page wording exactly to the booking terms.",
      "inLanguage": "en",
      "isPartOf": {
        "@id": "https://naxos-carrentals.com/#website"
      }
    },
    {
      "@type": "BreadcrumbList",
      "@id": "https://naxos-carrentals.com/en/insurance#breadcrumb",
      "itemListElement": [
        {
          "@type": "ListItem",
          "position": 1,
          "name": "Home",
          "item": "https://naxos-carrentals.com/en"
        },
        {
          "@type": "ListItem",
          "position": 2,
          "name": "Car rental insurance in Naxos",
          "item": "https://naxos-carrentals.com/en/insurance"
        }
      ]
    }
  ]
}</t>
  </si>
  <si>
    <t>Μπορώ να πάρω το ενοικιαζόμενο σε πλοίο;</t>
  </si>
  <si>
    <t>Μόνο με ρητή γραπτή άδεια όταν το επιτρέπουν οι όροι. Ασφάλιση και οδική βοήθεια μπορεί να μην ισχύουν εκτός νησιού, άρα επιβεβαιώστε πριν κλείσετε πλοίο.</t>
  </si>
  <si>
    <t>{
  "@context": "https://schema.org",
  "@graph": [
    {
      "@type": "WebPage",
      "@id": "https://naxos-carrentals.com/el/insurance#webpage",
      "url": "https://naxos-carrentals.com/el/insurance",
      "name": "Ασφάλεια ενοικιαζόμενου αυτοκινήτου στη Νάξο",
      "description": "Διαβάστε την επιβεβαιωμένη κάλυψη, απαλλαγή, εξαιρέσεις και ευθύνες οδηγού. Το περιεχόμενο πρέπει να συμφωνεί ακριβώς με τους όρους κράτησης.",
      "inLanguage": "el",
      "isPartOf": {
        "@id": "https://naxos-carrentals.com/#website"
      }
    },
    {
      "@type": "BreadcrumbList",
      "@id": "https://naxos-carrentals.com/el/insurance#breadcrumb",
      "itemListElement": [
        {
          "@type": "ListItem",
          "position": 1,
          "name": "Αρχική",
          "item": "https://naxos-carrentals.com/el"
        },
        {
          "@type": "ListItem",
          "position": 2,
          "name": "Ασφάλεια ενοικιαζόμενου αυτοκινήτου στη Νάξο",
          "item": "https://naxos-carrentals.com/el/insurance"
        }
      ]
    }
  ]
}</t>
  </si>
  <si>
    <t>Where should I park in Naxos Town?</t>
  </si>
  <si>
    <t>Use signed public parking and respect pedestrian, port and access restrictions. Publish a checked map and arrival plan rather than promising a space in peak season.</t>
  </si>
  <si>
    <t>Guides de conduite voiture à Naxos : road trips, villages, plages, stationnement à Chora et règles de circulation.</t>
  </si>
  <si>
    <t>Πού παρκάρω στη Χώρα Νάξου;</t>
  </si>
  <si>
    <t>{
  "@context": "https://schema.org",
  "@graph": [
    {
      "@type": "WebPage",
      "@id": "https://naxos-carrentals.com/en/faq#webpage",
      "url": "https://naxos-carrentals.com/en/faq",
      "name": "Naxos car rental questions, answered",
      "description": "Clear answers about licences, age, insurance, deposits, pickup, fuel, ferries, cancellation and booking a rental car in Naxos.",
      "inLanguage": "en",
      "isPartOf": {
        "@id": "https://naxos-carrentals.com/#website"
      }
    },
    {
      "@type": "BreadcrumbList",
      "@id": "https://naxos-carrentals.com/en/faq#breadcrumb",
      "itemListElement": [
        {
          "@type": "ListItem",
          "position": 1,
          "name": "Home",
          "item": "https://naxos-carrentals.com/en"
        },
        {
          "@type": "ListItem",
          "position": 2,
          "name": "Naxos car rental questions, answered",
          "item": "https://naxos-carrentals.com/en/faq"
        }
      ]
    }
  ]
}</t>
  </si>
  <si>
    <t>Χρησιμοποιήστε σημασμένους δημόσιους χώρους και σεβαστείτε πεζοδρομήσεις, λιμάνι και περιορισμούς πρόσβασης. Δημοσιεύστε ελεγμένο χάρτη—not υπόσχεση θέσης στην αιχμή.</t>
  </si>
  <si>
    <t>Do not add FAQPage for a Google rich-result promise</t>
  </si>
  <si>
    <t>Guides road trip à Naxos</t>
  </si>
  <si>
    <t>What is the best Naxos road trip?</t>
  </si>
  <si>
    <t>{
  "@context": "https://schema.org",
  "@graph": [
    {
      "@type": "WebPage",
      "@id": "https://naxos-carrentals.com/el/faq#webpage",
      "url": "https://naxos-carrentals.com/el/faq",
      "name": "Ερωτήσεις για ενοικίαση αυτοκινήτου στη Νάξο",
      "description": "Σαφείς απαντήσεις για δίπλωμα, ηλικία, ασφάλεια, εγγύηση, παραλαβή, καύσιμα, πλοία, ακύρωση και κράτηση αυτοκινήτου στη Νάξο.",
      "inLanguage": "el",
      "isPartOf": {
        "@id": "https://naxos-carrentals.com/#website"
      }
    },
    {
      "@type": "BreadcrumbList",
      "@id": "https://naxos-carrentals.com/el/faq#breadcrumb",
      "itemListElement": [
        {
          "@type": "ListItem",
          "position": 1,
          "name": "Αρχική",
          "item": "https://naxos-carrentals.com/el"
        },
        {
          "@type": "ListItem",
          "position": 2,
          "name": "Ερωτήσεις για ενοικίαση αυτοκινήτου στη Νάξο",
          "item": "https://naxos-carrentals.com/el/faq"
        }
      ]
    }
  ]
}</t>
  </si>
  <si>
    <t>For a first inland day, combine Chalki, Filoti and Apeiranthos with realistic stops and daylight. Keep beach and mountain loops separate if you want time outside the car.</t>
  </si>
  <si>
    <t>{
  "@context": "https://schema.org",
  "@graph": [
    {
      "@type": "WebPage",
      "@id": "https://naxos-carrentals.com/en/locations#webpage",
      "url": "https://naxos-carrentals.com/en/locations",
      "name": "Car rental pickup locations in Naxos",
      "description": "Plan car pickup in Naxos at the port, airport, Chora or supported beach areas. Confirm the exact meeting point and availability for your booking.",
      "inLanguage": "en",
      "isPartOf": {
        "@id": "https://naxos-carrentals.com/#website"
      }
    },
    {
      "@type": "BreadcrumbList",
      "@id": "https://naxos-carrentals.com/en/locations#breadcrumb",
      "itemListElement": [
        {
          "@type": "ListItem",
          "position": 1,
          "name": "Home",
          "item": "https://naxos-carrentals.com/en"
        },
        {
          "@type": "ListItem",
          "position": 2,
          "name": "Car rental pickup locations in Naxos",
          "item": "https://naxos-carrentals.com/en/locations"
        }
      ]
    }
  ]
}</t>
  </si>
  <si>
    <t>Ποιο είναι το καλύτερο road trip στη Νάξο;</t>
  </si>
  <si>
    <t>Για πρώτη ημέρα στην ενδοχώρα συνδυάστε Χαλκί, Φιλώτι και Απείρανθο με ρεαλιστικές στάσεις και φως ημέρας. Κρατήστε χωριστά παραλίες και βουνό για περισσότερο χρόνο εκτός αυτοκινήτου.</t>
  </si>
  <si>
    <t>{
  "@context": "https://schema.org",
  "@graph": [
    {
      "@type": "WebPage",
      "@id": "https://naxos-carrentals.com/el/locations#webpage",
      "url": "https://naxos-carrentals.com/el/locations",
      "name": "Σημεία παραλαβής αυτοκινήτου στη Νάξο",
      "description": "Οργανώστε παραλαβή αυτοκινήτου σε λιμάνι, αεροδρόμιο, Χώρα ή διαθέσιμες παραλιακές περιοχές. Επιβεβαιώστε ακριβές σημείο και διαθεσιμότητα.",
      "inLanguage": "el",
      "isPartOf": {
        "@id": "https://naxos-carrentals.com/#website"
      }
    },
    {
      "@type": "BreadcrumbList",
      "@id": "https://naxos-carrentals.com/el/locations#breadcrumb",
      "itemListElement": [
        {
          "@type": "ListItem",
          "position": 1,
          "name": "Αρχική",
          "item": "https://naxos-carrentals.com/el"
        },
        {
          "@type": "ListItem",
          "position": 2,
          "name": "Σημεία παραλαβής αυτοκινήτου στη Νάξο",
          "item": "https://naxos-carrentals.com/el/locations"
        }
      ]
    }
  ]
}</t>
  </si>
  <si>
    <t>{
  "@context": "https://schema.org",
  "@graph": [
    {
      "@type": "CollectionPage",
      "@id": "https://naxos-carrentals.com/en/guides#webpage",
      "url": "https://naxos-carrentals.com/en/guides",
      "name": "Naxos driving and car rental guides",
      "description": "Use local Naxos driving guides for port and airport pickup, parking, beaches, villages, road trips, licences, insurance and rental decisions.",
      "inLanguage": "en",
      "isPartOf": {
        "@id": "https://naxos-carrentals.com/#website"
      }
    },
    {
      "@type": "BreadcrumbList",
      "@id": "https://naxos-carrentals.com/en/guides#breadcrumb",
      "itemListElement": [
        {
          "@type": "ListItem",
          "position": 1,
          "name": "Home",
          "item": "https://naxos-carrentals.com/en"
        },
        {
          "@type": "ListItem",
          "position": 2,
          "name": "Naxos driving and car rental guides",
          "item": "https://naxos-carrentals.com/en/guides"
        }
      ]
    }
  ]
}</t>
  </si>
  <si>
    <t>{
  "@context": "https://schema.org",
  "@graph": [
    {
      "@type": "CollectionPage",
      "@id": "https://naxos-carrentals.com/el/guides#webpage",
      "url": "https://naxos-carrentals.com/el/guides",
      "name": "Οδηγοί οδήγησης και ενοικίασης αυτοκινήτου στη Νάξο",
      "description": "Τοπικοί οδηγοί για παραλαβή σε λιμάνι/αεροδρόμιο, parking, παραλίες, χωριά, road trips, δίπλωμα, ασφάλεια και επιλογή οχήματος.",
      "inLanguage": "el",
      "isPartOf": {
        "@id": "https://naxos-carrentals.com/#website"
      }
    },
    {
      "@type": "BreadcrumbList",
      "@id": "https://naxos-carrentals.com/el/guides#breadcrumb",
      "itemListElement": [
        {
          "@type": "ListItem",
          "position": 1,
          "name": "Αρχική",
          "item": "https://naxos-carrentals.com/el"
        },
        {
          "@type": "ListItem",
          "position": 2,
          "name": "Οδηγοί οδήγησης και ενοικίασης αυτοκινήτου στη Νάξο",
          "item": "https://naxos-carrentals.com/el/guides"
        }
      ]
    }
  ]
}</t>
  </si>
  <si>
    <t>Familial depuis 2018</t>
  </si>
  <si>
    <t>{
  "@context": "https://schema.org",
  "@graph": [
    {
      "@type": "CollectionPage",
      "@id": "https://naxos-carrentals.com/en/naxos#webpage",
      "url": "https://naxos-carrentals.com/en/naxos",
      "name": "Naxos travel guide: the island by coast, village and road",
      "description": "Plan Naxos with a practical local guide to beaches, mountain villages, Chora, food, hiking, transport, driving routes and the best trip length.",
      "inLanguage": "en",
      "isPartOf": {
        "@id": "https://naxos-carrentals.com/#website"
      }
    },
    {
      "@type": "BreadcrumbList",
      "@id": "https://naxos-carrentals.com/en/naxos#breadcrumb",
      "itemListElement": [
        {
          "@type": "ListItem",
          "position": 1,
          "name": "Home",
          "item": "https://naxos-carrentals.com/en"
        },
        {
          "@type": "ListItem",
          "position": 2,
          "name": "Naxos travel guide: the island by coast, village and road",
          "item": "https://naxos-carrentals.com/en/naxos"
        }
      ]
    }
  ]
}</t>
  </si>
  <si>
    <t>{
  "@context": "https://schema.org",
  "@graph": [
    {
      "@type": "CollectionPage",
      "@id": "https://naxos-carrentals.com/el/naxos#webpage",
      "url": "https://naxos-carrentals.com/el/naxos",
      "name": "Οδηγός Νάξου: ακτές, χωριά και διαδρομές",
      "description": "Οργανώστε τη Νάξο με πρακτικό οδηγό για παραλίες, ορεινά χωριά, Χώρα, φαγητό, πεζοπορία, μετακινήσεις, διαδρομές και ιδανική διάρκεια.",
      "inLanguage": "el",
      "isPartOf": {
        "@id": "https://naxos-carrentals.com/#website"
      }
    },
    {
      "@type": "BreadcrumbList",
      "@id": "https://naxos-carrentals.com/el/naxos#breadcrumb",
      "itemListElement": [
        {
          "@type": "ListItem",
          "position": 1,
          "name": "Αρχική",
          "item": "https://naxos-carrentals.com/el"
        },
        {
          "@type": "ListItem",
          "position": 2,
          "name": "Οδηγός Νάξου: ακτές, χωριά και διαδρομές",
          "item": "https://naxos-carrentals.com/el/naxos"
        }
      ]
    }
  ]
}</t>
  </si>
  <si>
    <t>{
  "@context": "https://schema.org",
  "@graph": [
    {
      "@type": "CollectionPage",
      "@id": "https://naxos-carrentals.com/en/naxos/beaches#webpage",
      "url": "https://naxos-carrentals.com/en/naxos/beaches",
      "name": "Naxos beaches: choose by wind, access and the day you want",
      "description": "Compare Naxos beaches by sand, wind, family fit, facilities, parking and drive time from Chora—from Agios Prokopios to Alyko and beyond.",
      "inLanguage": "en",
      "isPartOf": {
        "@id": "https://naxos-carrentals.com/#website"
      }
    },
    {
      "@type": "BreadcrumbList",
      "@id": "https://naxos-carrentals.com/en/naxos/beaches#breadcrumb",
      "itemListElement": [
        {
          "@type": "ListItem",
          "position": 1,
          "name": "Home",
          "item": "https://naxos-carrentals.com/en"
        },
        {
          "@type": "ListItem",
          "position": 2,
          "name": "Naxos beaches: choose by wind, access and the day you want",
          "item": "https://naxos-carrentals.com/en/naxos/beaches"
        }
      ]
    }
  ]
}</t>
  </si>
  <si>
    <t>{
  "@context": "https://schema.org",
  "@graph": [
    {
      "@type": "CollectionPage",
      "@id": "https://naxos-carrentals.com/el/naxos/beaches#webpage",
      "url": "https://naxos-carrentals.com/el/naxos/beaches",
      "name": "Παραλίες Νάξου: επιλέξτε με βάση αέρα, πρόσβαση και εμπειρία",
      "description": "Συγκρίνετε παραλίες Νάξου ανά άμμο, αέρα, οικογένειες, παροχές, parking και χρόνο από Χώρα—από Άγιο Προκόπιο έως Αλυκό.",
      "inLanguage": "el",
      "isPartOf": {
        "@id": "https://naxos-carrentals.com/#website"
      }
    },
    {
      "@type": "BreadcrumbList",
      "@id": "https://naxos-carrentals.com/el/naxos/beaches#breadcrumb",
      "itemListElement": [
        {
          "@type": "ListItem",
          "position": 1,
          "name": "Αρχική",
          "item": "https://naxos-carrentals.com/el"
        },
        {
          "@type": "ListItem",
          "position": 2,
          "name": "Παραλίες Νάξου: επιλέξτε με βάση αέρα, πρόσβαση και εμπειρία",
          "item": "https://naxos-carrentals.com/el/naxos/beaches"
        }
      ]
    }
  ]
}</t>
  </si>
  <si>
    <t>{
  "@context": "https://schema.org",
  "@graph": [
    {
      "@type": "AboutPage",
      "@id": "https://naxos-carrentals.com/en/about#webpage",
      "url": "https://naxos-carrentals.com/en/about",
      "name": "A local Naxos rental team, clearly identified",
      "description": "Meet Fast Motor Rental Naxos, see verified company and contact details, understand how bookings are handled and find the official support channels.",
      "inLanguage": "en",
      "isPartOf": {
        "@id": "https://naxos-carrentals.com/#website"
      }
    },
    {
      "@type": "BreadcrumbList",
      "@id": "https://naxos-carrentals.com/en/about#breadcrumb",
      "itemListElement": [
        {
          "@type": "ListItem",
          "position": 1,
          "name": "Home",
          "item": "https://naxos-carrentals.com/en"
        },
        {
          "@type": "ListItem",
          "position": 2,
          "name": "A local Naxos rental team, clearly identified",
          "item": "https://naxos-carrentals.com/en/about"
        }
      ]
    }
  ]
}</t>
  </si>
  <si>
    <t>Guide complet des prix de location de voiture à Naxos en 2026.</t>
  </si>
  <si>
    <t>{
  "@context": "https://schema.org",
  "@graph": [
    {
      "@type": "AboutPage",
      "@id": "https://naxos-carrentals.com/el/about#webpage",
      "url": "https://naxos-carrentals.com/el/about",
      "name": "Τοπική ομάδα ενοικιάσεων στη Νάξο, με σαφή στοιχεία",
      "description": "Γνωρίστε τη Fast Motor Rental Naxos, δείτε επιβεβαιωμένα εταιρικά στοιχεία, πώς γίνεται η κράτηση και τα επίσημα κανάλια υποστήριξης.",
      "inLanguage": "el",
      "isPartOf": {
        "@id": "https://naxos-carrentals.com/#website"
      }
    },
    {
      "@type": "BreadcrumbList",
      "@id": "https://naxos-carrentals.com/el/about#breadcrumb",
      "itemListElement": [
        {
          "@type": "ListItem",
          "position": 1,
          "name": "Αρχική",
          "item": "https://naxos-carrentals.com/el"
        },
        {
          "@type": "ListItem",
          "position": 2,
          "name": "Τοπική ομάδα ενοικιάσεων στη Νάξο, με σαφή στοιχεία",
          "item": "https://naxos-carrentals.com/el/about"
        }
      ]
    }
  ]
}</t>
  </si>
  <si>
    <t>Prix de Location de Voiture à Naxos (2026) : Coûts et Frais Cachés</t>
  </si>
  <si>
    <t>{
  "@context": "https://schema.org",
  "@graph": [
    {
      "@type": "ContactPage",
      "@id": "https://naxos-carrentals.com/en/contact#webpage",
      "url": "https://naxos-carrentals.com/en/contact",
      "name": "Contact Fast Motor Rental Naxos",
      "description": "Contact Fast Motor Rental Naxos by phone or WhatsApp at +306948820568, or email info@fmrnaxos.gr. Use the booking engine for live vehicle availability.",
      "inLanguage": "en",
      "isPartOf": {
        "@id": "https://naxos-carrentals.com/#website"
      }
    },
    {
      "@type": "BreadcrumbList",
      "@id": "https://naxos-carrentals.com/en/contact#breadcrumb",
      "itemListElement": [
        {
          "@type": "ListItem",
          "position": 1,
          "name": "Home",
          "item": "https://naxos-carrentals.com/en"
        },
        {
          "@type": "ListItem",
          "position": 2,
          "name": "Contact Fast Motor Rental Naxos",
          "item": "https://naxos-carrentals.com/en/contact"
        }
      ]
    }
  ]
}</t>
  </si>
  <si>
    <t>{
  "@context": "https://schema.org",
  "@graph": [
    {
      "@type": "ContactPage",
      "@id": "https://naxos-carrentals.com/el/contact#webpage",
      "url": "https://naxos-carrentals.com/el/contact",
      "name": "Επικοινωνία με Fast Motor Rental Naxos",
      "description": "Επικοινωνήστε με Fast Motor Rental Naxos στο +306948820568 ή στο info@fmrnaxos.gr. Για ζωντανή διαθεσιμότητα χρησιμοποιήστε το σύστημα κρατήσεων.",
      "inLanguage": "el",
      "isPartOf": {
        "@id": "https://naxos-carrentals.com/#website"
      }
    },
    {
      "@type": "BreadcrumbList",
      "@id": "https://naxos-carrentals.com/el/contact#breadcrumb",
      "itemListElement": [
        {
          "@type": "ListItem",
          "position": 1,
          "name": "Αρχική",
          "item": "https://naxos-carrentals.com/el"
        },
        {
          "@type": "ListItem",
          "position": 2,
          "name": "Επικοινωνία με Fast Motor Rental Naxos",
          "item": "https://naxos-carrentals.com/el/contact"
        }
      ]
    }
  ]
}</t>
  </si>
  <si>
    <t>{
  "@context": "https://schema.org",
  "@graph": [
    {
      "@type": "WebPage",
      "@id": "https://naxos-carrentals.com/en/book#webpage",
      "url": "https://naxos-carrentals.com/en/book",
      "name": "Check cars for your Naxos dates",
      "description": "Enter dates, pickup and driver details to check live Naxos rental-car availability, review the total and continue to secure booking.",
      "inLanguage": "en",
      "isPartOf": {
        "@id": "https://naxos-carrentals.com/#website"
      }
    },
    {
      "@type": "BreadcrumbList",
      "@id": "https://naxos-carrentals.com/en/book#breadcrumb",
      "itemListElement": [
        {
          "@type": "ListItem",
          "position": 1,
          "name": "Home",
          "item": "https://naxos-carrentals.com/en"
        },
        {
          "@type": "ListItem",
          "position": 2,
          "name": "Check cars for your Naxos dates",
          "item": "https://naxos-carrentals.com/en/book"
        }
      ]
    }
  ]
}</t>
  </si>
  <si>
    <t>{
  "@context": "https://schema.org",
  "@graph": [
    {
      "@type": "WebPage",
      "@id": "https://naxos-carrentals.com/el/book#webpage",
      "url": "https://naxos-carrentals.com/el/book",
      "name": "Δείτε διαθέσιμα αυτοκίνητα για τις ημερομηνίες σας",
      "description": "Εισαγάγετε ημερομηνίες, παραλαβή και στοιχεία οδηγού για ζωντανή διαθεσιμότητα, τελικό ποσό και ασφαλή κράτηση στη Νάξο.",
      "inLanguage": "el",
      "isPartOf": {
        "@id": "https://naxos-carrentals.com/#website"
      }
    },
    {
      "@type": "BreadcrumbList",
      "@id": "https://naxos-carrentals.com/el/book#breadcrumb",
      "itemListElement": [
        {
          "@type": "ListItem",
          "position": 1,
          "name": "Αρχική",
          "item": "https://naxos-carrentals.com/el"
        },
        {
          "@type": "ListItem",
          "position": 2,
          "name": "Δείτε διαθέσιμα αυτοκίνητα για τις ημερομηνίες σας",
          "item": "https://naxos-carrentals.com/el/book"
        }
      ]
    }
  ]
}</t>
  </si>
  <si>
    <t>La plage la plus aimée de Naxos</t>
  </si>
  <si>
    <t>{
  "@context": "https://schema.org",
  "@graph": [
    {
      "@type": "WebPage",
      "@id": "https://naxos-carrentals.com/en/guides/best-car-rental-naxos-reviews-comparison#webpage",
      "url": "https://naxos-carrentals.com/en/guides/best-car-rental-naxos-reviews-comparison",
      "name": "Best Car Rental in Naxos: A 12-Point Comparison",
      "description": "Best Car Rental in Naxos: A 12-Point Comparison. Get a direct answer, verified decision points, practical Naxos context and links to the relevant fleet, terms",
      "inLanguage": "en",
      "isPartOf": {
        "@id": "https://naxos-carrentals.com/#website"
      }
    },
    {
      "@type": "BreadcrumbList",
      "@id": "https://naxos-carrentals.com/en/guides/best-car-rental-naxos-reviews-comparison#breadcrumb",
      "itemListElement": [
        {
          "@type": "ListItem",
          "position": 1,
          "name": "Home",
          "item": "https://naxos-carrentals.com/en"
        },
        {
          "@type": "ListItem",
          "position": 2,
          "name": "Best Car Rental in Naxos: A 12-Point Comparison",
          "item": "https://naxos-carrentals.com/en/guides/best-car-rental-naxos-reviews-comparison"
        }
      ]
    },
    {
      "@type": "Article",
      "@id": "https://naxos-carrentals.com/en/guides/best-car-rental-naxos-reviews-comparison#article",
      "headline": "Best Car Rental in Naxos: A 12-Point Comparison",
      "description": "Best Car Rental in Naxos: A 12-Point Comparison. Get a direct answer, verified decision points, practical Naxos context and links to the relevant fleet, terms",
      "inLanguage": "en",
      "mainEntityOfPage": {
        "@id": "https://naxos-carrentals.com/en/guides/best-car-rental-naxos-reviews-comparison#webpage"
      },
      "author": {
        "@type": "Person",
        "name": "{{NAMED_LOCAL_AUTHOR}}"
      },
      "publisher": {
        "@id": "https://naxos-carrentals.com/#business"
      },
      "datePublished": "{{DATE_PUBLISHED}}",
      "dateModified": "{{DATE_VERIFIED}}",
      "image": "{{PREFERRED_IMAGE_URL}}"
    }
  ]
}</t>
  </si>
  <si>
    <t>Location Agios Prokopios</t>
  </si>
  <si>
    <t>{
  "@context": "https://schema.org",
  "@graph": [
    {
      "@type": "WebPage",
      "@id": "https://naxos-carrentals.com/el/guides/best-car-rental-naxos-reviews-comparison#webpage",
      "url": "https://naxos-carrentals.com/el/guides/best-car-rental-naxos-reviews-comparison",
      "name": "Καλύτερη Ενοικίαση Αυτοκινήτου στη Νάξο: 12 Κριτήρια",
      "description": "Καλύτερη Ενοικίαση Αυτοκινήτου στη Νάξο: 12 Κριτήρια. Άμεση απάντηση, επιβεβαιωμένα κριτήρια, πρακτικό πλαίσιο για τη Νάξο και σύνδεση με στόλο, όρους και κρά",
      "inLanguage": "el",
      "isPartOf": {
        "@id": "https://naxos-carrentals.com/#website"
      }
    },
    {
      "@type": "BreadcrumbList",
      "@id": "https://naxos-carrentals.com/el/guides/best-car-rental-naxos-reviews-comparison#breadcrumb",
      "itemListElement": [
        {
          "@type": "ListItem",
          "position": 1,
          "name": "Αρχική",
          "item": "https://naxos-carrentals.com/el"
        },
        {
          "@type": "ListItem",
          "position": 2,
          "name": "Καλύτερη Ενοικίαση Αυτοκινήτου στη Νάξο: 12 Κριτήρια",
          "item": "https://naxos-carrentals.com/el/guides/best-car-rental-naxos-reviews-comparison"
        }
      ]
    },
    {
      "@type": "Article",
      "@id": "https://naxos-carrentals.com/el/guides/best-car-rental-naxos-reviews-comparison#article",
      "headline": "Καλύτερη Ενοικίαση Αυτοκινήτου στη Νάξο: 12 Κριτήρια",
      "description": "Καλύτερη Ενοικίαση Αυτοκινήτου στη Νάξο: 12 Κριτήρια. Άμεση απάντηση, επιβεβαιωμένα κριτήρια, πρακτικό πλαίσιο για τη Νάξο και σύνδεση με στόλο, όρους και κρά",
      "inLanguage": "el",
      "mainEntityOfPage": {
        "@id": "https://naxos-carrentals.com/el/guides/best-car-rental-naxos-reviews-comparison#webpage"
      },
      "author": {
        "@type": "Person",
        "name": "{{NAMED_LOCAL_AUTHOR}}"
      },
      "publisher": {
        "@id": "https://naxos-carrentals.com/#business"
      },
      "datePublished": "{{DATE_PUBLISHED}}",
      "dateModified": "{{DATE_VERIFIED}}",
      "image": "{{PREFERRED_IMAGE_URL}}"
    }
  ]
}</t>
  </si>
  <si>
    <t>{
  "@context": "https://schema.org",
  "@graph": [
    {
      "@type": "WebPage",
      "@id": "https://naxos-carrentals.com/en/guides/naxos-car-rental-without-credit-card-insurance#webpage",
      "url": "https://naxos-carrentals.com/en/guides/naxos-car-rental-without-credit-card-insurance",
      "name": "Naxos Car Rental Without a Credit Card: What to Check",
      "description": "Naxos Car Rental Without a Credit Card: What to Check. Get a direct answer, verified decision points, practical Naxos context and links to the relevant fleet,",
      "inLanguage": "en",
      "isPartOf": {
        "@id": "https://naxos-carrentals.com/#website"
      }
    },
    {
      "@type": "BreadcrumbList",
      "@id": "https://naxos-carrentals.com/en/guides/naxos-car-rental-without-credit-card-insurance#breadcrumb",
      "itemListElement": [
        {
          "@type": "ListItem",
          "position": 1,
          "name": "Home",
          "item": "https://naxos-carrentals.com/en"
        },
        {
          "@type": "ListItem",
          "position": 2,
          "name": "Naxos Car Rental Without a Credit Card: What to Check",
          "item": "https://naxos-carrentals.com/en/guides/naxos-car-rental-without-credit-card-insurance"
        }
      ]
    },
    {
      "@type": "Article",
      "@id": "https://naxos-carrentals.com/en/guides/naxos-car-rental-without-credit-card-insurance#article",
      "headline": "Naxos Car Rental Without a Credit Card: What to Check",
      "description": "Naxos Car Rental Without a Credit Card: What to Check. Get a direct answer, verified decision points, practical Naxos context and links to the relevant fleet,",
      "inLanguage": "en",
      "mainEntityOfPage": {
        "@id": "https://naxos-carrentals.com/en/guides/naxos-car-rental-without-credit-card-insurance#webpage"
      },
      "author": {
        "@type": "Person",
        "name": "{{NAMED_LOCAL_AUTHOR}}"
      },
      "publisher": {
        "@id": "https://naxos-carrentals.com/#business"
      },
      "datePublished": "{{DATE_PUBLISHED}}",
      "dateModified": "{{DATE_VERIFIED}}",
      "image": "{{PREFERRED_IMAGE_URL}}"
    }
  ]
}</t>
  </si>
  <si>
    <t>{
  "@context": "https://schema.org",
  "@graph": [
    {
      "@type": "WebPage",
      "@id": "https://naxos-carrentals.com/el/guides/naxos-car-rental-without-credit-card-insurance#webpage",
      "url": "https://naxos-carrentals.com/el/guides/naxos-car-rental-without-credit-card-insurance",
      "name": "Ενοικίαση Αυτοκινήτου Νάξος Χωρίς Πιστωτική: Τι να Ελέγξετε",
      "description": "Ενοικίαση Αυτοκινήτου Νάξος Χωρίς Πιστωτική: Τι να Ελέγξετε. Άμεση απάντηση, επιβεβαιωμένα κριτήρια, πρακτικό πλαίσιο για τη Νάξο και σύνδεση με στόλο, όρους ",
      "inLanguage": "el",
      "isPartOf": {
        "@id": "https://naxos-carrentals.com/#website"
      }
    },
    {
      "@type": "BreadcrumbList",
      "@id": "https://naxos-carrentals.com/el/guides/naxos-car-rental-without-credit-card-insurance#breadcrumb",
      "itemListElement": [
        {
          "@type": "ListItem",
          "position": 1,
          "name": "Αρχική",
          "item": "https://naxos-carrentals.com/el"
        },
        {
          "@type": "ListItem",
          "position": 2,
          "name": "Ενοικίαση Αυτοκινήτου Νάξος Χωρίς Πιστωτική: Τι να Ελέγξετε",
          "item": "https://naxos-carrentals.com/el/guides/naxos-car-rental-without-credit-card-insurance"
        }
      ]
    },
    {
      "@type": "Article",
      "@id": "https://naxos-carrentals.com/el/guides/naxos-car-rental-without-credit-card-insurance#article",
      "headline": "Ενοικίαση Αυτοκινήτου Νάξος Χωρίς Πιστωτική: Τι να Ελέγξετε",
      "description": "Ενοικίαση Αυτοκινήτου Νάξος Χωρίς Πιστωτική: Τι να Ελέγξετε. Άμεση απάντηση, επιβεβαιωμένα κριτήρια, πρακτικό πλαίσιο για τη Νάξο και σύνδεση με στόλο, όρους ",
      "inLanguage": "el",
      "mainEntityOfPage": {
        "@id": "https://naxos-carrentals.com/el/guides/naxos-car-rental-without-credit-card-insurance#webpage"
      },
      "author": {
        "@type": "Person",
        "name": "{{NAMED_LOCAL_AUTHOR}}"
      },
      "publisher": {
        "@id": "https://naxos-carrentals.com/#business"
      },
      "datePublished": "{{DATE_PUBLISHED}}",
      "dateModified": "{{DATE_VERIFIED}}",
      "image": "{{PREFERRED_IMAGE_URL}}"
    }
  ]
}</t>
  </si>
  <si>
    <t>{
  "@context": "https://schema.org",
  "@graph": [
    {
      "@type": "WebPage",
      "@id": "https://naxos-carrentals.com/en/guides/naxos-rent-a-car-prices-cost-breakdown#webpage",
      "url": "https://naxos-carrentals.com/en/guides/naxos-rent-a-car-prices-cost-breakdown",
      "name": "Naxos Car Rental Prices: Complete Cost Breakdown",
      "description": "Naxos Car Rental Prices: Complete Cost Breakdown. Get a direct answer, verified decision points, practical Naxos context and links to the relevant fleet, term",
      "inLanguage": "en",
      "isPartOf": {
        "@id": "https://naxos-carrentals.com/#website"
      }
    },
    {
      "@type": "BreadcrumbList",
      "@id": "https://naxos-carrentals.com/en/guides/naxos-rent-a-car-prices-cost-breakdown#breadcrumb",
      "itemListElement": [
        {
          "@type": "ListItem",
          "position": 1,
          "name": "Home",
          "item": "https://naxos-carrentals.com/en"
        },
        {
          "@type": "ListItem",
          "position": 2,
          "name": "Naxos Car Rental Prices: Complete Cost Breakdown",
          "item": "https://naxos-carrentals.com/en/guides/naxos-rent-a-car-prices-cost-breakdown"
        }
      ]
    },
    {
      "@type": "Article",
      "@id": "https://naxos-carrentals.com/en/guides/naxos-rent-a-car-prices-cost-breakdown#article",
      "headline": "Naxos Car Rental Prices: Complete Cost Breakdown",
      "description": "Naxos Car Rental Prices: Complete Cost Breakdown. Get a direct answer, verified decision points, practical Naxos context and links to the relevant fleet, term",
      "inLanguage": "en",
      "mainEntityOfPage": {
        "@id": "https://naxos-carrentals.com/en/guides/naxos-rent-a-car-prices-cost-breakdown#webpage"
      },
      "author": {
        "@type": "Person",
        "name": "{{NAMED_LOCAL_AUTHOR}}"
      },
      "publisher": {
        "@id": "https://naxos-carrentals.com/#business"
      },
      "datePublished": "{{DATE_PUBLISHED}}",
      "dateModified": "{{DATE_VERIFIED}}",
      "image": "{{PREFERRED_IMAGE_URL}}"
    }
  ]
}</t>
  </si>
  <si>
    <t>4 km de sable fin</t>
  </si>
  <si>
    <t>{
  "@context": "https://schema.org",
  "@graph": [
    {
      "@type": "WebPage",
      "@id": "https://naxos-carrentals.com/el/guides/naxos-rent-a-car-prices-cost-breakdown#webpage",
      "url": "https://naxos-carrentals.com/el/guides/naxos-rent-a-car-prices-cost-breakdown",
      "name": "Τιμές Ενοικίασης Αυτοκινήτου Νάξος: Πλήρης Ανάλυση",
      "description": "Τιμές Ενοικίασης Αυτοκινήτου Νάξος: Πλήρης Ανάλυση. Άμεση απάντηση, επιβεβαιωμένα κριτήρια, πρακτικό πλαίσιο για τη Νάξο και σύνδεση με στόλο, όρους και κράτη",
      "inLanguage": "el",
      "isPartOf": {
        "@id": "https://naxos-carrentals.com/#website"
      }
    },
    {
      "@type": "BreadcrumbList",
      "@id": "https://naxos-carrentals.com/el/guides/naxos-rent-a-car-prices-cost-breakdown#breadcrumb",
      "itemListElement": [
        {
          "@type": "ListItem",
          "position": 1,
          "name": "Αρχική",
          "item": "https://naxos-carrentals.com/el"
        },
        {
          "@type": "ListItem",
          "position": 2,
          "name": "Τιμές Ενοικίασης Αυτοκινήτου Νάξος: Πλήρης Ανάλυση",
          "item": "https://naxos-carrentals.com/el/guides/naxos-rent-a-car-prices-cost-breakdown"
        }
      ]
    },
    {
      "@type": "Article",
      "@id": "https://naxos-carrentals.com/el/guides/naxos-rent-a-car-prices-cost-breakdown#article",
      "headline": "Τιμές Ενοικίασης Αυτοκινήτου Νάξος: Πλήρης Ανάλυση",
      "description": "Τιμές Ενοικίασης Αυτοκινήτου Νάξος: Πλήρης Ανάλυση. Άμεση απάντηση, επιβεβαιωμένα κριτήρια, πρακτικό πλαίσιο για τη Νάξο και σύνδεση με στόλο, όρους και κράτη",
      "inLanguage": "el",
      "mainEntityOfPage": {
        "@id": "https://naxos-carrentals.com/el/guides/naxos-rent-a-car-prices-cost-breakdown#webpage"
      },
      "author": {
        "@type": "Person",
        "name": "{{NAMED_LOCAL_AUTHOR}}"
      },
      "publisher": {
        "@id": "https://naxos-carrentals.com/#business"
      },
      "datePublished": "{{DATE_PUBLISHED}}",
      "dateModified": "{{DATE_VERIFIED}}",
      "image": "{{PREFERRED_IMAGE_URL}}"
    }
  ]
}</t>
  </si>
  <si>
    <t>Location Plaka</t>
  </si>
  <si>
    <t>{
  "@context": "https://schema.org",
  "@graph": [
    {
      "@type": "WebPage",
      "@id": "https://naxos-carrentals.com/en/guides/rent-a-car-naxos-port-vs-airport-pickup-guide#webpage",
      "url": "https://naxos-carrentals.com/en/guides/rent-a-car-naxos-port-vs-airport-pickup-guide",
      "name": "Naxos Port vs Airport Car Rental Pickup",
      "description": "Naxos Port vs Airport Car Rental Pickup. Get a direct answer, verified decision points, practical Naxos context and links to the relevant fleet, terms and boo",
      "inLanguage": "en",
      "isPartOf": {
        "@id": "https://naxos-carrentals.com/#website"
      }
    },
    {
      "@type": "BreadcrumbList",
      "@id": "https://naxos-carrentals.com/en/guides/rent-a-car-naxos-port-vs-airport-pickup-guide#breadcrumb",
      "itemListElement": [
        {
          "@type": "ListItem",
          "position": 1,
          "name": "Home",
          "item": "https://naxos-carrentals.com/en"
        },
        {
          "@type": "ListItem",
          "position": 2,
          "name": "Naxos Port vs Airport Car Rental Pickup",
          "item": "https://naxos-carrentals.com/en/guides/rent-a-car-naxos-port-vs-airport-pickup-guide"
        }
      ]
    },
    {
      "@type": "Article",
      "@id": "https://naxos-carrentals.com/en/guides/rent-a-car-naxos-port-vs-airport-pickup-guide#article",
      "headline": "Naxos Port vs Airport Car Rental Pickup",
      "description": "Naxos Port vs Airport Car Rental Pickup. Get a direct answer, verified decision points, practical Naxos context and links to the relevant fleet, terms and boo",
      "inLanguage": "en",
      "mainEntityOfPage": {
        "@id": "https://naxos-carrentals.com/en/guides/rent-a-car-naxos-port-vs-airport-pickup-guide#webpage"
      },
      "author": {
        "@type": "Person",
        "name": "{{NAMED_LOCAL_AUTHOR}}"
      },
      "publisher": {
        "@id": "https://naxos-carrentals.com/#business"
      },
      "datePublished": "{{DATE_PUBLISHED}}",
      "dateModified": "{{DATE_VERIFIED}}",
      "image": "{{PREFERRED_IMAGE_URL}}"
    }
  ]
}</t>
  </si>
  <si>
    <t>{
  "@context": "https://schema.org",
  "@graph": [
    {
      "@type": "WebPage",
      "@id": "https://naxos-carrentals.com/el/guides/rent-a-car-naxos-port-vs-airport-pickup-guide#webpage",
      "url": "https://naxos-carrentals.com/el/guides/rent-a-car-naxos-port-vs-airport-pickup-guide",
      "name": "Παραλαβή Αυτοκινήτου Νάξος: Λιμάνι ή Αεροδρόμιο",
      "description": "Παραλαβή Αυτοκινήτου Νάξος: Λιμάνι ή Αεροδρόμιο. Άμεση απάντηση, επιβεβαιωμένα κριτήρια, πρακτικό πλαίσιο για τη Νάξο και σύνδεση με στόλο, όρους και κράτηση.",
      "inLanguage": "el",
      "isPartOf": {
        "@id": "https://naxos-carrentals.com/#website"
      }
    },
    {
      "@type": "BreadcrumbList",
      "@id": "https://naxos-carrentals.com/el/guides/rent-a-car-naxos-port-vs-airport-pickup-guide#breadcrumb",
      "itemListElement": [
        {
          "@type": "ListItem",
          "position": 1,
          "name": "Αρχική",
          "item": "https://naxos-carrentals.com/el"
        },
        {
          "@type": "ListItem",
          "position": 2,
          "name": "Παραλαβή Αυτοκινήτου Νάξος: Λιμάνι ή Αεροδρόμιο",
          "item": "https://naxos-carrentals.com/el/guides/rent-a-car-naxos-port-vs-airport-pickup-guide"
        }
      ]
    },
    {
      "@type": "Article",
      "@id": "https://naxos-carrentals.com/el/guides/rent-a-car-naxos-port-vs-airport-pickup-guide#article",
      "headline": "Παραλαβή Αυτοκινήτου Νάξος: Λιμάνι ή Αεροδρόμιο",
      "description": "Παραλαβή Αυτοκινήτου Νάξος: Λιμάνι ή Αεροδρόμιο. Άμεση απάντηση, επιβεβαιωμένα κριτήρια, πρακτικό πλαίσιο για τη Νάξο και σύνδεση με στόλο, όρους και κράτηση.",
      "inLanguage": "el",
      "mainEntityOfPage": {
        "@id": "https://naxos-carrentals.com/el/guides/rent-a-car-naxos-port-vs-airport-pickup-guide#webpage"
      },
      "author": {
        "@type": "Person",
        "name": "{{NAMED_LOCAL_AUTHOR}}"
      },
      "publisher": {
        "@id": "https://naxos-carrentals.com/#business"
      },
      "datePublished": "{{DATE_PUBLISHED}}",
      "dateModified": "{{DATE_VERIFIED}}",
      "image": "{{PREFERRED_IMAGE_URL}}"
    }
  ]
}</t>
  </si>
  <si>
    <t>https://naxos-carrentals.com/fr/naxos</t>
  </si>
  <si>
    <t>{
  "@context": "https://schema.org",
  "@graph": [
    {
      "@type": "WebPage",
      "@id": "https://naxos-carrentals.com/en/guides/idp-greece-rules#webpage",
      "url": "https://naxos-carrentals.com/en/guides/idp-greece-rules",
      "name": "International Driving Permit for Greece: Rental Rules",
      "description": "International Driving Permit for Greece: Rental Rules. Get a direct answer, verified decision points, practical Naxos context and links to the relevant fleet,",
      "inLanguage": "en",
      "isPartOf": {
        "@id": "https://naxos-carrentals.com/#website"
      }
    },
    {
      "@type": "BreadcrumbList",
      "@id": "https://naxos-carrentals.com/en/guides/idp-greece-rules#breadcrumb",
      "itemListElement": [
        {
          "@type": "ListItem",
          "position": 1,
          "name": "Home",
          "item": "https://naxos-carrentals.com/en"
        },
        {
          "@type": "ListItem",
          "position": 2,
          "name": "International Driving Permit for Greece: Rental Rules",
          "item": "https://naxos-carrentals.com/en/guides/idp-greece-rules"
        }
      ]
    },
    {
      "@type": "Article",
      "@id": "https://naxos-carrentals.com/en/guides/idp-greece-rules#article",
      "headline": "International Driving Permit for Greece: Rental Rules",
      "description": "International Driving Permit for Greece: Rental Rules. Get a direct answer, verified decision points, practical Naxos context and links to the relevant fleet,",
      "inLanguage": "en",
      "mainEntityOfPage": {
        "@id": "https://naxos-carrentals.com/en/guides/idp-greece-rules#webpage"
      },
      "author": {
        "@type": "Person",
        "name": "{{NAMED_LOCAL_AUTHOR}}"
      },
      "publisher": {
        "@id": "https://naxos-carrentals.com/#business"
      },
      "datePublished": "{{DATE_PUBLISHED}}",
      "dateModified": "{{DATE_VERIFIED}}",
      "image": "{{PREFERRED_IMAGE_URL}}"
    }
  ]
}</t>
  </si>
  <si>
    <t>{
  "@context": "https://schema.org",
  "@graph": [
    {
      "@type": "WebPage",
      "@id": "https://naxos-carrentals.com/el/guides/idp-greece-rules#webpage",
      "url": "https://naxos-carrentals.com/el/guides/idp-greece-rules",
      "name": "Διεθνές Δίπλωμα Οδήγησης στην Ελλάδα: Κανόνες Ενοικίασης",
      "description": "Διεθνές Δίπλωμα Οδήγησης στην Ελλάδα: Κανόνες Ενοικίασης. Άμεση απάντηση, επιβεβαιωμένα κριτήρια, πρακτικό πλαίσιο για τη Νάξο και σύνδεση με στόλο, όρους και",
      "inLanguage": "el",
      "isPartOf": {
        "@id": "https://naxos-carrentals.com/#website"
      }
    },
    {
      "@type": "BreadcrumbList",
      "@id": "https://naxos-carrentals.com/el/guides/idp-greece-rules#breadcrumb",
      "itemListElement": [
        {
          "@type": "ListItem",
          "position": 1,
          "name": "Αρχική",
          "item": "https://naxos-carrentals.com/el"
        },
        {
          "@type": "ListItem",
          "position": 2,
          "name": "Διεθνές Δίπλωμα Οδήγησης στην Ελλάδα: Κανόνες Ενοικίασης",
          "item": "https://naxos-carrentals.com/el/guides/idp-greece-rules"
        }
      ]
    },
    {
      "@type": "Article",
      "@id": "https://naxos-carrentals.com/el/guides/idp-greece-rules#article",
      "headline": "Διεθνές Δίπλωμα Οδήγησης στην Ελλάδα: Κανόνες Ενοικίασης",
      "description": "Διεθνές Δίπλωμα Οδήγησης στην Ελλάδα: Κανόνες Ενοικίασης. Άμεση απάντηση, επιβεβαιωμένα κριτήρια, πρακτικό πλαίσιο για τη Νάξο και σύνδεση με στόλο, όρους και",
      "inLanguage": "el",
      "mainEntityOfPage": {
        "@id": "https://naxos-carrentals.com/el/guides/idp-greece-rules#webpage"
      },
      "author": {
        "@type": "Person",
        "name": "{{NAMED_LOCAL_AUTHOR}}"
      },
      "publisher": {
        "@id": "https://naxos-carrentals.com/#business"
      },
      "datePublished": "{{DATE_PUBLISHED}}",
      "dateModified": "{{DATE_VERIFIED}}",
      "image": "{{PREFERRED_IMAGE_URL}}"
    }
  ]
}</t>
  </si>
  <si>
    <t>{
  "@context": "https://schema.org",
  "@graph": [
    {
      "@type": "WebPage",
      "@id": "https://naxos-carrentals.com/en/guides/do-you-need-a-car-in-naxos#webpage",
      "url": "https://naxos-carrentals.com/en/guides/do-you-need-a-car-in-naxos",
      "name": "Do You Need a Car in Naxos? Honest Guide by Trip Type",
      "description": "Do You Need a Car in Naxos? Honest Guide by Trip Type. Get a direct answer, verified decision points, practical Naxos context and links to the relevant fleet,",
      "inLanguage": "en",
      "isPartOf": {
        "@id": "https://naxos-carrentals.com/#website"
      }
    },
    {
      "@type": "BreadcrumbList",
      "@id": "https://naxos-carrentals.com/en/guides/do-you-need-a-car-in-naxos#breadcrumb",
      "itemListElement": [
        {
          "@type": "ListItem",
          "position": 1,
          "name": "Home",
          "item": "https://naxos-carrentals.com/en"
        },
        {
          "@type": "ListItem",
          "position": 2,
          "name": "Do You Need a Car in Naxos? Honest Guide by Trip Type",
          "item": "https://naxos-carrentals.com/en/guides/do-you-need-a-car-in-naxos"
        }
      ]
    },
    {
      "@type": "Article",
      "@id": "https://naxos-carrentals.com/en/guides/do-you-need-a-car-in-naxos#article",
      "headline": "Do You Need a Car in Naxos? Honest Guide by Trip Type",
      "description": "Do You Need a Car in Naxos? Honest Guide by Trip Type. Get a direct answer, verified decision points, practical Naxos context and links to the relevant fleet,",
      "inLanguage": "en",
      "mainEntityOfPage": {
        "@id": "https://naxos-carrentals.com/en/guides/do-you-need-a-car-in-naxos#webpage"
      },
      "author": {
        "@type": "Person",
        "name": "{{NAMED_LOCAL_AUTHOR}}"
      },
      "publisher": {
        "@id": "https://naxos-carrentals.com/#business"
      },
      "datePublished": "{{DATE_PUBLISHED}}",
      "dateModified": "{{DATE_VERIFIED}}",
      "image": "{{PREFERRED_IMAGE_URL}}"
    }
  ]
}</t>
  </si>
  <si>
    <t>Exact Internal-Link Map</t>
  </si>
  <si>
    <t>Découvrir Naxos</t>
  </si>
  <si>
    <t>Use contextual links in visible copy; vary anchors naturally and preserve one canonical target per cluster.</t>
  </si>
  <si>
    <t>Source URL</t>
  </si>
  <si>
    <t>{
  "@context": "https://schema.org",
  "@graph": [
    {
      "@type": "WebPage",
      "@id": "https://naxos-carrentals.com/el/guides/do-you-need-a-car-in-naxos#webpage",
      "url": "https://naxos-carrentals.com/el/guides/do-you-need-a-car-in-naxos",
      "name": "Χρειάζεται Αυτοκίνητο στη Νάξο; Ειλικρινής Οδηγός",
      "description": "Χρειάζεται Αυτοκίνητο στη Νάξο; Ειλικρινής Οδηγός. Άμεση απάντηση, επιβεβαιωμένα κριτήρια, πρακτικό πλαίσιο για τη Νάξο και σύνδεση με στόλο, όρους και κράτησ",
      "inLanguage": "el",
      "isPartOf": {
        "@id": "https://naxos-carrentals.com/#website"
      }
    },
    {
      "@type": "BreadcrumbList",
      "@id": "https://naxos-carrentals.com/el/guides/do-you-need-a-car-in-naxos#breadcrumb",
      "itemListElement": [
        {
          "@type": "ListItem",
          "position": 1,
          "name": "Αρχική",
          "item": "https://naxos-carrentals.com/el"
        },
        {
          "@type": "ListItem",
          "position": 2,
          "name": "Χρειάζεται Αυτοκίνητο στη Νάξο; Ειλικρινής Οδηγός",
          "item": "https://naxos-carrentals.com/el/guides/do-you-need-a-car-in-naxos"
        }
      ]
    },
    {
      "@type": "Article",
      "@id": "https://naxos-carrentals.com/el/guides/do-you-need-a-car-in-naxos#article",
      "headline": "Χρειάζεται Αυτοκίνητο στη Νάξο; Ειλικρινής Οδηγός",
      "description": "Χρειάζεται Αυτοκίνητο στη Νάξο; Ειλικρινής Οδηγός. Άμεση απάντηση, επιβεβαιωμένα κριτήρια, πρακτικό πλαίσιο για τη Νάξο και σύνδεση με στόλο, όρους και κράτησ",
      "inLanguage": "el",
      "mainEntityOfPage": {
        "@id": "https://naxos-carrentals.com/el/guides/do-you-need-a-car-in-naxos#webpage"
      },
      "author": {
        "@type": "Person",
        "name": "{{NAMED_LOCAL_AUTHOR}}"
      },
      "publisher": {
        "@id": "https://naxos-carrentals.com/#business"
      },
      "datePublished": "{{DATE_PUBLISHED}}",
      "dateModified": "{{DATE_VERIFIED}}",
      "image": "{{PREFERRED_IMAGE_URL}}"
    }
  ]
}</t>
  </si>
  <si>
    <t>Recommended anchor</t>
  </si>
  <si>
    <t>Placement</t>
  </si>
  <si>
    <t>{
  "@context": "https://schema.org",
  "@graph": [
    {
      "@type": "WebPage",
      "@id": "https://naxos-carrentals.com/en/guides/new-greek-traffic-code-2026#webpage",
      "url": "https://naxos-carrentals.com/en/guides/new-greek-traffic-code-2026",
      "name": "Greek Traffic Code 2026: What Drivers in Naxos Need",
      "description": "Greek Traffic Code 2026: What Drivers in Naxos Need. Get a direct answer, verified decision points, practical Naxos context and links to the relevant fleet, t",
      "inLanguage": "en",
      "isPartOf": {
        "@id": "https://naxos-carrentals.com/#website"
      }
    },
    {
      "@type": "BreadcrumbList",
      "@id": "https://naxos-carrentals.com/en/guides/new-greek-traffic-code-2026#breadcrumb",
      "itemListElement": [
        {
          "@type": "ListItem",
          "position": 1,
          "name": "Home",
          "item": "https://naxos-carrentals.com/en"
        },
        {
          "@type": "ListItem",
          "position": 2,
          "name": "Greek Traffic Code 2026: What Drivers in Naxos Need",
          "item": "https://naxos-carrentals.com/en/guides/new-greek-traffic-code-2026"
        }
      ]
    },
    {
      "@type": "Article",
      "@id": "https://naxos-carrentals.com/en/guides/new-greek-traffic-code-2026#article",
      "headline": "Greek Traffic Code 2026: What Drivers in Naxos Need",
      "description": "Greek Traffic Code 2026: What Drivers in Naxos Need. Get a direct answer, verified decision points, practical Naxos context and links to the relevant fleet, t",
      "inLanguage": "en",
      "mainEntityOfPage": {
        "@id": "https://naxos-carrentals.com/en/guides/new-greek-traffic-code-2026#webpage"
      },
      "author": {
        "@type": "Person",
        "name": "{{NAMED_LOCAL_AUTHOR}}"
      },
      "publisher": {
        "@id": "https://naxos-carrentals.com/#business"
      },
      "datePublished": "{{DATE_PUBLISHED}}",
      "dateModified": "{{DATE_VERIFIED}}",
      "image": "{{PREFERRED_IMAGE_URL}}"
    }
  ]
}</t>
  </si>
  <si>
    <t>compare Naxos rental cars</t>
  </si>
  <si>
    <t>https://naxos-carrentals.com/fr/naxos/beaches</t>
  </si>
  <si>
    <t>In-body contextual link</t>
  </si>
  <si>
    <t>Add/verify</t>
  </si>
  <si>
    <t>{
  "@context": "https://schema.org",
  "@graph": [
    {
      "@type": "WebPage",
      "@id": "https://naxos-carrentals.com/el/guides/new-greek-traffic-code-2026#webpage",
      "url": "https://naxos-carrentals.com/el/guides/new-greek-traffic-code-2026",
      "name": "Νέος ΚΟΚ 2026: Τι Πρέπει να Ξέρουν οι Οδηγοί στη Νάξο",
      "description": "Νέος ΚΟΚ 2026: Τι Πρέπει να Ξέρουν οι Οδηγοί στη Νάξο. Άμεση απάντηση, επιβεβαιωμένα κριτήρια, πρακτικό πλαίσιο για τη Νάξο και σύνδεση με στόλο, όρους και κρ",
      "inLanguage": "el",
      "isPartOf": {
        "@id": "https://naxos-carrentals.com/#website"
      }
    },
    {
      "@type": "BreadcrumbList",
      "@id": "https://naxos-carrentals.com/el/guides/new-greek-traffic-code-2026#breadcrumb",
      "itemListElement": [
        {
          "@type": "ListItem",
          "position": 1,
          "name": "Αρχική",
          "item": "https://naxos-carrentals.com/el"
        },
        {
          "@type": "ListItem",
          "position": 2,
          "name": "Νέος ΚΟΚ 2026: Τι Πρέπει να Ξέρουν οι Οδηγοί στη Νάξο",
          "item": "https://naxos-carrentals.com/el/guides/new-greek-traffic-code-2026"
        }
      ]
    },
    {
      "@type": "Article",
      "@id": "https://naxos-carrentals.com/el/guides/new-greek-traffic-code-2026#article",
      "headline": "Νέος ΚΟΚ 2026: Τι Πρέπει να Ξέρουν οι Οδηγοί στη Νάξο",
      "description": "Νέος ΚΟΚ 2026: Τι Πρέπει να Ξέρουν οι Οδηγοί στη Νάξο. Άμεση απάντηση, επιβεβαιωμένα κριτήρια, πρακτικό πλαίσιο για τη Νάξο και σύνδεση με στόλο, όρους και κρ",
      "inLanguage": "el",
      "mainEntityOfPage": {
        "@id": "https://naxos-carrentals.com/el/guides/new-greek-traffic-code-2026#webpage"
      },
      "author": {
        "@type": "Person",
        "name": "{{NAMED_LOCAL_AUTHOR}}"
      },
      "publisher": {
        "@id": "https://naxos-carrentals.com/#business"
      },
      "datePublished": "{{DATE_PUBLISHED}}",
      "dateModified": "{{DATE_VERIFIED}}",
      "image": "{{PREFERRED_IMAGE_URL}}"
    }
  ]
}</t>
  </si>
  <si>
    <t>Exact Crawl, Sitemap and LLM Files</t>
  </si>
  <si>
    <t>These files support discovery and diagnostics; they do not replace high-quality content, indexability, internal links or authority.</t>
  </si>
  <si>
    <t>File / feature</t>
  </si>
  <si>
    <t>complete Naxos guide</t>
  </si>
  <si>
    <t>Live target</t>
  </si>
  <si>
    <t>Exact content</t>
  </si>
  <si>
    <t>{
  "@context": "https://schema.org",
  "@graph": [
    {
      "@type": "WebPage",
      "@id": "https://naxos-carrentals.com/en/guides/best-beaches-by-car-naxos#webpage",
      "url": "https://naxos-carrentals.com/en/guides/best-beaches-by-car-naxos",
      "name": "Best Naxos Beaches by Car: Routes, Parking &amp; Stops",
      "description": "Best Naxos Beaches by Car: Routes, Parking &amp; Stops. Get a direct answer, verified decision points, practical Naxos context and links to the relevant fleet, te",
      "inLanguage": "en",
      "isPartOf": {
        "@id": "https://naxos-carrentals.com/#website"
      }
    },
    {
      "@type": "BreadcrumbList",
      "@id": "https://naxos-carrentals.com/en/guides/best-beaches-by-car-naxos#breadcrumb",
      "itemListElement": [
        {
          "@type": "ListItem",
          "position": 1,
          "name": "Home",
          "item": "https://naxos-carrentals.com/en"
        },
        {
          "@type": "ListItem",
          "position": 2,
          "name": "Best Naxos Beaches by Car: Routes, Parking &amp; Stops",
          "item": "https://naxos-carrentals.com/en/guides/best-beaches-by-car-naxos"
        }
      ]
    },
    {
      "@type": "Article",
      "@id": "https://naxos-carrentals.com/en/guides/best-beaches-by-car-naxos#article",
      "headline": "Best Naxos Beaches by Car: Routes, Parking &amp; Stops",
      "description": "Best Naxos Beaches by Car: Routes, Parking &amp; Stops. Get a direct answer, verified decision points, practical Naxos context and links to the relevant fleet, te",
      "inLanguage": "en",
      "mainEntityOfPage": {
        "@id": "https://naxos-carrentals.com/en/guides/best-beaches-by-car-naxos#webpage"
      },
      "author": {
        "@type": "Person",
        "name": "{{NAMED_LOCAL_AUTHOR}}"
      },
      "publisher": {
        "@id": "https://naxos-carrentals.com/#business"
      },
      "datePublished": "{{DATE_PUBLISHED}}",
      "dateModified": "{{DATE_VERIFIED}}",
      "image": "{{PREFERRED_IMAGE_URL}}"
    }
  ]
}</t>
  </si>
  <si>
    <t>Implementation note</t>
  </si>
  <si>
    <t>check live availability</t>
  </si>
  <si>
    <t>robots.txt</t>
  </si>
  <si>
    <t>https://naxos-carrentals.com/robots.txt</t>
  </si>
  <si>
    <t>Replace</t>
  </si>
  <si>
    <t>User-agent: *
Allow: /
Disallow: /api/
Sitemap: https://naxos-carrentals.com/sitemap-index.xml</t>
  </si>
  <si>
    <t>{
  "@context": "https://schema.org",
  "@graph": [
    {
      "@type": "WebPage",
      "@id": "https://naxos-carrentals.com/el/guides/best-beaches-by-car-naxos#webpage",
      "url": "https://naxos-carrentals.com/el/guides/best-beaches-by-car-naxos",
      "name": "Καλύτερες Παραλίες Νάξου με Αυτοκίνητο: Διαδρομές &amp; Parking",
      "description": "Καλύτερες Παραλίες Νάξου με Αυτοκίνητο: Διαδρομές &amp; Parking. Άμεση απάντηση, επιβεβαιωμένα κριτήρια, πρακτικό πλαίσιο για τη Νάξο και σύνδεση με στόλο, όρους ",
      "inLanguage": "el",
      "isPartOf": {
        "@id": "https://naxos-carrentals.com/#website"
      }
    },
    {
      "@type": "BreadcrumbList",
      "@id": "https://naxos-carrentals.com/el/guides/best-beaches-by-car-naxos#breadcrumb",
      "itemListElement": [
        {
          "@type": "ListItem",
          "position": 1,
          "name": "Αρχική",
          "item": "https://naxos-carrentals.com/el"
        },
        {
          "@type": "ListItem",
          "position": 2,
          "name": "Καλύτερες Παραλίες Νάξου με Αυτοκίνητο: Διαδρομές &amp; Parking",
          "item": "https://naxos-carrentals.com/el/guides/best-beaches-by-car-naxos"
        }
      ]
    },
    {
      "@type": "Article",
      "@id": "https://naxos-carrentals.com/el/guides/best-beaches-by-car-naxos#article",
      "headline": "Καλύτερες Παραλίες Νάξου με Αυτοκίνητο: Διαδρομές &amp; Parking",
      "description": "Καλύτερες Παραλίες Νάξου με Αυτοκίνητο: Διαδρομές &amp; Parking. Άμεση απάντηση, επιβεβαιωμένα κριτήρια, πρακτικό πλαίσιο για τη Νάξο και σύνδεση με στόλο, όρους ",
      "inLanguage": "el",
      "mainEntityOfPage": {
        "@id": "https://naxos-carrentals.com/el/guides/best-beaches-by-car-naxos#webpage"
      },
      "author": {
        "@type": "Person",
        "name": "{{NAMED_LOCAL_AUTHOR}}"
      },
      "publisher": {
        "@id": "https://naxos-carrentals.com/#business"
      },
      "datePublished": "{{DATE_PUBLISHED}}",
      "dateModified": "{{DATE_VERIFIED}}",
      "image": "{{PREFERRED_IMAGE_URL}}"
    }
  ]
}</t>
  </si>
  <si>
    <t>rental insurance and excess</t>
  </si>
  <si>
    <t>Generic Allow already covers public crawlers. Do not block Next.js assets. Keep private/API paths non-indexable by response controls too.</t>
  </si>
  <si>
    <t>Plages &amp; villages</t>
  </si>
  <si>
    <t>llms.txt</t>
  </si>
  <si>
    <t>https://naxos-carrentals.com/llms.txt</t>
  </si>
  <si>
    <t># Fast Motor Rental Naxos
&gt; Official website for Fast Motor Rental Naxos, a car-rental business serving Naxos, Greece. Use the booking engine for live prices and availability; operational terms must be verified on the linked policy pages.
## Book and compare
- [Car rental home](https://naxos-carrentals.com/en): Main English booking and fleet entry point.
- [Rental cars](https://naxos-carrentals.com/en/fleet/cars): Vehicle categories and model pages.
- [Live booking](https://fastmotorentalnaxos.cosmicbooker.com): Current availability and total price for selected dates.
- [Pricing guide](https://naxos-carrentals.com/en/pricing): Factors that change the total rental cost.
- [Insurance](https://naxos-carrentals.com/en/insurance): Verified cover, excess and exclusions.
## Pickup locations
- [Naxos Port pickup](https://naxos-carrentals.com/en/locations/port-pickup): Ferry-arrival pickup guidance.
- [Naxos Airport pickup](https://naxos-carrentals.com/en/locations/airport-pickup): JNX arrival and handover guidance.
- [All locations](https://naxos-carrentals.com/en/locations): Chora, beaches and supported meeting areas.
## Naxos guides
- [Naxos guide](https://naxos-carrentals.com/en/naxos): Beaches, villages, routes and trip planning.
- [Driving guides](https://naxos-carrentals.com/en/guides): Parking, licences, road trips and rental decisions.
- [Naxos beaches](https://naxos-carrentals.com/en/naxos/beaches): Beach access, parking and route planning.
## Greek
- [Ενοικίαση αυτοκινήτου Νάξος](https://naxos-carrentals.com/el): Κεντρική ελληνική σελίδα.
- [Στόλος](https://naxos-carrentals.com/el/fleet/cars): Κατηγορίες και οχήματα.
- [Οδηγός Νάξου](https://naxos-carrentals.com/el/naxos): Παραλίες, χωριά και διαδρομές.
## Verified contact
- Phone and WhatsApp: +306948820568
- Email: info@fmrnaxos.gr
- Canonical domain: https://naxos-carrentals.com
## Important
- Prices and availability are live and date-specific.
- Do not infer payment, deposit, insurance, delivery or cancellation terms from this file; use the verified booking and policy pages.</t>
  </si>
  <si>
    <t>Optional AI-discovery file; Google says it does not affect rankings.</t>
  </si>
  <si>
    <t>{
  "@context": "https://schema.org",
  "@graph": [
    {
      "@type": "WebPage",
      "@id": "https://naxos-carrentals.com/en/guides/naxos-mountain-villages-by-car#webpage",
      "url": "https://naxos-carrentals.com/en/guides/naxos-mountain-villages-by-car",
      "name": "Naxos Mountain Villages by Car: Chalki, Filoti &amp; Apeiranthos",
      "description": "Naxos Mountain Villages by Car: Chalki, Filoti &amp; Apeiranthos. Get a direct answer, verified decision points, practical Naxos context and links to the relevant",
      "inLanguage": "en",
      "isPartOf": {
        "@id": "https://naxos-carrentals.com/#website"
      }
    },
    {
      "@type": "BreadcrumbList",
      "@id": "https://naxos-carrentals.com/en/guides/naxos-mountain-villages-by-car#breadcrumb",
      "itemListElement": [
        {
          "@type": "ListItem",
          "position": 1,
          "name": "Home",
          "item": "https://naxos-carrentals.com/en"
        },
        {
          "@type": "ListItem",
          "position": 2,
          "name": "Naxos Mountain Villages by Car: Chalki, Filoti &amp; Apeiranthos",
          "item": "https://naxos-carrentals.com/en/guides/naxos-mountain-villages-by-car"
        }
      ]
    },
    {
      "@type": "Article",
      "@id": "https://naxos-carrentals.com/en/guides/naxos-mountain-villages-by-car#article",
      "headline": "Naxos Mountain Villages by Car: Chalki, Filoti &amp; Apeiranthos",
      "description": "Naxos Mountain Villages by Car: Chalki, Filoti &amp; Apeiranthos. Get a direct answer, verified decision points, practical Naxos context and links to the relevant",
      "inLanguage": "en",
      "mainEntityOfPage": {
        "@id": "https://naxos-carrentals.com/en/guides/naxos-mountain-villages-by-car#webpage"
      },
      "author": {
        "@type": "Person",
        "name": "{{NAMED_LOCAL_AUTHOR}}"
      },
      "publisher": {
        "@id": "https://naxos-carrentals.com/#business"
      },
      "datePublished": "{{DATE_PUBLISHED}}",
      "dateModified": "{{DATE_VERIFIED}}",
      "image": "{{PREFERRED_IMAGE_URL}}"
    }
  ]
}</t>
  </si>
  <si>
    <t>https://naxos-carrentals.com/llms-full.txt</t>
  </si>
  <si>
    <t>Create (currently 410)</t>
  </si>
  <si>
    <t>it</t>
  </si>
  <si>
    <t># Fast Motor Rental Naxos: complete AI-readable guide
&gt; Canonical business and destination summary for https://naxos-carrentals.com. This file helps systems locate authoritative pages. Google states that llms.txt files do not improve or reduce Google rankings; normal crawlability, content quality, links and structured data remain the ranking foundation.
## Entity
- Name: Fast Motor Rental Naxos
- Business type: Car rental / AutoRental
- Area served: Naxos, Cyclades, Greece
- Phone and WhatsApp: +306948820568
- Email: info@fmrnaxos.gr
- Official website: https://naxos-carrentals.com
- Live booking engine: https://fastmotorentalnaxos.cosmicbooker.com
- Languages on the website: English, Greek, Italian, French and German
## Truth and freshness rules
1. Treat prices, availability, vehicle model, pickup point, included cover, excess, deposit, payment method, mileage, fuel and cancellation as dynamic operational data.
2. Prefer the live booking result and signed rental terms over summaries.
3. Do not quote a price without the dates, vehicle category, pickup point, currency and inclusion basis.
4. Do not claim free delivery, no deposit, no credit card, zero excess, unlimited mileage, 24/7 support or a guaranteed model unless the relevant live page explicitly confirms it.
5. Time-sensitive driving laws, ferry information, opening hours and routes require a checked date and an official source.
## Core commercial pages
- https://naxos-carrentals.com/en — English car-rental homepage and booking entry.
- https://naxos-carrentals.com/el — Greek car-rental homepage and booking entry.
- https://naxos-carrentals.com/en/fleet/cars — English vehicle comparison.
- https://naxos-carrentals.com/el/fleet/cars — Greek vehicle comparison.
- https://naxos-carrentals.com/en/pricing — English explanation of total-price variables.
- https://naxos-carrentals.com/el/pricing — Greek price guide.
- https://naxos-carrentals.com/en/insurance — English insurance, excess and exclusions.
- https://naxos-carrentals.com/el/insurance — Greek insurance, excess and exclusions.
- https://naxos-carrentals.com/en/book — English booking bridge.
- https://naxos-carrentals.com/el/book — Greek booking bridge.
## Fleet collections
- https://naxos-carrentals.com/en/fleet/collections/automatic — Automatic cars.
- https://naxos-carrentals.com/en/fleet/collections/family-7-seater — Family and seven-seat cars.
- https://naxos-carrentals.com/en/fleet/collections/suv-4x4 — SUV and 4×4 category.
- Equivalent Greek pages use the /el/ locale prefix.
## Pickup pages
- https://naxos-carrentals.com/en/locations/port-pickup — Naxos Port pickup.
- https://naxos-carrentals.com/en/locations/airport-pickup — Naxos Airport JNX pickup.
- https://naxos-carrentals.com/en/locations/naxos-town — Chora / Naxos Town.
- https://naxos-carrentals.com/en/locations/agios-prokopios — Agios Prokopios.
- https://naxos-carrentals.com/en/locations/agia-anna — Agia Anna.
- https://naxos-carrentals.com/en/locations/plaka — Plaka.
- https://naxos-carrentals.com/en/locations/mikri-vigla — Mikri Vigla.
- Equivalent Greek pages use the /el/ locale prefix.
## Naxos planning
- https://naxos-carrentals.com/en/naxos — Main Naxos destination guide.
- https://naxos-carrentals.com/en/naxos/beaches — Beaches, parking and access.
- https://naxos-carrentals.com/en/guides/do-you-need-a-car-in-naxos — Car-versus-bus decision guide.
- https://naxos-carrentals.com/en/guides/naxos-road-trip-itinerary — One, three and five-day route plans.
- https://naxos-carrentals.com/en/guides/naxos-mountain-villages-by-car — Chalki, Filoti and Apeiranthos route.
- https://naxos-carrentals.com/en/guides/parking-in-naxos — Chora and beach parking.
- https://naxos-carrentals.com/en/guides/driving-in-naxos — Roads, fuel, rules and emergencies.
## Rental decision guides
- https://naxos-carrentals.com/en/guides/best-car-rental-naxos-reviews-comparison — Evidence-based comparison method.
- https://naxos-carrentals.com/en/guides/naxos-car-rental-without-credit-card-insurance — Payment and deposit distinctions; publish only with verified terms.
- https://naxos-carrentals.com/en/guides/naxos-rent-a-car-prices-cost-breakdown — Total-cost breakdown.
- https://naxos-carrentals.com/en/guides/rent-a-car-naxos-port-vs-airport-pickup-guide — Port versus airport pickup.
- https://naxos-carrentals.com/en/guides/idp-greece-rules — Driving permit guidance with official-source verification.
## Content and schema policy
- Every indexable page has one self-canonical URL and reciprocal hreflang links.
- Every guide displays a named author, published date, modified/checked date, sources and correction route.
- JSON-LD must describe visible page content. Product plus Car markup is used only for a single vehicle page; Offer is included only with a visible, valid live offer.
- FAQ answers remain useful visible content, but Google removed FAQ rich results in 2026; do not promise that feature.
- Reviews and aggregate ratings must be genuine, visible, attributable and policy-compliant.
## Machine files
- https://naxos-carrentals.com/robots.txt
- https://naxos-carrentals.com/sitemap-index.xml
- https://naxos-carrentals.com/llms.txt
- https://naxos-carrentals.com/llms-full.txt
## Contact
For live vehicle availability and exact totals, use https://fastmotorentalnaxos.cosmicbooker.com. For support, call or message +306948820568 or email info@fmrnaxos.gr. Never send payment-card data through email or messaging.</t>
  </si>
  <si>
    <t>{
  "@context": "https://schema.org",
  "@graph": [
    {
      "@type": "WebPage",
      "@id": "https://naxos-carrentals.com/el/guides/naxos-mountain-villages-by-car#webpage",
      "url": "https://naxos-carrentals.com/el/guides/naxos-mountain-villages-by-car",
      "name": "Ορεινά Χωριά Νάξου με Αυτοκίνητο: Χαλκί, Φιλώτι &amp; Απείρανθος",
      "description": "Ορεινά Χωριά Νάξου με Αυτοκίνητο: Χαλκί, Φιλώτι &amp; Απείρανθος. Άμεση απάντηση, επιβεβαιωμένα κριτήρια, πρακτικό πλαίσιο για τη Νάξο και σύνδεση με στόλο, όρους",
      "inLanguage": "el",
      "isPartOf": {
        "@id": "https://naxos-carrentals.com/#website"
      }
    },
    {
      "@type": "BreadcrumbList",
      "@id": "https://naxos-carrentals.com/el/guides/naxos-mountain-villages-by-car#breadcrumb",
      "itemListElement": [
        {
          "@type": "ListItem",
          "position": 1,
          "name": "Αρχική",
          "item": "https://naxos-carrentals.com/el"
        },
        {
          "@type": "ListItem",
          "position": 2,
          "name": "Ορεινά Χωριά Νάξου με Αυτοκίνητο: Χαλκί, Φιλώτι &amp; Απείρανθος",
          "item": "https://naxos-carrentals.com/el/guides/naxos-mountain-villages-by-car"
        }
      ]
    },
    {
      "@type": "Article",
      "@id": "https://naxos-carrentals.com/el/guides/naxos-mountain-villages-by-car#article",
      "headline": "Ορεινά Χωριά Νάξου με Αυτοκίνητο: Χαλκί, Φιλώτι &amp; Απείρανθος",
      "description": "Ορεινά Χωριά Νάξου με Αυτοκίνητο: Χαλκί, Φιλώτι &amp; Απείρανθος. Άμεση απάντηση, επιβεβαιωμένα κριτήρια, πρακτικό πλαίσιο για τη Νάξο και σύνδεση με στόλο, όρους",
      "inLanguage": "el",
      "mainEntityOfPage": {
        "@id": "https://naxos-carrentals.com/el/guides/naxos-mountain-villages-by-car#webpage"
      },
      "author": {
        "@type": "Person",
        "name": "{{NAMED_LOCAL_AUTHOR}}"
      },
      "publisher": {
        "@id": "https://naxos-carrentals.com/#business"
      },
      "datePublished": "{{DATE_PUBLISHED}}",
      "dateModified": "{{DATE_VERIFIED}}",
      "image": "{{PREFERRED_IMAGE_URL}}"
    }
  ]
}</t>
  </si>
  <si>
    <t>Noleggio auto a Naxos</t>
  </si>
  <si>
    <t>Return 200 text/plain; keep claims synced with verified pages.</t>
  </si>
  <si>
    <t>sitemap index</t>
  </si>
  <si>
    <t>Noleggia un&amp;#x27;auto a Naxos</t>
  </si>
  <si>
    <t>Naxos Port car pickup</t>
  </si>
  <si>
    <t>https://naxos-carrentals.com/sitemap-index.xml</t>
  </si>
  <si>
    <t>&lt;?xml version="1.0" encoding="UTF-8"?&gt;
&lt;sitemapindex xmlns="http://www.sitemaps.org/schemas/sitemap/0.9"&gt;
  &lt;sitemap&gt;&lt;loc&gt;https://naxos-carrentals.com/sitemaps/core.xml&lt;/loc&gt;&lt;lastmod&gt;{{MEANINGFUL_LASTMOD}}&lt;/lastmod&gt;&lt;/sitemap&gt;
  &lt;sitemap&gt;&lt;loc&gt;https://naxos-carrentals.com/sitemaps/fleet.xml&lt;/loc&gt;&lt;lastmod&gt;{{MEANINGFUL_LASTMOD}}&lt;/lastmod&gt;&lt;/sitemap&gt;
  &lt;sitemap&gt;&lt;loc&gt;https://naxos-carrentals.com/sitemaps/locations.xml&lt;/loc&gt;&lt;lastmod&gt;{{MEANINGFUL_LASTMOD}}&lt;/lastmod&gt;&lt;/sitemap&gt;
  &lt;sitemap&gt;&lt;loc&gt;https://naxos-carrentals.com/sitemaps/guides.xml&lt;/loc&gt;&lt;lastmod&gt;{{MEANINGFUL_LASTMOD}}&lt;/lastmod&gt;&lt;/sitemap&gt;
&lt;/sitemapindex&gt;</t>
  </si>
  <si>
    <t>{
  "@context": "https://schema.org",
  "@graph": [
    {
      "@type": "WebPage",
      "@id": "https://naxos-carrentals.com/en/guides/naxos-road-trip-itinerary#webpage",
      "url": "https://naxos-carrentals.com/en/guides/naxos-road-trip-itinerary",
      "name": "Naxos Road Trip Itinerary: 1, 3 and 5-Day Plans",
      "description": "Naxos Road Trip Itinerary: 1, 3 and 5-Day Plans. Get a direct answer, verified decision points, practical Naxos context and links to the relevant fleet, terms",
      "inLanguage": "en",
      "isPartOf": {
        "@id": "https://naxos-carrentals.com/#website"
      }
    },
    {
      "@type": "BreadcrumbList",
      "@id": "https://naxos-carrentals.com/en/guides/naxos-road-trip-itinerary#breadcrumb",
      "itemListElement": [
        {
          "@type": "ListItem",
          "position": 1,
          "name": "Home",
          "item": "https://naxos-carrentals.com/en"
        },
        {
          "@type": "ListItem",
          "position": 2,
          "name": "Naxos Road Trip Itinerary: 1, 3 and 5-Day Plans",
          "item": "https://naxos-carrentals.com/en/guides/naxos-road-trip-itinerary"
        }
      ]
    },
    {
      "@type": "Article",
      "@id": "https://naxos-carrentals.com/en/guides/naxos-road-trip-itinerary#article",
      "headline": "Naxos Road Trip Itinerary: 1, 3 and 5-Day Plans",
      "description": "Naxos Road Trip Itinerary: 1, 3 and 5-Day Plans. Get a direct answer, verified decision points, practical Naxos context and links to the relevant fleet, terms",
      "inLanguage": "en",
      "mainEntityOfPage": {
        "@id": "https://naxos-carrentals.com/en/guides/naxos-road-trip-itinerary#webpage"
      },
      "author": {
        "@type": "Person",
        "name": "{{NAMED_LOCAL_AUTHOR}}"
      },
      "publisher": {
        "@id": "https://naxos-carrentals.com/#business"
      },
      "datePublished": "{{DATE_PUBLISHED}}",
      "dateModified": "{{DATE_VERIFIED}}",
      "image": "{{PREFERRED_IMAGE_URL}}"
    }
  ]
}</t>
  </si>
  <si>
    <t>Naxos Airport car pickup</t>
  </si>
  <si>
    <t>Split for diagnostics, not size. Submit index in GSC.</t>
  </si>
  <si>
    <t>sitemap URL template</t>
  </si>
  <si>
    <t>https://naxos-carrentals.com/sitemaps/*.xml</t>
  </si>
  <si>
    <t>Generate</t>
  </si>
  <si>
    <t>&lt;?xml version="1.0" encoding="UTF-8"?&gt;
&lt;urlset xmlns="http://www.sitemaps.org/schemas/sitemap/0.9" xmlns:xhtml="http://www.w3.org/1999/xhtml"&gt;
  &lt;url&gt;
    &lt;loc&gt;{{CANONICAL_URL}}&lt;/loc&gt;
    &lt;lastmod&gt;{{MEANINGFUL_LASTMOD}}&lt;/lastmod&gt;
    &lt;xhtml:link rel="alternate" hreflang="en" href="{{EN_URL}}" /&gt;
    &lt;xhtml:link rel="alternate" hreflang="el" href="{{EL_URL}}" /&gt;
    &lt;xhtml:link rel="alternate" hreflang="it" href="{{IT_URL}}" /&gt;
    &lt;xhtml:link rel="alternate" hreflang="fr" href="{{FR_URL}}" /&gt;
    &lt;xhtml:link rel="alternate" hreflang="de" href="{{DE_URL}}" /&gt;
    &lt;xhtml:link rel="alternate" hreflang="x-default" href="{{EN_URL}}" /&gt;
  &lt;/url&gt;
&lt;/urlset&gt;</t>
  </si>
  <si>
    <t>Include only 200 self-canonical indexable URLs; reciprocal alternates; meaningful lastmod.</t>
  </si>
  <si>
    <t>HTML discovery tags</t>
  </si>
  <si>
    <t>&lt;head&gt;</t>
  </si>
  <si>
    <t>{
  "@context": "https://schema.org",
  "@graph": [
    {
      "@type": "WebPage",
      "@id": "https://naxos-carrentals.com/el/guides/naxos-road-trip-itinerary#webpage",
      "url": "https://naxos-carrentals.com/el/guides/naxos-road-trip-itinerary",
      "name": "Road Trip Νάξος: Πρόγραμμα 1, 3 και 5 Ημερών",
      "description": "Road Trip Νάξος: Πρόγραμμα 1, 3 και 5 Ημερών. Άμεση απάντηση, επιβεβαιωμένα κριτήρια, πρακτικό πλαίσιο για τη Νάξο και σύνδεση με στόλο, όρους και κράτηση.",
      "inLanguage": "el",
      "isPartOf": {
        "@id": "https://naxos-carrentals.com/#website"
      }
    },
    {
      "@type": "BreadcrumbList",
      "@id": "https://naxos-carrentals.com/el/guides/naxos-road-trip-itinerary#breadcrumb",
      "itemListElement": [
        {
          "@type": "ListItem",
          "position": 1,
          "name": "Αρχική",
          "item": "https://naxos-carrentals.com/el"
        },
        {
          "@type": "ListItem",
          "position": 2,
          "name": "Road Trip Νάξος: Πρόγραμμα 1, 3 και 5 Ημερών",
          "item": "https://naxos-carrentals.com/el/guides/naxos-road-trip-itinerary"
        }
      ]
    },
    {
      "@type": "Article",
      "@id": "https://naxos-carrentals.com/el/guides/naxos-road-trip-itinerary#article",
      "headline": "Road Trip Νάξος: Πρόγραμμα 1, 3 και 5 Ημερών",
      "description": "Road Trip Νάξος: Πρόγραμμα 1, 3 και 5 Ημερών. Άμεση απάντηση, επιβεβαιωμένα κριτήρια, πρακτικό πλαίσιο για τη Νάξο και σύνδεση με στόλο, όρους και κράτηση.",
      "inLanguage": "el",
      "mainEntityOfPage": {
        "@id": "https://naxos-carrentals.com/el/guides/naxos-road-trip-itinerary#webpage"
      },
      "author": {
        "@type": "Person",
        "name": "{{NAMED_LOCAL_AUTHOR}}"
      },
      "publisher": {
        "@id": "https://naxos-carrentals.com/#business"
      },
      "datePublished": "{{DATE_PUBLISHED}}",
      "dateModified": "{{DATE_VERIFIED}}",
      "image": "{{PREFERRED_IMAGE_URL}}"
    }
  ]
}</t>
  </si>
  <si>
    <t>mountain villages road trip</t>
  </si>
  <si>
    <t>Add</t>
  </si>
  <si>
    <t>&lt;link rel="describedby" href="https://naxos-carrentals.com/llms.txt" type="text/plain"&gt;
&lt;link rel="alternate" href="{{MARKDOWN_VERSION_URL}}" type="text/markdown"&gt;</t>
  </si>
  <si>
    <t>La nostra flotta a Naxos</t>
  </si>
  <si>
    <t>Optional llms proposal discovery. Omit markdown alternate when no equivalent exists.</t>
  </si>
  <si>
    <t>do you need a car in Naxos?</t>
  </si>
  <si>
    <t>{
  "@context": "https://schema.org",
  "@graph": [
    {
      "@type": "WebPage",
      "@id": "https://naxos-carrentals.com/en/guides/parking-in-naxos#webpage",
      "url": "https://naxos-carrentals.com/en/guides/parking-in-naxos",
      "name": "Parking in Naxos: Chora, Beaches &amp; Practical Rules",
      "description": "Parking in Naxos: Chora, Beaches &amp; Practical Rules. Get a direct answer, verified decision points, practical Naxos context and links to the relevant fleet, te",
      "inLanguage": "en",
      "isPartOf": {
        "@id": "https://naxos-carrentals.com/#website"
      }
    },
    {
      "@type": "BreadcrumbList",
      "@id": "https://naxos-carrentals.com/en/guides/parking-in-naxos#breadcrumb",
      "itemListElement": [
        {
          "@type": "ListItem",
          "position": 1,
          "name": "Home",
          "item": "https://naxos-carrentals.com/en"
        },
        {
          "@type": "ListItem",
          "position": 2,
          "name": "Parking in Naxos: Chora, Beaches &amp; Practical Rules",
          "item": "https://naxos-carrentals.com/en/guides/parking-in-naxos"
        }
      ]
    },
    {
      "@type": "Article",
      "@id": "https://naxos-carrentals.com/en/guides/parking-in-naxos#article",
      "headline": "Parking in Naxos: Chora, Beaches &amp; Practical Rules",
      "description": "Parking in Naxos: Chora, Beaches &amp; Practical Rules. Get a direct answer, verified decision points, practical Naxos context and links to the relevant fleet, te",
      "inLanguage": "en",
      "mainEntityOfPage": {
        "@id": "https://naxos-carrentals.com/en/guides/parking-in-naxos#webpage"
      },
      "author": {
        "@type": "Person",
        "name": "{{NAMED_LOCAL_AUTHOR}}"
      },
      "publisher": {
        "@id": "https://naxos-carrentals.com/#business"
      },
      "datePublished": "{{DATE_PUBLISHED}}",
      "dateModified": "{{DATE_VERIFIED}}",
      "image": "{{PREFERRED_IMAGE_URL}}"
    }
  ]
}</t>
  </si>
  <si>
    <t>https://naxos-carrentals.com/it/fleet/cars</t>
  </si>
  <si>
    <t>car pickup in Naxos Town</t>
  </si>
  <si>
    <t>{
  "@context": "https://schema.org",
  "@graph": [
    {
      "@type": "WebPage",
      "@id": "https://naxos-carrentals.com/el/guides/parking-in-naxos#webpage",
      "url": "https://naxos-carrentals.com/el/guides/parking-in-naxos",
      "name": "Parking στη Νάξο: Χώρα, Παραλίες &amp; Πρακτικοί Κανόνες",
      "description": "Parking στη Νάξο: Χώρα, Παραλίες &amp; Πρακτικοί Κανόνες. Άμεση απάντηση, επιβεβαιωμένα κριτήρια, πρακτικό πλαίσιο για τη Νάξο και σύνδεση με στόλο, όρους και κρά",
      "inLanguage": "el",
      "isPartOf": {
        "@id": "https://naxos-carrentals.com/#website"
      }
    },
    {
      "@type": "BreadcrumbList",
      "@id": "https://naxos-carrentals.com/el/guides/parking-in-naxos#breadcrumb",
      "itemListElement": [
        {
          "@type": "ListItem",
          "position": 1,
          "name": "Αρχική",
          "item": "https://naxos-carrentals.com/el"
        },
        {
          "@type": "ListItem",
          "position": 2,
          "name": "Parking στη Νάξο: Χώρα, Παραλίες &amp; Πρακτικοί Κανόνες",
          "item": "https://naxos-carrentals.com/el/guides/parking-in-naxos"
        }
      ]
    },
    {
      "@type": "Article",
      "@id": "https://naxos-carrentals.com/el/guides/parking-in-naxos#article",
      "headline": "Parking στη Νάξο: Χώρα, Παραλίες &amp; Πρακτικοί Κανόνες",
      "description": "Parking στη Νάξο: Χώρα, Παραλίες &amp; Πρακτικοί Κανόνες. Άμεση απάντηση, επιβεβαιωμένα κριτήρια, πρακτικό πλαίσιο για τη Νάξο και σύνδεση με στόλο, όρους και κρά",
      "inLanguage": "el",
      "mainEntityOfPage": {
        "@id": "https://naxos-carrentals.com/el/guides/parking-in-naxos#webpage"
      },
      "author": {
        "@type": "Person",
        "name": "{{NAMED_LOCAL_AUTHOR}}"
      },
      "publisher": {
        "@id": "https://naxos-carrentals.com/#business"
      },
      "datePublished": "{{DATE_PUBLISHED}}",
      "dateModified": "{{DATE_VERIFIED}}",
      "image": "{{PREFERRED_IMAGE_URL}}"
    }
  ]
}</t>
  </si>
  <si>
    <t>Noleggio Auto a Naxos - Automatiche, SUV e Compatte | Fast Motor… | Fast Motor Rental Naxos</t>
  </si>
  <si>
    <t>Auto - da compatte a 7 posti &amp; 4×4</t>
  </si>
  <si>
    <t>{
  "@context": "https://schema.org",
  "@graph": [
    {
      "@type": "WebPage",
      "@id": "https://naxos-carrentals.com/en/guides/driving-in-naxos#webpage",
      "url": "https://naxos-carrentals.com/en/guides/driving-in-naxos",
      "name": "Driving in Naxos: Roads, Rules, Fuel &amp; Local Advice",
      "description": "Driving in Naxos: Roads, Rules, Fuel &amp; Local Advice. Get a direct answer, verified decision points, practical Naxos context and links to the relevant fleet, t",
      "inLanguage": "en",
      "isPartOf": {
        "@id": "https://naxos-carrentals.com/#website"
      }
    },
    {
      "@type": "BreadcrumbList",
      "@id": "https://naxos-carrentals.com/en/guides/driving-in-naxos#breadcrumb",
      "itemListElement": [
        {
          "@type": "ListItem",
          "position": 1,
          "name": "Home",
          "item": "https://naxos-carrentals.com/en"
        },
        {
          "@type": "ListItem",
          "position": 2,
          "name": "Driving in Naxos: Roads, Rules, Fuel &amp; Local Advice",
          "item": "https://naxos-carrentals.com/en/guides/driving-in-naxos"
        }
      ]
    },
    {
      "@type": "Article",
      "@id": "https://naxos-carrentals.com/en/guides/driving-in-naxos#article",
      "headline": "Driving in Naxos: Roads, Rules, Fuel &amp; Local Advice",
      "description": "Driving in Naxos: Roads, Rules, Fuel &amp; Local Advice. Get a direct answer, verified decision points, practical Naxos context and links to the relevant fleet, t",
      "inLanguage": "en",
      "mainEntityOfPage": {
        "@id": "https://naxos-carrentals.com/en/guides/driving-in-naxos#webpage"
      },
      "author": {
        "@type": "Person",
        "name": "{{NAMED_LOCAL_AUTHOR}}"
      },
      "publisher": {
        "@id": "https://naxos-carrentals.com/#business"
      },
      "datePublished": "{{DATE_PUBLISHED}}",
      "dateModified": "{{DATE_VERIFIED}}",
      "image": "{{PREFERRED_IMAGE_URL}}"
    }
  ]
}</t>
  </si>
  <si>
    <t>https://naxos-carrentals.com/it/fleet/cars/citroen-berlingo-7</t>
  </si>
  <si>
    <t>{
  "@context": "https://schema.org",
  "@graph": [
    {
      "@type": "WebPage",
      "@id": "https://naxos-carrentals.com/el/guides/driving-in-naxos#webpage",
      "url": "https://naxos-carrentals.com/el/guides/driving-in-naxos",
      "name": "Οδήγηση στη Νάξο: Δρόμοι, Κανόνες, Καύσιμα &amp; Tips",
      "description": "Οδήγηση στη Νάξο: Δρόμοι, Κανόνες, Καύσιμα &amp; Tips. Άμεση απάντηση, επιβεβαιωμένα κριτήρια, πρακτικό πλαίσιο για τη Νάξο και σύνδεση με στόλο, όρους και κράτησ",
      "inLanguage": "el",
      "isPartOf": {
        "@id": "https://naxos-carrentals.com/#website"
      }
    },
    {
      "@type": "BreadcrumbList",
      "@id": "https://naxos-carrentals.com/el/guides/driving-in-naxos#breadcrumb",
      "itemListElement": [
        {
          "@type": "ListItem",
          "position": 1,
          "name": "Αρχική",
          "item": "https://naxos-carrentals.com/el"
        },
        {
          "@type": "ListItem",
          "position": 2,
          "name": "Οδήγηση στη Νάξο: Δρόμοι, Κανόνες, Καύσιμα &amp; Tips",
          "item": "https://naxos-carrentals.com/el/guides/driving-in-naxos"
        }
      ]
    },
    {
      "@type": "Article",
      "@id": "https://naxos-carrentals.com/el/guides/driving-in-naxos#article",
      "headline": "Οδήγηση στη Νάξο: Δρόμοι, Κανόνες, Καύσιμα &amp; Tips",
      "description": "Οδήγηση στη Νάξο: Δρόμοι, Κανόνες, Καύσιμα &amp; Tips. Άμεση απάντηση, επιβεβαιωμένα κριτήρια, πρακτικό πλαίσιο για τη Νάξο και σύνδεση με στόλο, όρους και κράτησ",
      "inLanguage": "el",
      "mainEntityOfPage": {
        "@id": "https://naxos-carrentals.com/el/guides/driving-in-naxos#webpage"
      },
      "author": {
        "@type": "Person",
        "name": "{{NAMED_LOCAL_AUTHOR}}"
      },
      "publisher": {
        "@id": "https://naxos-carrentals.com/#business"
      },
      "datePublished": "{{DATE_PUBLISHED}}",
      "dateModified": "{{DATE_VERIFIED}}",
      "image": "{{PREFERRED_IMAGE_URL}}"
    }
  ]
}</t>
  </si>
  <si>
    <t>{
  "@context": "https://schema.org",
  "@graph": [
    {
      "@type": "WebPage",
      "@id": "https://naxos-carrentals.com/en/locations/port-pickup#webpage",
      "url": "https://naxos-carrentals.com/en/locations/port-pickup",
      "name": "Car rental at Naxos Port",
      "description": "Plan car rental at Naxos Port with practical pickup, parking and route guidance. Confirm the exact meeting point and live availability for your dates.",
      "inLanguage": "en",
      "isPartOf": {
        "@id": "https://naxos-carrentals.com/#website"
      }
    },
    {
      "@type": "BreadcrumbList",
      "@id": "https://naxos-carrentals.com/en/locations/port-pickup#breadcrumb",
      "itemListElement": [
        {
          "@type": "ListItem",
          "position": 1,
          "name": "Home",
          "item": "https://naxos-carrentals.com/en"
        },
        {
          "@type": "ListItem",
          "position": 2,
          "name": "Car rental at Naxos Port",
          "item": "https://naxos-carrentals.com/en/locations/port-pickup"
        }
      ]
    },
    {
      "@type": "Service",
      "@id": "https://naxos-carrentals.com/en/locations/port-pickup#service",
      "name": "Car rental at Naxos Port",
      "provider": {
        "@id": "https://naxos-carrentals.com/#business"
      },
      "areaServed": {
        "@type": "Place",
        "name": "Naxos Port"
      },
      "url": "https://naxos-carrentals.com/en/locations/port-pickup",
      "description": "Plan car rental at Naxos Port with practical pickup, parking and route guidance. Confirm the exact meeting point and live availability for your dates."
    }
  ]
}</t>
  </si>
  <si>
    <t>{
  "@context": "https://schema.org",
  "@graph": [
    {
      "@type": "WebPage",
      "@id": "https://naxos-carrentals.com/el/locations/port-pickup#webpage",
      "url": "https://naxos-carrentals.com/el/locations/port-pickup",
      "name": "Ενοικίαση αυτοκινήτου: Λιμάνι Νάξου",
      "description": "Οργανώστε ενοικίαση αυτοκινήτου σε Λιμάνι Νάξου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"https://naxos-carrentals.com/el/locations/port-pickup#breadcrumb",
      "itemListElement": [
        {
          "@type": "ListItem",
          "position": 1,
          "name": "Αρχική",
          "item": "https://naxos-carrentals.com/el"
        },
        {
          "@type": "ListItem",
          "position": 2,
          "name": "Ενοικίαση αυτοκινήτου: Λιμάνι Νάξου",
          "item": "https://naxos-carrentals.com/el/locations/port-pickup"
        }
      ]
    },
    {
      "@type": "Service",
      "@id": "https://naxos-carrentals.com/el/locations/port-pickup#service",
      "name": "Ενοικίαση αυτοκινήτου: Λιμάνι Νάξου",
      "provider": {
        "@id": "https://naxos-carrentals.com/#business"
      },
      "areaServed": {
        "@type": "Place",
        "name": "Λιμάνι Νάξου"
      },
      "url": "https://naxos-carrentals.com/el/locations/port-pickup",
      "description": "Οργανώστε ενοικίαση αυτοκινήτου σε Λιμάνι Νάξου με πρακτικές πληροφορίες παραλαβής, parking και διαδρομών. Επιβεβαιώστε σημείο και διαθεσιμότητα."
    }
  ]
}</t>
  </si>
  <si>
    <t>https://naxos-carrentals.com/it/fleet/cars/citroen-c3</t>
  </si>
  <si>
    <t>{
  "@context": "https://schema.org",
  "@graph": [
    {
      "@type": "WebPage",
      "@id": "https://naxos-carrentals.com/en/locations/airport-pickup#webpage",
      "url": "https://naxos-carrentals.com/en/locations/airport-pickup",
      "name": "Car rental at Naxos Airport (JNX)",
      "description": "Plan car rental at Naxos Airport (JNX) with practical pickup, parking and route guidance. Confirm the exact meeting point and live availability for your dates",
      "inLanguage": "en",
      "isPartOf": {
        "@id": "https://naxos-carrentals.com/#website"
      }
    },
    {
      "@type": "BreadcrumbList",
      "@id": "https://naxos-carrentals.com/en/locations/airport-pickup#breadcrumb",
      "itemListElement": [
        {
          "@type": "ListItem",
          "position": 1,
          "name": "Home",
          "item": "https://naxos-carrentals.com/en"
        },
        {
          "@type": "ListItem",
          "position": 2,
          "name": "Car rental at Naxos Airport (JNX)",
          "item": "https://naxos-carrentals.com/en/locations/airport-pickup"
        }
      ]
    },
    {
      "@type": "Service",
      "@id": "https://naxos-carrentals.com/en/locations/airport-pickup#service",
      "name": "Car rental at Naxos Airport (JNX)",
      "provider": {
        "@id": "https://naxos-carrentals.com/#business"
      },
      "areaServed": {
        "@type": "Place",
        "name": "Naxos Airport (JNX)"
      },
      "url": "https://naxos-carrentals.com/en/locations/airport-pickup",
      "description": "Plan car rental at Naxos Airport (JNX) with practical pickup, parking and route guidance. Confirm the exact meeting point and live availability for your dates"
    }
  ]
}</t>
  </si>
  <si>
    <t>{
  "@context": "https://schema.org",
  "@graph": [
    {
      "@type": "WebPage",
      "@id": "https://naxos-carrentals.com/el/locations/airport-pickup#webpage",
      "url": "https://naxos-carrentals.com/el/locations/airport-pickup",
      "name": "Ενοικίαση αυτοκινήτου: Αεροδρόμιο Νάξου (JNX)",
      "description": "Οργανώστε ενοικίαση αυτοκινήτου σε Αεροδρόμιο Νάξου (JNX)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"https://naxos-carrentals.com/el/locations/airport-pickup#breadcrumb",
      "itemListElement": [
        {
          "@type": "ListItem",
          "position": 1,
          "name": "Αρχική",
          "item": "https://naxos-carrentals.com/el"
        },
        {
          "@type": "ListItem",
          "position": 2,
          "name": "Ενοικίαση αυτοκινήτου: Αεροδρόμιο Νάξου (JNX)",
          "item": "https://naxos-carrentals.com/el/locations/airport-pickup"
        }
      ]
    },
    {
      "@type": "Service",
      "@id": "https://naxos-carrentals.com/el/locations/airport-pickup#service",
      "name": "Ενοικίαση αυτοκινήτου: Αεροδρόμιο Νάξου (JNX)",
      "provider": {
        "@id": "https://naxos-carrentals.com/#business"
      },
      "areaServed": {
        "@type": "Place",
        "name": "Αεροδρόμιο Νάξου (JNX)"
      },
      "url": "https://naxos-carrentals.com/el/locations/airport-pickup",
      "description": "Οργανώστε ενοικίαση αυτοκινήτου σε Αεροδρόμιο Νάξου (JNX) με πρακτικές πληροφορίες παραλαβής, parking και διαδρομών. Επιβεβαιώστε σημείο και διαθεσιμότητα."
    }
  ]
}</t>
  </si>
  <si>
    <t>{
  "@context": "https://schema.org",
  "@graph": [
    {
      "@type": "WebPage",
      "@id": "https://naxos-carrentals.com/en/locations/naxos-town#webpage",
      "url": "https://naxos-carrentals.com/en/locations/naxos-town",
      "name": "Car rental at Naxos Town (Chora)",
      "description": "Plan car rental at Naxos Town (Chora) with practical pickup, parking and route guidance. Confirm the exact meeting point and live availability for your dates.",
      "inLanguage": "en",
      "isPartOf": {
        "@id": "https://naxos-carrentals.com/#website"
      }
    },
    {
      "@type": "BreadcrumbList",
      "@id": "https://naxos-carrentals.com/en/locations/naxos-town#breadcrumb",
      "itemListElement": [
        {
          "@type": "ListItem",
          "position": 1,
          "name": "Home",
          "item": "https://naxos-carrentals.com/en"
        },
        {
          "@type": "ListItem",
          "position": 2,
          "name": "Car rental at Naxos Town (Chora)",
          "item": "https://naxos-carrentals.com/en/locations/naxos-town"
        }
      ]
    },
    {
      "@type": "Service",
      "@id": "https://naxos-carrentals.com/en/locations/naxos-town#service",
      "name": "Car rental at Naxos Town (Chora)",
      "provider": {
        "@id": "https://naxos-carrentals.com/#business"
      },
      "areaServed": {
        "@type": "Place",
        "name": "Naxos Town (Chora)"
      },
      "url": "https://naxos-carrentals.com/en/locations/naxos-town",
      "description": "Plan car rental at Naxos Town (Chora) with practical pickup, parking and route guidance. Confirm the exact meeting point and live availability for your dates."
    }
  ]
}</t>
  </si>
  <si>
    <t>https://naxos-carrentals.com/it/fleet/cars/dacia-duster</t>
  </si>
  <si>
    <t>{
  "@context": "https://schema.org",
  "@graph": [
    {
      "@type": "WebPage",
      "@id": "https://naxos-carrentals.com/el/locations/naxos-town#webpage",
      "url": "https://naxos-carrentals.com/el/locations/naxos-town",
      "name": "Ενοικίαση αυτοκινήτου: Χώρα Νάξου",
      "description": "Οργανώστε ενοικίαση αυτοκινήτου σε Χώρα Νάξου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"https://naxos-carrentals.com/el/locations/naxos-town#breadcrumb",
      "itemListElement": [
        {
          "@type": "ListItem",
          "position": 1,
          "name": "Αρχική",
          "item": "https://naxos-carrentals.com/el"
        },
        {
          "@type": "ListItem",
          "position": 2,
          "name": "Ενοικίαση αυτοκινήτου: Χώρα Νάξου",
          "item": "https://naxos-carrentals.com/el/locations/naxos-town"
        }
      ]
    },
    {
      "@type": "Service",
      "@id": "https://naxos-carrentals.com/el/locations/naxos-town#service",
      "name": "Ενοικίαση αυτοκινήτου: Χώρα Νάξου",
      "provider": {
        "@id": "https://naxos-carrentals.com/#business"
      },
      "areaServed": {
        "@type": "Place",
        "name": "Χώρα Νάξου"
      },
      "url": "https://naxos-carrentals.com/el/locations/naxos-town",
      "description": "Οργανώστε ενοικίαση αυτοκινήτου σε Χώρα Νάξου με πρακτικές πληροφορίες παραλαβής, parking και διαδρομών. Επιβεβαιώστε σημείο και διαθεσιμότητα."
    }
  ]
}</t>
  </si>
  <si>
    <t>{
  "@context": "https://schema.org",
  "@graph": [
    {
      "@type": "WebPage",
      "@id": "https://naxos-carrentals.com/en/locations/agios-prokopios#webpage",
      "url": "https://naxos-carrentals.com/en/locations/agios-prokopios",
      "name": "Car rental at Agios Prokopios",
      "description": "Plan car rental at Agios Prokopios with practical pickup, parking and route guidance. Confirm the exact meeting point and live availability for your dates.",
      "inLanguage": "en",
      "isPartOf": {
        "@id": "https://naxos-carrentals.com/#website"
      }
    },
    {
      "@type": "BreadcrumbList",
      "@id": "https://naxos-carrentals.com/en/locations/agios-prokopios#breadcrumb",
      "itemListElement": [
        {
          "@type": "ListItem",
          "position": 1,
          "name": "Home",
          "item": "https://naxos-carrentals.com/en"
        },
        {
          "@type": "ListItem",
          "position": 2,
          "name": "Car rental at Agios Prokopios",
          "item": "https://naxos-carrentals.com/en/locations/agios-prokopios"
        }
      ]
    },
    {
      "@type": "Service",
      "@id": "https://naxos-carrentals.com/en/locations/agios-prokopios#service",
      "name": "Car rental at Agios Prokopios",
      "provider": {
        "@id": "https://naxos-carrentals.com/#business"
      },
      "areaServed": {
        "@type": "Place",
        "name": "Agios Prokopios"
      },
      "url": "https://naxos-carrentals.com/en/locations/agios-prokopios",
      "description": "Plan car rental at Agios Prokopios with practical pickup, parking and route guidance. Confirm the exact meeting point and live availability for your dates."
    }
  ]
}</t>
  </si>
  <si>
    <t>{
  "@context": "https://schema.org",
  "@graph": [
    {
      "@type": "WebPage",
      "@id": "https://naxos-carrentals.com/el/locations/agios-prokopios#webpage",
      "url": "https://naxos-carrentals.com/el/locations/agios-prokopios",
      "name": "Ενοικίαση αυτοκινήτου: Άγιος Προκόπιος",
      "description": "Οργανώστε ενοικίαση αυτοκινήτου σε Άγιος Προκόπιος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"https://naxos-carrentals.com/el/locations/agios-prokopios#breadcrumb",
      "itemListElement": [
        {
          "@type": "ListItem",
          "position": 1,
          "name": "Αρχική",
          "item": "https://naxos-carrentals.com/el"
        },
        {
          "@type": "ListItem",
          "position": 2,
          "name": "Ενοικίαση αυτοκινήτου: Άγιος Προκόπιος",
          "item": "https://naxos-carrentals.com/el/locations/agios-prokopios"
        }
      ]
    },
    {
      "@type": "Service",
      "@id": "https://naxos-carrentals.com/el/locations/agios-prokopios#service",
      "name": "Ενοικίαση αυτοκινήτου: Άγιος Προκόπιος",
      "provider": {
        "@id": "https://naxos-carrentals.com/#business"
      },
      "areaServed": {
        "@type": "Place",
        "name": "Άγιος Προκόπιος"
      },
      "url": "https://naxos-carrentals.com/el/locations/agios-prokopios",
      "description": "Οργανώστε ενοικίαση αυτοκινήτου σε Άγιος Προκόπιος με πρακτικές πληροφορίες παραλαβής, parking και διαδρομών. Επιβεβαιώστε σημείο και διαθεσιμότητα."
    }
  ]
}</t>
  </si>
  <si>
    <t>{
  "@context": "https://schema.org",
  "@graph": [
    {
      "@type": "WebPage",
      "@id": "https://naxos-carrentals.com/en/locations/agia-anna#webpage",
      "url": "https://naxos-carrentals.com/en/locations/agia-anna",
      "name": "Car rental at Agia Anna",
      "description": "Plan car rental at Agia Anna with practical pickup, parking and route guidance. Confirm the exact meeting point and live availability for your dates.",
      "inLanguage": "en",
      "isPartOf": {
        "@id": "https://naxos-carrentals.com/#website"
      }
    },
    {
      "@type": "BreadcrumbList",
      "@id": "https://naxos-carrentals.com/en/locations/agia-anna#breadcrumb",
      "itemListElement": [
        {
          "@type": "ListItem",
          "position": 1,
          "name": "Home",
          "item": "https://naxos-carrentals.com/en"
        },
        {
          "@type": "ListItem",
          "position": 2,
          "name": "Car rental at Agia Anna",
          "item": "https://naxos-carrentals.com/en/locations/agia-anna"
        }
      ]
    },
    {
      "@type": "Service",
      "@id": "https://naxos-carrentals.com/en/locations/agia-anna#service",
      "name": "Car rental at Agia Anna",
      "provider": {
        "@id": "https://naxos-carrentals.com/#business"
      },
      "areaServed": {
        "@type": "Place",
        "name": "Agia Anna"
      },
      "url": "https://naxos-carrentals.com/en/locations/agia-anna",
      "description": "Plan car rental at Agia Anna with practical pickup, parking and route guidance. Confirm the exact meeting point and live availability for your dates."
    }
  ]
}</t>
  </si>
  <si>
    <t>https://naxos-carrentals.com/it/fleet/cars/fiat-500-cabrio</t>
  </si>
  <si>
    <t>{
  "@context": "https://schema.org",
  "@graph": [
    {
      "@type": "WebPage",
      "@id": "https://naxos-carrentals.com/el/locations/agia-anna#webpage",
      "url": "https://naxos-carrentals.com/el/locations/agia-anna",
      "name": "Ενοικίαση αυτοκινήτου: Αγία Άννα",
      "description": "Οργανώστε ενοικίαση αυτοκινήτου σε Αγία Άννα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"https://naxos-carrentals.com/el/locations/agia-anna#breadcrumb",
      "itemListElement": [
        {
          "@type": "ListItem",
          "position": 1,
          "name": "Αρχική",
          "item": "https://naxos-carrentals.com/el"
        },
        {
          "@type": "ListItem",
          "position": 2,
          "name": "Ενοικίαση αυτοκινήτου: Αγία Άννα",
          "item": "https://naxos-carrentals.com/el/locations/agia-anna"
        }
      ]
    },
    {
      "@type": "Service",
      "@id": "https://naxos-carrentals.com/el/locations/agia-anna#service",
      "name": "Ενοικίαση αυτοκινήτου: Αγία Άννα",
      "provider": {
        "@id": "https://naxos-carrentals.com/#business"
      },
      "areaServed": {
        "@type": "Place",
        "name": "Αγία Άννα"
      },
      "url": "https://naxos-carrentals.com/el/locations/agia-anna",
      "description": "Οργανώστε ενοικίαση αυτοκινήτου σε Αγία Άννα με πρακτικές πληροφορίες παραλαβής, parking και διαδρομών. Επιβεβαιώστε σημείο και διαθεσιμότητα."
    }
  ]
}</t>
  </si>
  <si>
    <t>Live SERP Competitor Benchmark</t>
  </si>
  <si>
    <t>{
  "@context": "https://schema.org",
  "@graph": [
    {
      "@type": "WebPage",
      "@id": "https://naxos-carrentals.com/en/locations/plaka#webpage",
      "url": "https://naxos-carrentals.com/en/locations/plaka",
      "name": "Car rental at Plaka",
      "description": "Plan car rental at Plaka with practical pickup, parking and route guidance. Confirm the exact meeting point and live availability for your dates.",
      "inLanguage": "en",
      "isPartOf": {
        "@id": "https://naxos-carrentals.com/#website"
      }
    },
    {
      "@type": "BreadcrumbList",
      "@id": "https://naxos-carrentals.com/en/locations/plaka#breadcrumb",
      "itemListElement": [
        {
          "@type": "ListItem",
          "position": 1,
          "name": "Home",
          "item": "https://naxos-carrentals.com/en"
        },
        {
          "@type": "ListItem",
          "position": 2,
          "name": "Car rental at Plaka",
          "item": "https://naxos-carrentals.com/en/locations/plaka"
        }
      ]
    },
    {
      "@type": "Service",
      "@id": "https://naxos-carrentals.com/en/locations/plaka#service",
      "name": "Car rental at Plaka",
      "provider": {
        "@id": "https://naxos-carrentals.com/#business"
      },
      "areaServed": {
        "@type": "Place",
        "name": "Plaka"
      },
      "url": "https://naxos-carrentals.com/en/locations/plaka",
      "description": "Plan car rental at Plaka with practical pickup, parking and route guidance. Confirm the exact meeting point and live availability for your dates."
    }
  ]
}</t>
  </si>
  <si>
    <t>Observed pages and positioning patterns on 2026-08-22. Competitor claims are not facts about Fast Motor Rental Naxos.</t>
  </si>
  <si>
    <t>Competitor</t>
  </si>
  <si>
    <t>{
  "@context": "https://schema.org",
  "@graph": [
    {
      "@type": "WebPage",
      "@id": "https://naxos-carrentals.com/el/locations/plaka#webpage",
      "url": "https://naxos-carrentals.com/el/locations/plaka",
      "name": "Ενοικίαση αυτοκινήτου: Πλάκα",
      "description": "Οργανώστε ενοικίαση αυτοκινήτου σε Πλάκα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"https://naxos-carrentals.com/el/locations/plaka#breadcrumb",
      "itemListElement": [
        {
          "@type": "ListItem",
          "position": 1,
          "name": "Αρχική",
          "item": "https://naxos-carrentals.com/el"
        },
        {
          "@type": "ListItem",
          "position": 2,
          "name": "Ενοικίαση αυτοκινήτου: Πλάκα",
          "item": "https://naxos-carrentals.com/el/locations/plaka"
        }
      ]
    },
    {
      "@type": "Service",
      "@id": "https://naxos-carrentals.com/el/locations/plaka#service",
      "name": "Ενοικίαση αυτοκινήτου: Πλάκα",
      "provider": {
        "@id": "https://naxos-carrentals.com/#business"
      },
      "areaServed": {
        "@type": "Place",
        "name": "Πλάκα"
      },
      "url": "https://naxos-carrentals.com/el/locations/plaka",
      "description": "Οργανώστε ενοικίαση αυτοκινήτου σε Πλάκα με πρακτικές πληροφορίες παραλαβής, parking και διαδρομών. Επιβεβαιώστε σημείο και διαθεσιμότητα."
    }
  ]
}</t>
  </si>
  <si>
    <t>Observed strength</t>
  </si>
  <si>
    <t>Response strategy</t>
  </si>
  <si>
    <t>Threat</t>
  </si>
  <si>
    <t>Naxos Auto Rent</t>
  </si>
  <si>
    <t>https://naxos-car-rental.com/</t>
  </si>
  <si>
    <t>Booking form above fold; strong trust proof; clear inclusions; journal cluster</t>
  </si>
  <si>
    <t>Verify every local claim; build equal or better booking clarity plus deeper bilingual guide cluster</t>
  </si>
  <si>
    <t>High</t>
  </si>
  <si>
    <t>{
  "@context": "https://schema.org",
  "@graph": [
    {
      "@type": "WebPage",
      "@id": "https://naxos-carrentals.com/en/locations/mikri-vigla#webpage",
      "url": "https://naxos-carrentals.com/en/locations/mikri-vigla",
      "name": "Car rental at Mikri Vigla",
      "description": "Plan car rental at Mikri Vigla with practical pickup, parking and route guidance. Confirm the exact meeting point and live availability for your dates.",
      "inLanguage": "en",
      "isPartOf": {
        "@id": "https://naxos-carrentals.com/#website"
      }
    },
    {
      "@type": "BreadcrumbList",
      "@id": "https://naxos-carrentals.com/en/locations/mikri-vigla#breadcrumb",
      "itemListElement": [
        {
          "@type": "ListItem",
          "position": 1,
          "name": "Home",
          "item": "https://naxos-carrentals.com/en"
        },
        {
          "@type": "ListItem",
          "position": 2,
          "name": "Car rental at Mikri Vigla",
          "item": "https://naxos-carrentals.com/en/locations/mikri-vigla"
        }
      ]
    },
    {
      "@type": "Service",
      "@id": "https://naxos-carrentals.com/en/locations/mikri-vigla#service",
      "name": "Car rental at Mikri Vigla",
      "provider": {
        "@id": "https://naxos-carrentals.com/#business"
      },
      "areaServed": {
        "@type": "Place",
        "name": "Mikri Vigla"
      },
      "url": "https://naxos-carrentals.com/en/locations/mikri-vigla",
      "description": "Plan car rental at Mikri Vigla with practical pickup, parking and route guidance. Confirm the exact meeting point and live availability for your dates."
    }
  ]
}</t>
  </si>
  <si>
    <t>Golden Dove</t>
  </si>
  <si>
    <t>https://goldendove.gr/</t>
  </si>
  <si>
    <t>Above-fold booking; port/airport delivery message; visible Google review proof</t>
  </si>
  <si>
    <t>https://naxos-carrentals.com/it/fleet/cars/fiat-panda</t>
  </si>
  <si>
    <t>Add real review proof and pickup clarity only after verification</t>
  </si>
  <si>
    <t>Naction Rent a Car</t>
  </si>
  <si>
    <t>{
  "@context": "https://schema.org",
  "@graph": [
    {
      "@type": "WebPage",
      "@id": "https://naxos-carrentals.com/el/locations/mikri-vigla#webpage",
      "url": "https://naxos-carrentals.com/el/locations/mikri-vigla",
      "name": "Ενοικίαση αυτοκινήτου: Μικρή Βίγλα",
      "description": "Οργανώστε ενοικίαση αυτοκινήτου σε Μικρή Βίγλα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"https://naxos-carrentals.com/el/locations/mikri-vigla#breadcrumb",
      "itemListElement": [
        {
          "@type": "ListItem",
          "position": 1,
          "name": "Αρχική",
          "item": "https://naxos-carrentals.com/el"
        },
        {
          "@type": "ListItem",
          "position": 2,
          "name": "Ενοικίαση αυτοκινήτου: Μικρή Βίγλα",
          "item": "https://naxos-carrentals.com/el/locations/mikri-vigla"
        }
      ]
    },
    {
      "@type": "Service",
      "@id": "https://naxos-carrentals.com/el/locations/mikri-vigla#service",
      "name": "Ενοικίαση αυτοκινήτου: Μικρή Βίγλα",
      "provider": {
        "@id": "https://naxos-carrentals.com/#business"
      },
      "areaServed": {
        "@type": "Place",
        "name": "Μικρή Βίγλα"
      },
      "url": "https://naxos-carrentals.com/el/locations/mikri-vigla",
      "description": "Οργανώστε ενοικίαση αυτοκινήτου σε Μικρή Βίγλα με πρακτικές πληροφορίες παραλαβής, parking και διαδρομών. Επιβεβαιώστε σημείο και διαθεσιμότητα."
    }
  ]
}</t>
  </si>
  <si>
    <t>https://nactionrentacar.com/el/</t>
  </si>
  <si>
    <t>Strong Greek transactional page; booking module; payment/deposit explanations; reviews</t>
  </si>
  <si>
    <t>Greek page needs fully native commercial copy, not translated boilerplate</t>
  </si>
  <si>
    <t>Wheelso Naxos</t>
  </si>
  <si>
    <t>https://wheelso.gr/el/car-rental/naxos/</t>
  </si>
  <si>
    <t>{
  "@context": "https://schema.org",
  "@graph": [
    {
      "@type": "WebPage",
      "@id": "https://naxos-carrentals.com/en/locations/filoti#webpage",
      "url": "https://naxos-carrentals.com/en/locations/filoti",
      "name": "Car rental at Filoti",
      "description": "Plan car rental at Filoti with practical pickup, parking and route guidance. Confirm the exact meeting point and live availability for your dates.",
      "inLanguage": "en",
      "isPartOf": {
        "@id": "https://naxos-carrentals.com/#website"
      }
    },
    {
      "@type": "BreadcrumbList",
      "@id": "https://naxos-carrentals.com/en/locations/filoti#breadcrumb",
      "itemListElement": [
        {
          "@type": "ListItem",
          "position": 1,
          "name": "Home",
          "item": "https://naxos-carrentals.com/en"
        },
        {
          "@type": "ListItem",
          "position": 2,
          "name": "Car rental at Filoti",
          "item": "https://naxos-carrentals.com/en/locations/filoti"
        }
      ]
    },
    {
      "@type": "Service",
      "@id": "https://naxos-carrentals.com/en/locations/filoti#service",
      "name": "Car rental at Filoti",
      "provider": {
        "@id": "https://naxos-carrentals.com/#business"
      },
      "areaServed": {
        "@type": "Place",
        "name": "Filoti"
      },
      "url": "https://naxos-carrentals.com/en/locations/filoti",
      "description": "Plan car rental at Filoti with practical pickup, parking and route guidance. Confirm the exact meeting point and live availability for your dates."
    }
  ]
}</t>
  </si>
  <si>
    <t>Localized transactional landing; visible booking module; trust and FAQ coverage</t>
  </si>
  <si>
    <t>Win with local entity evidence, precise fleet facts and unique Naxos routes</t>
  </si>
  <si>
    <t>Medium</t>
  </si>
  <si>
    <t>Discover Greece</t>
  </si>
  <si>
    <t>https://www.discovergreece.com/cyclades/naxos</t>
  </si>
  <si>
    <t>Broad destination authority; deep things-to-do and beach coverage</t>
  </si>
  <si>
    <t>{
  "@context": "https://schema.org",
  "@graph": [
    {
      "@type": "WebPage",
      "@id": "https://naxos-carrentals.com/el/locations/filoti#webpage",
      "url": "https://naxos-carrentals.com/el/locations/filoti",
      "name": "Ενοικίαση αυτοκινήτου: Φιλώτι",
      "description": "Οργανώστε ενοικίαση αυτοκινήτου σε Φιλώτι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"https://naxos-carrentals.com/el/locations/filoti#breadcrumb",
      "itemListElement": [
        {
          "@type": "ListItem",
          "position": 1,
          "name": "Αρχική",
          "item": "https://naxos-carrentals.com/el"
        },
        {
          "@type": "ListItem",
          "position": 2,
          "name": "Ενοικίαση αυτοκινήτου: Φιλώτι",
          "item": "https://naxos-carrentals.com/el/locations/filoti"
        }
      ]
    },
    {
      "@type": "Service",
      "@id": "https://naxos-carrentals.com/el/locations/filoti#service",
      "name": "Ενοικίαση αυτοκινήτου: Φιλώτι",
      "provider": {
        "@id": "https://naxos-carrentals.com/#business"
      },
      "areaServed": {
        "@type": "Place",
        "name": "Φιλώτι"
      },
      "url": "https://naxos-carrentals.com/el/locations/filoti",
      "description": "Οργανώστε ενοικίαση αυτοκινήτου σε Φιλώτι με πρακτικές πληροφορίες παραλαβής, parking και διαδρομών. Επιβεβαιώστε σημείο και διαθεσιμότητα."
    }
  ]
}</t>
  </si>
  <si>
    <t>Compete through car-led decision utility, original local evidence and internal commercial paths</t>
  </si>
  <si>
    <t>Naxos Insider</t>
  </si>
  <si>
    <t>https://naxosinsider.com/</t>
  </si>
  <si>
    <t>Distinctive on-island voice; six clear guide pillars; first-hand editorial positioning</t>
  </si>
  <si>
    <t>Use named local authors, checked dates, original photos and route-specific experience</t>
  </si>
  <si>
    <t>{
  "@context": "https://schema.org",
  "@graph": [
    {
      "@type": "WebPage",
      "@id": "https://naxos-carrentals.com/en/locations/apeiranthos#webpage",
      "url": "https://naxos-carrentals.com/en/locations/apeiranthos",
      "name": "Car rental at Apeiranthos",
      "description": "Plan car rental at Apeiranthos with practical pickup, parking and route guidance. Confirm the exact meeting point and live availability for your dates.",
      "inLanguage": "en",
      "isPartOf": {
        "@id": "https://naxos-carrentals.com/#website"
      }
    },
    {
      "@type": "BreadcrumbList",
      "@id": "https://naxos-carrentals.com/en/locations/apeiranthos#breadcrumb",
      "itemListElement": [
        {
          "@type": "ListItem",
          "position": 1,
          "name": "Home",
          "item": "https://naxos-carrentals.com/en"
        },
        {
          "@type": "ListItem",
          "position": 2,
          "name": "Car rental at Apeiranthos",
          "item": "https://naxos-carrentals.com/en/locations/apeiranthos"
        }
      ]
    },
    {
      "@type": "Service",
      "@id": "https://naxos-carrentals.com/en/locations/apeiranthos#service",
      "name": "Car rental at Apeiranthos",
      "provider": {
        "@id": "https://naxos-carrentals.com/#business"
      },
      "areaServed": {
        "@type": "Place",
        "name": "Apeiranthos"
      },
      "url": "https://naxos-carrentals.com/en/locations/apeiranthos",
      "description": "Plan car rental at Apeiranthos with practical pickup, parking and route guidance. Confirm the exact meeting point and live availability for your dates."
    }
  ]
}</t>
  </si>
  <si>
    <t>https://naxos-carrentals.com/it/fleet/cars/hyundai-i10</t>
  </si>
  <si>
    <t>{
  "@context": "https://schema.org",
  "@graph": [
    {
      "@type": "WebPage",
      "@id": "https://naxos-carrentals.com/el/locations/apeiranthos#webpage",
      "url": "https://naxos-carrentals.com/el/locations/apeiranthos",
      "name": "Ενοικίαση αυτοκινήτου: Απείρανθος",
      "description": "Οργανώστε ενοικίαση αυτοκινήτου σε Απείρανθος με πρακτικές πληροφορίες παραλαβής, parking και διαδρομών. Επιβεβαιώστε σημείο και διαθεσιμότητα.",
      "inLanguage": "el",
      "isPartOf": {
        "@id": "https://naxos-carrentals.com/#website"
      }
    },
    {
      "@type": "BreadcrumbList",
      "@id": "https://naxos-carrentals.com/el/locations/apeiranthos#breadcrumb",
      "itemListElement": [
        {
          "@type": "ListItem",
          "position": 1,
          "name": "Αρχική",
          "item": "https://naxos-carrentals.com/el"
        },
        {
          "@type": "ListItem",
          "position": 2,
          "name": "Ενοικίαση αυτοκινήτου: Απείρανθος",
          "item": "https://naxos-carrentals.com/el/locations/apeiranthos"
        }
      ]
    },
    {
      "@type": "Service",
      "@id": "https://naxos-carrentals.com/el/locations/apeiranthos#service",
      "name": "Ενοικίαση αυτοκινήτου: Απείρανθος",
      "provider": {
        "@id": "https://naxos-carrentals.com/#business"
      },
      "areaServed": {
        "@type": "Place",
        "name": "Απείρανθος"
      },
      "url": "https://naxos-carrentals.com/el/locations/apeiranthos",
      "description": "Οργανώστε ενοικίαση αυτοκινήτου σε Απείρανθος με πρακτικές πληροφορίες παραλαβής, parking και διαδρομών. Επιβεβαιώστε σημείο και διαθεσιμότητα."
    }
  ]
}</t>
  </si>
  <si>
    <t>{
  "@context": "https://schema.org",
  "@graph": [
    {
      "@type": "WebPage",
      "@id": "https://naxos-carrentals.com/en/fleet/collections/automatic#webpage",
      "url": "https://naxos-carrentals.com/en/fleet/collections/automatic",
      "name": "Automatic Car Rental in Naxos",
      "description": "Automatic Car Rental in Naxos: compare seats, luggage, transmission and current availability. Review exact terms and continue to secure booking.",
      "inLanguage": "en",
      "isPartOf": {
        "@id": "https://naxos-carrentals.com/#website"
      }
    },
    {
      "@type": "BreadcrumbList",
      "@id": "https://naxos-carrentals.com/en/fleet/collections/automatic#breadcrumb",
      "itemListElement": [
        {
          "@type": "ListItem",
          "position": 1,
          "name": "Home",
          "item": "https://naxos-carrentals.com/en"
        },
        {
          "@type": "ListItem",
          "position": 2,
          "name": "Automatic Car Rental in Naxos",
          "item": "https://naxos-carrentals.com/en/fleet/collections/automatic"
        }
      ]
    },
    {
      "@type": "ItemList",
      "@id": "https://naxos-carrentals.com/en/fleet/collections/automatic#list",
      "name": "Automatic Car Rental in Naxos",
      "numberOfItems": "{{LIVE_ITEM_COUNT}}",
      "itemListElement": "{{SERVER_RENDERED_VEHICLE_LIST}}"
    }
  ]
}</t>
  </si>
  <si>
    <t>συγκρίνετε αυτοκίνητα στη Νάξο</t>
  </si>
  <si>
    <t>{
  "@context": "https://schema.org",
  "@graph": [
    {
      "@type": "WebPage",
      "@id": "https://naxos-carrentals.com/el/fleet/collections/automatic#webpage",
      "url": "https://naxos-carrentals.com/el/fleet/collections/automatic",
      "name": "Αυτόματο Αυτοκίνητο στη Νάξο",
      "description": "Αυτόματο Αυτοκίνητο στη Νάξο: συγκρίνετε θέσεις, αποσκευές, κιβώτιο και διαθεσιμότητα. Ελέγξτε ακριβείς όρους και συνεχίστε σε ασφαλή κράτηση.",
      "inLanguage": "el",
      "isPartOf": {
        "@id": "https://naxos-carrentals.com/#website"
      }
    },
    {
      "@type": "BreadcrumbList",
      "@id": "https://naxos-carrentals.com/el/fleet/collections/automatic#breadcrumb",
      "itemListElement": [
        {
          "@type": "ListItem",
          "position": 1,
          "name": "Αρχική",
          "item": "https://naxos-carrentals.com/el"
        },
        {
          "@type": "ListItem",
          "position": 2,
          "name": "Αυτόματο Αυτοκίνητο στη Νάξο",
          "item": "https://naxos-carrentals.com/el/fleet/collections/automatic"
        }
      ]
    },
    {
      "@type": "ItemList",
      "@id": "https://naxos-carrentals.com/el/fleet/collections/automatic#list",
      "name": "Αυτόματο Αυτοκίνητο στη Νάξο",
      "numberOfItems": "{{LIVE_ITEM_COUNT}}",
      "itemListElement": "{{SERVER_RENDERED_VEHICLE_LIST}}"
    }
  ]
}</t>
  </si>
  <si>
    <t>τιμές ενοικίασης αυτοκινήτου</t>
  </si>
  <si>
    <t>{
  "@context": "https://schema.org",
  "@graph": [
    {
      "@type": "WebPage",
      "@id": "https://naxos-carrentals.com/en/fleet/collections/family-7-seater#webpage",
      "url": "https://naxos-carrentals.com/en/fleet/collections/family-7-seater",
      "name": "7-Seater &amp; Family Car Rental in Naxos",
      "description": "7-Seater &amp; Family Car Rental in Naxos: compare seats, luggage, transmission and current availability. Review exact terms and continue to secure booking.",
      "inLanguage": "en",
      "isPartOf": {
        "@id": "https://naxos-carrentals.com/#website"
      }
    },
    {
      "@type": "BreadcrumbList",
      "@id": "https://naxos-carrentals.com/en/fleet/collections/family-7-seater#breadcrumb",
      "itemListElement": [
        {
          "@type": "ListItem",
          "position": 1,
          "name": "Home",
          "item": "https://naxos-carrentals.com/en"
        },
        {
          "@type": "ListItem",
          "position": 2,
          "name": "7-Seater &amp; Family Car Rental in Naxos",
          "item": "https://naxos-carrentals.com/en/fleet/collections/family-7-seater"
        }
      ]
    },
    {
      "@type": "ItemList",
      "@id": "https://naxos-carrentals.com/en/fleet/collections/family-7-seater#list",
      "name": "7-Seater &amp; Family Car Rental in Naxos",
      "numberOfItems": "{{LIVE_ITEM_COUNT}}",
      "itemListElement": "{{SERVER_RENDERED_VEHICLE_LIST}}"
    }
  ]
}</t>
  </si>
  <si>
    <t>{
  "@context": "https://schema.org",
  "@graph": [
    {
      "@type": "WebPage",
      "@id": "https://naxos-carrentals.com/el/fleet/collections/family-7-seater#webpage",
      "url": "https://naxos-carrentals.com/el/fleet/collections/family-7-seater",
      "name": "7θέσια &amp; Οικογενειακά Αυτοκίνητα στη Νάξο",
      "description": "7θέσια &amp; Οικογενειακά Αυτοκίνητα στη Νάξο: συγκρίνετε θέσεις, αποσκευές, κιβώτιο και διαθεσιμότητα. Ελέγξτε ακριβείς όρους και συνεχίστε σε ασφαλή κράτηση.",
      "inLanguage": "el",
      "isPartOf": {
        "@id": "https://naxos-carrentals.com/#website"
      }
    },
    {
      "@type": "BreadcrumbList",
      "@id": "https://naxos-carrentals.com/el/fleet/collections/family-7-seater#breadcrumb",
      "itemListElement": [
        {
          "@type": "ListItem",
          "position": 1,
          "name": "Αρχική",
          "item": "https://naxos-carrentals.com/el"
        },
        {
          "@type": "ListItem",
          "position": 2,
          "name": "7θέσια &amp; Οικογενειακά Αυτοκίνητα στη Νάξο",
          "item": "https://naxos-carrentals.com/el/fleet/collections/family-7-seater"
        }
      ]
    },
    {
      "@type": "ItemList",
      "@id": "https://naxos-carrentals.com/el/fleet/collections/family-7-seater#list",
      "name": "7θέσια &amp; Οικογενειακά Αυτοκίνητα στη Νάξο",
      "numberOfItems": "{{LIVE_ITEM_COUNT}}",
      "itemListElement": "{{SERVER_RENDERED_VEHICLE_LIST}}"
    }
  ]
}</t>
  </si>
  <si>
    <t>https://naxos-carrentals.com/it/fleet/cars/kia-picanto</t>
  </si>
  <si>
    <t>{
  "@context": "https://schema.org",
  "@graph": [
    {
      "@type": "WebPage",
      "@id": "https://naxos-carrentals.com/en/fleet/collections/suv-4x4#webpage",
      "url": "https://naxos-carrentals.com/en/fleet/collections/suv-4x4",
      "name": "SUV &amp; 4×4 Rental in Naxos",
      "description": "SUV &amp; 4×4 Rental in Naxos: compare seats, luggage, transmission and current availability. Review exact terms and continue to secure booking.",
      "inLanguage": "en",
      "isPartOf": {
        "@id": "https://naxos-carrentals.com/#website"
      }
    },
    {
      "@type": "BreadcrumbList",
      "@id": "https://naxos-carrentals.com/en/fleet/collections/suv-4x4#breadcrumb",
      "itemListElement": [
        {
          "@type": "ListItem",
          "position": 1,
          "name": "Home",
          "item": "https://naxos-carrentals.com/en"
        },
        {
          "@type": "ListItem",
          "position": 2,
          "name": "SUV &amp; 4×4 Rental in Naxos",
          "item": "https://naxos-carrentals.com/en/fleet/collections/suv-4x4"
        }
      ]
    },
    {
      "@type": "ItemList",
      "@id": "https://naxos-carrentals.com/en/fleet/collections/suv-4x4#list",
      "name": "SUV &amp; 4×4 Rental in Naxos",
      "numberOfItems": "{{LIVE_ITEM_COUNT}}",
      "itemListElement": "{{SERVER_RENDERED_VEHICLE_LIST}}"
    }
  ]
}</t>
  </si>
  <si>
    <t>πλήρης οδηγός Νάξου</t>
  </si>
  <si>
    <t>{
  "@context": "https://schema.org",
  "@graph": [
    {
      "@type": "WebPage",
      "@id": "https://naxos-carrentals.com/el/fleet/collections/suv-4x4#webpage",
      "url": "https://naxos-carrentals.com/el/fleet/collections/suv-4x4",
      "name": "SUV &amp; 4×4 Ενοικίαση στη Νάξο",
      "description": "SUV &amp; 4×4 Ενοικίαση στη Νάξο: συγκρίνετε θέσεις, αποσκευές, κιβώτιο και διαθεσιμότητα. Ελέγξτε ακριβείς όρους και συνεχίστε σε ασφαλή κράτηση.",
      "inLanguage": "el",
      "isPartOf": {
        "@id": "https://naxos-carrentals.com/#website"
      }
    },
    {
      "@type": "BreadcrumbList",
      "@id": "https://naxos-carrentals.com/el/fleet/collections/suv-4x4#breadcrumb",
      "itemListElement": [
        {
          "@type": "ListItem",
          "position": 1,
          "name": "Αρχική",
          "item": "https://naxos-carrentals.com/el"
        },
        {
          "@type": "ListItem",
          "position": 2,
          "name": "SUV &amp; 4×4 Ενοικίαση στη Νάξο",
          "item": "https://naxos-carrentals.com/el/fleet/collections/suv-4x4"
        }
      ]
    },
    {
      "@type": "ItemList",
      "@id": "https://naxos-carrentals.com/el/fleet/collections/suv-4x4#list",
      "name": "SUV &amp; 4×4 Ενοικίαση στη Νάξο",
      "numberOfItems": "{{LIVE_ITEM_COUNT}}",
      "itemListElement": "{{SERVER_RENDERED_VEHICLE_LIST}}"
    }
  ]
}</t>
  </si>
  <si>
    <t>ελέγξτε live διαθεσιμότητα</t>
  </si>
  <si>
    <t>{
  "@context": "https://schema.org",
  "@graph": [
    {
      "@type": "WebPage",
      "@id": "https://naxos-carrentals.com/en/fleet/cars/hyundai-i10#webpage",
      "url": "https://naxos-carrentals.com/en/fleet/cars/hyundai-i10",
      "name": "Hyundai i10 rental in Naxos",
      "description": "See Hyundai i10 rental details for Naxos: 5 seats, automatic transmission, petrol and 5 doors. Check live availability.",
      "inLanguage": "en",
      "isPartOf": {
        "@id": "https://naxos-carrentals.com/#website"
      }
    },
    {
      "@type": "BreadcrumbList",
      "@id": "https://naxos-carrentals.com/en/fleet/cars/hyundai-i10#breadcrumb",
      "itemListElement": [
        {
          "@type": "ListItem",
          "position": 1,
          "name": "Home",
          "item": "https://naxos-carrentals.com/en"
        },
        {
          "@type": "ListItem",
          "position": 2,
          "name": "Hyundai i10 rental in Naxos",
          "item": "https://naxos-carrentals.com/en/fleet/cars/hyundai-i10"
        }
      ]
    },
    {
      "@type": [
        "Product",
        "Car"
      ],
      "@id": "https://naxos-carrentals.com/en/fleet/cars/hyundai-i10#vehicle",
      "name": "Hyundai i10",
      "description": "See Hyundai i10 rental details for Naxos: 5 seats, automatic transmission, petrol and 5 doors. Check live availability.",
      "image": [
        "{{1x1_IMAGE_URL}}",
        "{{4x3_IMAGE_URL}}",
        "{{16x9_IMAGE_URL}}"
      ],
      "brand": {
        "@type": "Brand",
        "name": "Hyundai i10"
      },
      "category": "Rental car",
      "offers": "{{ADD_OFFER_ONLY_WHEN_VISIBLE_LIVE_PRICE_AND_AVAILABILITY_EXIST}}"
    }
  ]
}</t>
  </si>
  <si>
    <t>ασφάλεια και απαλλαγή</t>
  </si>
  <si>
    <t>Remove Offer placeholder unless live offer is visible and valid</t>
  </si>
  <si>
    <t>{
  "@context": "https://schema.org",
  "@graph": [
    {
      "@type": "WebPage",
      "@id": "https://naxos-carrentals.com/el/fleet/cars/hyundai-i10#webpage",
      "url": "https://naxos-carrentals.com/el/fleet/cars/hyundai-i10",
      "name": "Hyundai i10 για ενοικίαση στη Νάξο",
      "description": "Δείτε Hyundai i10 για ενοικίαση στη Νάξο: 5 θέσεις, αυτόματο, βενζίνη και 5 πόρτες. Ελέγξτε διαθεσιμότητα.",
      "inLanguage": "el",
      "isPartOf": {
        "@id": "https://naxos-carrentals.com/#website"
      }
    },
    {
      "@type": "BreadcrumbList",
      "@id": "https://naxos-carrentals.com/el/fleet/cars/hyundai-i10#breadcrumb",
      "itemListElement": [
        {
          "@type": "ListItem",
          "position": 1,
          "name": "Αρχική",
          "item": "https://naxos-carrentals.com/el"
        },
        {
          "@type": "ListItem",
          "position": 2,
          "name": "Hyundai i10 για ενοικίαση στη Νάξο",
          "item": "https://naxos-carrentals.com/el/fleet/cars/hyundai-i10"
        }
      ]
    },
    {
      "@type": [
        "Product",
        "Car"
      ],
      "@id": "https://naxos-carrentals.com/el/fleet/cars/hyundai-i10#vehicle",
      "name": "Hyundai i10",
      "description": "Δείτε Hyundai i10 για ενοικίαση στη Νάξο: 5 θέσεις, αυτόματο, βενζίνη και 5 πόρτες. Ελέγξτε διαθεσιμότητα.",
      "image": [
        "{{1x1_IMAGE_URL}}",
        "{{4x3_IMAGE_URL}}",
        "{{16x9_IMAGE_URL}}"
      ],
      "brand": {
        "@type": "Brand",
        "name": "Hyundai i10"
      },
      "category": "Rental car",
      "offers": "{{ADD_OFFER_ONLY_WHEN_VISIBLE_LIVE_PRICE_AND_AVAILABILITY_EXIST}}"
    }
  ]
}</t>
  </si>
  <si>
    <t>https://naxos-carrentals.com/it/fleet/cars/kia-sportage</t>
  </si>
  <si>
    <t>{
  "@context": "https://schema.org",
  "@graph": [
    {
      "@type": "WebPage",
      "@id": "https://naxos-carrentals.com/en/fleet/cars/toyota-aygo#webpage",
      "url": "https://naxos-carrentals.com/en/fleet/cars/toyota-aygo",
      "name": "Toyota Aygo X rental in Naxos",
      "description": "See Toyota Aygo X rental details for Naxos: 5 seats, manual transmission, petrol and 5 doors. Check live availability.",
      "inLanguage": "en",
      "isPartOf": {
        "@id": "https://naxos-carrentals.com/#website"
      }
    },
    {
      "@type": "BreadcrumbList",
      "@id": "https://naxos-carrentals.com/en/fleet/cars/toyota-aygo#breadcrumb",
      "itemListElement": [
        {
          "@type": "ListItem",
          "position": 1,
          "name": "Home",
          "item": "https://naxos-carrentals.com/en"
        },
        {
          "@type": "ListItem",
          "position": 2,
          "name": "Toyota Aygo X rental in Naxos",
          "item": "https://naxos-carrentals.com/en/fleet/cars/toyota-aygo"
        }
      ]
    },
    {
      "@type": [
        "Product",
        "Car"
      ],
      "@id": "https://naxos-carrentals.com/en/fleet/cars/toyota-aygo#vehicle",
      "name": "Toyota Aygo X",
      "description": "See Toyota Aygo X rental details for Naxos: 5 seats, manual transmission, petrol and 5 doors. Check live availability.",
      "image": [
        "{{1x1_IMAGE_URL}}",
        "{{4x3_IMAGE_URL}}",
        "{{16x9_IMAGE_URL}}"
      ],
      "brand": {
        "@type": "Brand",
        "name": "Toyota Aygo X"
      },
      "category": "Rental car",
      "offers": "{{ADD_OFFER_ONLY_WHEN_VISIBLE_LIVE_PRICE_AND_AVAILABILITY_EXIST}}"
    }
  ]
}</t>
  </si>
  <si>
    <t>{
  "@context": "https://schema.org",
  "@graph": [
    {
      "@type": "WebPage",
      "@id": "https://naxos-carrentals.com/el/fleet/cars/toyota-aygo#webpage",
      "url": "https://naxos-carrentals.com/el/fleet/cars/toyota-aygo",
      "name": "Toyota Aygo X για ενοικίαση στη Νάξο",
      "description": "Δείτε Toyota Aygo X για ενοικίαση στη Νάξο: 5 θέσεις, χειροκίνητο, βενζίνη και 5 πόρτες. Ελέγξτε διαθεσιμότητα.",
      "inLanguage": "el",
      "isPartOf": {
        "@id": "https://naxos-carrentals.com/#website"
      }
    },
    {
      "@type": "BreadcrumbList",
      "@id": "https://naxos-carrentals.com/el/fleet/cars/toyota-aygo#breadcrumb",
      "itemListElement": [
        {
          "@type": "ListItem",
          "position": 1,
          "name": "Αρχική",
          "item": "https://naxos-carrentals.com/el"
        },
        {
          "@type": "ListItem",
          "position": 2,
          "name": "Toyota Aygo X για ενοικίαση στη Νάξο",
          "item": "https://naxos-carrentals.com/el/fleet/cars/toyota-aygo"
        }
      ]
    },
    {
      "@type": [
        "Product",
        "Car"
      ],
      "@id": "https://naxos-carrentals.com/el/fleet/cars/toyota-aygo#vehicle",
      "name": "Toyota Aygo X",
      "description": "Δείτε Toyota Aygo X για ενοικίαση στη Νάξο: 5 θέσεις, χειροκίνητο, βενζίνη και 5 πόρτες. Ελέγξτε διαθεσιμότητα.",
      "image": [
        "{{1x1_IMAGE_URL}}",
        "{{4x3_IMAGE_URL}}",
        "{{16x9_IMAGE_URL}}"
      ],
      "brand": {
        "@type": "Brand",
        "name": "Toyota Aygo X"
      },
      "category": "Rental car",
      "offers": "{{ADD_OFFER_ONLY_WHEN_VISIBLE_LIVE_PRICE_AND_AVAILABILITY_EXIST}}"
    }
  ]
}</t>
  </si>
  <si>
    <t>παραλαβή στο λιμάνι Νάξου</t>
  </si>
  <si>
    <t>παραλαβή στο αεροδρόμιο Νάξου</t>
  </si>
  <si>
    <t>{
  "@context": "https://schema.org",
  "@graph": [
    {
      "@type": "WebPage",
      "@id": "https://naxos-carrentals.com/en/fleet/cars/fiat-panda#webpage",
      "url": "https://naxos-carrentals.com/en/fleet/cars/fiat-panda",
      "name": "Fiat Panda rental in Naxos",
      "description": "See Fiat Panda rental details for Naxos: 5 seats, manual transmission, petrol and 5 doors. Check live availability.",
      "inLanguage": "en",
      "isPartOf": {
        "@id": "https://naxos-carrentals.com/#website"
      }
    },
    {
      "@type": "BreadcrumbList",
      "@id": "https://naxos-carrentals.com/en/fleet/cars/fiat-panda#breadcrumb",
      "itemListElement": [
        {
          "@type": "ListItem",
          "position": 1,
          "name": "Home",
          "item": "https://naxos-carrentals.com/en"
        },
        {
          "@type": "ListItem",
          "position": 2,
          "name": "Fiat Panda rental in Naxos",
          "item": "https://naxos-carrentals.com/en/fleet/cars/fiat-panda"
        }
      ]
    },
    {
      "@type": [
        "Product",
        "Car"
      ],
      "@id": "https://naxos-carrentals.com/en/fleet/cars/fiat-panda#vehicle",
      "name": "Fiat Panda",
      "description": "See Fiat Panda rental details for Naxos: 5 seats, manual transmission, petrol and 5 doors. Check live availability.",
      "image": [
        "{{1x1_IMAGE_URL}}",
        "{{4x3_IMAGE_URL}}",
        "{{16x9_IMAGE_URL}}"
      ],
      "brand": {
        "@type": "Brand",
        "name": "Fiat Panda"
      },
      "category": "Rental car",
      "offers": "{{ADD_OFFER_ONLY_WHEN_VISIBLE_LIVE_PRICE_AND_AVAILABILITY_EXIST}}"
    }
  ]
}</t>
  </si>
  <si>
    <t>διαδρομή στα ορεινά χωριά</t>
  </si>
  <si>
    <t>{
  "@context": "https://schema.org",
  "@graph": [
    {
      "@type": "WebPage",
      "@id": "https://naxos-carrentals.com/el/fleet/cars/fiat-panda#webpage",
      "url": "https://naxos-carrentals.com/el/fleet/cars/fiat-panda",
      "name": "Fiat Panda για ενοικίαση στη Νάξο",
      "description": "Δείτε Fiat Panda για ενοικίαση στη Νάξο: 5 θέσεις, χειροκίνητο, βενζίνη και 5 πόρτες. Ελέγξτε διαθεσιμότητα.",
      "inLanguage": "el",
      "isPartOf": {
        "@id": "https://naxos-carrentals.com/#website"
      }
    },
    {
      "@type": "BreadcrumbList",
      "@id": "https://naxos-carrentals.com/el/fleet/cars/fiat-panda#breadcrumb",
      "itemListElement": [
        {
          "@type": "ListItem",
          "position": 1,
          "name": "Αρχική",
          "item": "https://naxos-carrentals.com/el"
        },
        {
          "@type": "ListItem",
          "position": 2,
          "name": "Fiat Panda για ενοικίαση στη Νάξο",
          "item": "https://naxos-carrentals.com/el/fleet/cars/fiat-panda"
        }
      ]
    },
    {
      "@type": [
        "Product",
        "Car"
      ],
      "@id": "https://naxos-carrentals.com/el/fleet/cars/fiat-panda#vehicle",
      "name": "Fiat Panda",
      "description": "Δείτε Fiat Panda για ενοικίαση στη Νάξο: 5 θέσεις, χειροκίνητο, βενζίνη και 5 πόρτες. Ελέγξτε διαθεσιμότητα.",
      "image": [
        "{{1x1_IMAGE_URL}}",
        "{{4x3_IMAGE_URL}}",
        "{{16x9_IMAGE_URL}}"
      ],
      "brand": {
        "@type": "Brand",
        "name": "Fiat Panda"
      },
      "category": "Rental car",
      "offers": "{{ADD_OFFER_ONLY_WHEN_VISIBLE_LIVE_PRICE_AND_AVAILABILITY_EXIST}}"
    }
  ]
}</t>
  </si>
  <si>
    <t>https://naxos-carrentals.com/it/fleet/cars/peugeot-208</t>
  </si>
  <si>
    <t>χρειάζεται αυτοκίνητο στη Νάξο;</t>
  </si>
  <si>
    <t>{
  "@context": "https://schema.org",
  "@graph": [
    {
      "@type": "WebPage",
      "@id": "https://naxos-carrentals.com/en/fleet/cars/fiat-500-cabrio#webpage",
      "url": "https://naxos-carrentals.com/en/fleet/cars/fiat-500-cabrio",
      "name": "Fiat 500 Cabrio rental in Naxos",
      "description": "See Fiat 500 Cabrio rental details for Naxos: 4 seats, manual transmission, petrol and 3 doors. Check live availability.",
      "inLanguage": "en",
      "isPartOf": {
        "@id": "https://naxos-carrentals.com/#website"
      }
    },
    {
      "@type": "BreadcrumbList",
      "@id": "https://naxos-carrentals.com/en/fleet/cars/fiat-500-cabrio#breadcrumb",
      "itemListElement": [
        {
          "@type": "ListItem",
          "position": 1,
          "name": "Home",
          "item": "https://naxos-carrentals.com/en"
        },
        {
          "@type": "ListItem",
          "position": 2,
          "name": "Fiat 500 Cabrio rental in Naxos",
          "item": "https://naxos-carrentals.com/en/fleet/cars/fiat-500-cabrio"
        }
      ]
    },
    {
      "@type": [
        "Product",
        "Car"
      ],
      "@id": "https://naxos-carrentals.com/en/fleet/cars/fiat-500-cabrio#vehicle",
      "name": "Fiat 500 Cabrio",
      "description": "See Fiat 500 Cabrio rental details for Naxos: 4 seats, manual transmission, petrol and 3 doors. Check live availability.",
      "image": [
        "{{1x1_IMAGE_URL}}",
        "{{4x3_IMAGE_URL}}",
        "{{16x9_IMAGE_URL}}"
      ],
      "brand": {
        "@type": "Brand",
        "name": "Fiat 500 Cabrio"
      },
      "category": "Rental car",
      "offers": "{{ADD_OFFER_ONLY_WHEN_VISIBLE_LIVE_PRICE_AND_AVAILABILITY_EXIST}}"
    }
  ]
}</t>
  </si>
  <si>
    <t>{
  "@context": "https://schema.org",
  "@graph": [
    {
      "@type": "WebPage",
      "@id": "https://naxos-carrentals.com/el/fleet/cars/fiat-500-cabrio#webpage",
      "url": "https://naxos-carrentals.com/el/fleet/cars/fiat-500-cabrio",
      "name": "Fiat 500 Cabrio για ενοικίαση στη Νάξο",
      "description": "Δείτε Fiat 500 Cabrio για ενοικίαση στη Νάξο: 4 θέσεις, χειροκίνητο, βενζίνη και 3 πόρτες. Ελέγξτε διαθεσιμότητα.",
      "inLanguage": "el",
      "isPartOf": {
        "@id": "https://naxos-carrentals.com/#website"
      }
    },
    {
      "@type": "BreadcrumbList",
      "@id": "https://naxos-carrentals.com/el/fleet/cars/fiat-500-cabrio#breadcrumb",
      "itemListElement": [
        {
          "@type": "ListItem",
          "position": 1,
          "name": "Αρχική",
          "item": "https://naxos-carrentals.com/el"
        },
        {
          "@type": "ListItem",
          "position": 2,
          "name": "Fiat 500 Cabrio για ενοικίαση στη Νάξο",
          "item": "https://naxos-carrentals.com/el/fleet/cars/fiat-500-cabrio"
        }
      ]
    },
    {
      "@type": [
        "Product",
        "Car"
      ],
      "@id": "https://naxos-carrentals.com/el/fleet/cars/fiat-500-cabrio#vehicle",
      "name": "Fiat 500 Cabrio",
      "description": "Δείτε Fiat 500 Cabrio για ενοικίαση στη Νάξο: 4 θέσεις, χειροκίνητο, βενζίνη και 3 πόρτες. Ελέγξτε διαθεσιμότητα.",
      "image": [
        "{{1x1_IMAGE_URL}}",
        "{{4x3_IMAGE_URL}}",
        "{{16x9_IMAGE_URL}}"
      ],
      "brand": {
        "@type": "Brand",
        "name": "Fiat 500 Cabrio"
      },
      "category": "Rental car",
      "offers": "{{ADD_OFFER_ONLY_WHEN_VISIBLE_LIVE_PRICE_AND_AVAILABILITY_EXIST}}"
    }
  ]
}</t>
  </si>
  <si>
    <t>παραλαβή αυτοκινήτου στη Χώρα</t>
  </si>
  <si>
    <t>{
  "@context": "https://schema.org",
  "@graph": [
    {
      "@type": "WebPage",
      "@id": "https://naxos-carrentals.com/en/fleet/cars/citroen-c3#webpage",
      "url": "https://naxos-carrentals.com/en/fleet/cars/citroen-c3",
      "name": "Citroën C3 rental in Naxos",
      "description": "See Citroën C3 rental details for Naxos: 5 seats, automatic transmission, petrol and 5 doors. Check live availability.",
      "inLanguage": "en",
      "isPartOf": {
        "@id": "https://naxos-carrentals.com/#website"
      }
    },
    {
      "@type": "BreadcrumbList",
      "@id": "https://naxos-carrentals.com/en/fleet/cars/citroen-c3#breadcrumb",
      "itemListElement": [
        {
          "@type": "ListItem",
          "position": 1,
          "name": "Home",
          "item": "https://naxos-carrentals.com/en"
        },
        {
          "@type": "ListItem",
          "position": 2,
          "name": "Citroën C3 rental in Naxos",
          "item": "https://naxos-carrentals.com/en/fleet/cars/citroen-c3"
        }
      ]
    },
    {
      "@type": [
        "Product",
        "Car"
      ],
      "@id": "https://naxos-carrentals.com/en/fleet/cars/citroen-c3#vehicle",
      "name": "Citroën C3",
      "description": "See Citroën C3 rental details for Naxos: 5 seats, automatic transmission, petrol and 5 doors. Check live availability.",
      "image": [
        "{{1x1_IMAGE_URL}}",
        "{{4x3_IMAGE_URL}}",
        "{{16x9_IMAGE_URL}}"
      ],
      "brand": {
        "@type": "Brand",
        "name": "Citroën C3"
      },
      "category": "Rental car",
      "offers": "{{ADD_OFFER_ONLY_WHEN_VISIBLE_LIVE_PRICE_AND_AVAILABILITY_EXIST}}"
    }
  ]
}</t>
  </si>
  <si>
    <t>Premium Next-Generation Redesign Blueprint</t>
  </si>
  <si>
    <t>{
  "@context": "https://schema.org",
  "@graph": [
    {
      "@type": "WebPage",
      "@id": "https://naxos-carrentals.com/el/fleet/cars/citroen-c3#webpage",
      "url": "https://naxos-carrentals.com/el/fleet/cars/citroen-c3",
      "name": "Citroën C3 για ενοικίαση στη Νάξο",
      "description": "Δείτε Citroën C3 για ενοικίαση στη Νάξο: 5 θέσεις, αυτόματο, βενζίνη και 5 πόρτες. Ελέγξτε διαθεσιμότητα.",
      "inLanguage": "el",
      "isPartOf": {
        "@id": "https://naxos-carrentals.com/#website"
      }
    },
    {
      "@type": "BreadcrumbList",
      "@id": "https://naxos-carrentals.com/el/fleet/cars/citroen-c3#breadcrumb",
      "itemListElement": [
        {
          "@type": "ListItem",
          "position": 1,
          "name": "Αρχική",
          "item": "https://naxos-carrentals.com/el"
        },
        {
          "@type": "ListItem",
          "position": 2,
          "name": "Citroën C3 για ενοικίαση στη Νάξο",
          "item": "https://naxos-carrentals.com/el/fleet/cars/citroen-c3"
        }
      ]
    },
    {
      "@type": [
        "Product",
        "Car"
      ],
      "@id": "https://naxos-carrentals.com/el/fleet/cars/citroen-c3#vehicle",
      "name": "Citroën C3",
      "description": "Δείτε Citroën C3 για ενοικίαση στη Νάξο: 5 θέσεις, αυτόματο, βενζίνη και 5 πόρτες. Ελέγξτε διαθεσιμότητα.",
      "image": [
        "{{1x1_IMAGE_URL}}",
        "{{4x3_IMAGE_URL}}",
        "{{16x9_IMAGE_URL}}"
      ],
      "brand": {
        "@type": "Brand",
        "name": "Citroën C3"
      },
      "category": "Rental car",
      "offers": "{{ADD_OFFER_ONLY_WHEN_VISIBLE_LIVE_PRICE_AND_AVAILABILITY_EXIST}}"
    }
  ]
}</t>
  </si>
  <si>
    <t>Remarkable means clearer decisions, verified trust and a memorable Naxos identity—not more visual effects.</t>
  </si>
  <si>
    <t>Surface</t>
  </si>
  <si>
    <t>Component</t>
  </si>
  <si>
    <t>https://naxos-carrentals.com/it/fleet/cars/suzuki-jimny</t>
  </si>
  <si>
    <t>{
  "@context": "https://schema.org",
  "@graph": [
    {
      "@type": "WebPage",
      "@id": "https://naxos-carrentals.com/en/fleet/cars/kia-picanto#webpage",
      "url": "https://naxos-carrentals.com/en/fleet/cars/kia-picanto",
      "name": "Kia Picanto rental in Naxos",
      "description": "See Kia Picanto rental details for Naxos: 5 seats, automatic transmission, petrol and 5 doors. Check live availability.",
      "inLanguage": "en",
      "isPartOf": {
        "@id": "https://naxos-carrentals.com/#website"
      }
    },
    {
      "@type": "BreadcrumbList",
      "@id": "https://naxos-carrentals.com/en/fleet/cars/kia-picanto#breadcrumb",
      "itemListElement": [
        {
          "@type": "ListItem",
          "position": 1,
          "name": "Home",
          "item": "https://naxos-carrentals.com/en"
        },
        {
          "@type": "ListItem",
          "position": 2,
          "name": "Kia Picanto rental in Naxos",
          "item": "https://naxos-carrentals.com/en/fleet/cars/kia-picanto"
        }
      ]
    },
    {
      "@type": [
        "Product",
        "Car"
      ],
      "@id": "https://naxos-carrentals.com/en/fleet/cars/kia-picanto#vehicle",
      "name": "Kia Picanto",
      "description": "See Kia Picanto rental details for Naxos: 5 seats, automatic transmission, petrol and 5 doors. Check live availability.",
      "image": [
        "{{1x1_IMAGE_URL}}",
        "{{4x3_IMAGE_URL}}",
        "{{16x9_IMAGE_URL}}"
      ],
      "brand": {
        "@type": "Brand",
        "name": "Kia Picanto"
      },
      "category": "Rental car",
      "offers": "{{ADD_OFFER_ONLY_WHEN_VISIBLE_LIVE_PRICE_AND_AVAILABILITY_EXIST}}"
    }
  ]
}</t>
  </si>
  <si>
    <t>Exact specification</t>
  </si>
  <si>
    <t>Implementation rule</t>
  </si>
  <si>
    <t>Positioning</t>
  </si>
  <si>
    <t>Core idea</t>
  </si>
  <si>
    <t>Naxos, on your terms</t>
  </si>
  <si>
    <t>Local certainty + premium island freedom. Avoid generic luxury language and unsupported superlatives.</t>
  </si>
  <si>
    <t>{
  "@context": "https://schema.org",
  "@graph": [
    {
      "@type": "WebPage",
      "@id": "https://naxos-carrentals.com/el/fleet/cars/kia-picanto#webpage",
      "url": "https://naxos-carrentals.com/el/fleet/cars/kia-picanto",
      "name": "Kia Picanto για ενοικίαση στη Νάξο",
      "description": "Δείτε Kia Picanto για ενοικίαση στη Νάξο: 5 θέσεις, αυτόματο, βενζίνη και 5 πόρτες. Ελέγξτε διαθεσιμότητα.",
      "inLanguage": "el",
      "isPartOf": {
        "@id": "https://naxos-carrentals.com/#website"
      }
    },
    {
      "@type": "BreadcrumbList",
      "@id": "https://naxos-carrentals.com/el/fleet/cars/kia-picanto#breadcrumb",
      "itemListElement": [
        {
          "@type": "ListItem",
          "position": 1,
          "name": "Αρχική",
          "item": "https://naxos-carrentals.com/el"
        },
        {
          "@type": "ListItem",
          "position": 2,
          "name": "Kia Picanto για ενοικίαση στη Νάξο",
          "item": "https://naxos-carrentals.com/el/fleet/cars/kia-picanto"
        }
      ]
    },
    {
      "@type": [
        "Product",
        "Car"
      ],
      "@id": "https://naxos-carrentals.com/el/fleet/cars/kia-picanto#vehicle",
      "name": "Kia Picanto",
      "description": "Δείτε Kia Picanto για ενοικίαση στη Νάξο: 5 θέσεις, αυτόματο, βενζίνη και 5 πόρτες. Ελέγξτε διαθεσιμότητα.",
      "image": [
        "{{1x1_IMAGE_URL}}",
        "{{4x3_IMAGE_URL}}",
        "{{16x9_IMAGE_URL}}"
      ],
      "brand": {
        "@type": "Brand",
        "name": "Kia Picanto"
      },
      "category": "Rental car",
      "offers": "{{ADD_OFFER_ONLY_WHEN_VISIBLE_LIVE_PRICE_AND_AVAILABILITY_EXIST}}"
    }
  ]
}</t>
  </si>
  <si>
    <t>Visual</t>
  </si>
  <si>
    <t>Palette</t>
  </si>
  <si>
    <t>Aegean Navy #071B2A · Electric Cyan #12BCEB · Sunset Orange #FF6B35 · Limestone #F5F0E8</t>
  </si>
  <si>
    <t>Use navy for authority, cyan for booking actions, orange only for urgency/highlights and limestone for editorial calm.</t>
  </si>
  <si>
    <t>Typography</t>
  </si>
  <si>
    <t>Display: Manrope or Geist Sans 700 · Body: Inter/Geist 400–500 · Greek tested</t>
  </si>
  <si>
    <t>{
  "@context": "https://schema.org",
  "@graph": [
    {
      "@type": "WebPage",
      "@id": "https://naxos-carrentals.com/en/fleet/cars/peugeot-208#webpage",
      "url": "https://naxos-carrentals.com/en/fleet/cars/peugeot-208",
      "name": "Peugeot 208 rental in Naxos",
      "description": "See Peugeot 208 rental details for Naxos: 5 seats, automatic transmission, petrol and 5 doors. Check live availability.",
      "inLanguage": "en",
      "isPartOf": {
        "@id": "https://naxos-carrentals.com/#website"
      }
    },
    {
      "@type": "BreadcrumbList",
      "@id": "https://naxos-carrentals.com/en/fleet/cars/peugeot-208#breadcrumb",
      "itemListElement": [
        {
          "@type": "ListItem",
          "position": 1,
          "name": "Home",
          "item": "https://naxos-carrentals.com/en"
        },
        {
          "@type": "ListItem",
          "position": 2,
          "name": "Peugeot 208 rental in Naxos",
          "item": "https://naxos-carrentals.com/en/fleet/cars/peugeot-208"
        }
      ]
    },
    {
      "@type": [
        "Product",
        "Car"
      ],
      "@id": "https://naxos-carrentals.com/en/fleet/cars/peugeot-208#vehicle",
      "name": "Peugeot 208",
      "description": "See Peugeot 208 rental details for Naxos: 5 seats, automatic transmission, petrol and 5 doors. Check live availability.",
      "image": [
        "{{1x1_IMAGE_URL}}",
        "{{4x3_IMAGE_URL}}",
        "{{16x9_IMAGE_URL}}"
      ],
      "brand": {
        "@type": "Brand",
        "name": "Peugeot 208"
      },
      "category": "Rental car",
      "offers": "{{ADD_OFFER_ONLY_WHEN_VISIBLE_LIVE_PRICE_AND_AVAILABILITY_EXIST}}"
    }
  ]
}</t>
  </si>
  <si>
    <t>H1 64/68 desktop, 40/44 mobile; body 18/30; avoid letterspaced all-caps for long labels.</t>
  </si>
  <si>
    <t>Photography</t>
  </si>
  <si>
    <t>Original Naxos routes, handover moments, real fleet, people and luggage scale</t>
  </si>
  <si>
    <t>No generic stock hero. Preferred image crops 1:1, 4:3 and 16:9; consistent vehicle angles and background.</t>
  </si>
  <si>
    <t>1. Utility header</t>
  </si>
  <si>
    <t>{
  "@context": "https://schema.org",
  "@graph": [
    {
      "@type": "WebPage",
      "@id": "https://naxos-carrentals.com/el/fleet/cars/peugeot-208#webpage",
      "url": "https://naxos-carrentals.com/el/fleet/cars/peugeot-208",
      "name": "Peugeot 208 για ενοικίαση στη Νάξο",
      "description": "Δείτε Peugeot 208 για ενοικίαση στη Νάξο: 5 θέσεις, αυτόματο, βενζίνη και 5 πόρτες. Ελέγξτε διαθεσιμότητα.",
      "inLanguage": "el",
      "isPartOf": {
        "@id": "https://naxos-carrentals.com/#website"
      }
    },
    {
      "@type": "BreadcrumbList",
      "@id": "https://naxos-carrentals.com/el/fleet/cars/peugeot-208#breadcrumb",
      "itemListElement": [
        {
          "@type": "ListItem",
          "position": 1,
          "name": "Αρχική",
          "item": "https://naxos-carrentals.com/el"
        },
        {
          "@type": "ListItem",
          "position": 2,
          "name": "Peugeot 208 για ενοικίαση στη Νάξο",
          "item": "https://naxos-carrentals.com/el/fleet/cars/peugeot-208"
        }
      ]
    },
    {
      "@type": [
        "Product",
        "Car"
      ],
      "@id": "https://naxos-carrentals.com/el/fleet/cars/peugeot-208#vehicle",
      "name": "Peugeot 208",
      "description": "Δείτε Peugeot 208 για ενοικίαση στη Νάξο: 5 θέσεις, αυτόματο, βενζίνη και 5 πόρτες. Ελέγξτε διαθεσιμότητα.",
      "image": [
        "{{1x1_IMAGE_URL}}",
        "{{4x3_IMAGE_URL}}",
        "{{16x9_IMAGE_URL}}"
      ],
      "brand": {
        "@type": "Brand",
        "name": "Peugeot 208"
      },
      "category": "Rental car",
      "offers": "{{ADD_OFFER_ONLY_WHEN_VISIBLE_LIVE_PRICE_AND_AVAILABILITY_EXIST}}"
    }
  ]
}</t>
  </si>
  <si>
    <t>Phone · WhatsApp · languages · verified support hours</t>
  </si>
  <si>
    <t>Keep compact; no duplicated nav labels.</t>
  </si>
  <si>
    <t>2. Primary header</t>
  </si>
  <si>
    <t>Logo · Cars · Locations · Naxos Guide · Help · Book</t>
  </si>
  <si>
    <t>{
  "@context": "https://schema.org",
  "@graph": [
    {
      "@type": "WebPage",
      "@id": "https://naxos-carrentals.com/en/fleet/cars/suzuki-jimny#webpage",
      "url": "https://naxos-carrentals.com/en/fleet/cars/suzuki-jimny",
      "name": "Suzuki Jimny 4×4 rental in Naxos",
      "description": "See Suzuki Jimny 4×4 rental details for Naxos: 4 seats, manual transmission, petrol and 3 doors. Check live availability.",
      "inLanguage": "en",
      "isPartOf": {
        "@id": "https://naxos-carrentals.com/#website"
      }
    },
    {
      "@type": "BreadcrumbList",
      "@id": "https://naxos-carrentals.com/en/fleet/cars/suzuki-jimny#breadcrumb",
      "itemListElement": [
        {
          "@type": "ListItem",
          "position": 1,
          "name": "Home",
          "item": "https://naxos-carrentals.com/en"
        },
        {
          "@type": "ListItem",
          "position": 2,
          "name": "Suzuki Jimny 4×4 rental in Naxos",
          "item": "https://naxos-carrentals.com/en/fleet/cars/suzuki-jimny"
        }
      ]
    },
    {
      "@type": [
        "Product",
        "Car"
      ],
      "@id": "https://naxos-carrentals.com/en/fleet/cars/suzuki-jimny#vehicle",
      "name": "Suzuki Jimny 4×4",
      "description": "See Suzuki Jimny 4×4 rental details for Naxos: 4 seats, manual transmission, petrol and 3 doors. Check live availability.",
      "image": [
        "{{1x1_IMAGE_URL}}",
        "{{4x3_IMAGE_URL}}",
        "{{16x9_IMAGE_URL}}"
      ],
      "brand": {
        "@type": "Brand",
        "name": "Suzuki Jimny 4×4"
      },
      "category": "Rental car",
      "offers": "{{ADD_OFFER_ONLY_WHEN_VISIBLE_LIVE_PRICE_AND_AVAILABILITY_EXIST}}"
    }
  ]
}</t>
  </si>
  <si>
    <t>https://naxos-carrentals.com/it/fleet/cars/toyota-aygo</t>
  </si>
  <si>
    <t>Single-level mobile menu; sticky Book/Check availability CTA.</t>
  </si>
  <si>
    <t>3. Hero</t>
  </si>
  <si>
    <t>H1 + 2-line value proposition + embedded date/pickup search</t>
  </si>
  <si>
    <t>Desktop two-column 55/45. Mobile image 42vh then four-field booking drawer. Current generic CTA is insufficient.</t>
  </si>
  <si>
    <t>4. Proof bar</t>
  </si>
  <si>
    <t>{
  "@context": "https://schema.org",
  "@graph": [
    {
      "@type": "WebPage",
      "@id": "https://naxos-carrentals.com/el/fleet/cars/suzuki-jimny#webpage",
      "url": "https://naxos-carrentals.com/el/fleet/cars/suzuki-jimny",
      "name": "Suzuki Jimny 4×4 για ενοικίαση στη Νάξο",
      "description": "Δείτε Suzuki Jimny 4×4 για ενοικίαση στη Νάξο: 4 θέσεις, χειροκίνητο, βενζίνη και 3 πόρτες. Ελέγξτε διαθεσιμότητα.",
      "inLanguage": "el",
      "isPartOf": {
        "@id": "https://naxos-carrentals.com/#website"
      }
    },
    {
      "@type": "BreadcrumbList",
      "@id": "https://naxos-carrentals.com/el/fleet/cars/suzuki-jimny#breadcrumb",
      "itemListElement": [
        {
          "@type": "ListItem",
          "position": 1,
          "name": "Αρχική",
          "item": "https://naxos-carrentals.com/el"
        },
        {
          "@type": "ListItem",
          "position": 2,
          "name": "Suzuki Jimny 4×4 για ενοικίαση στη Νάξο",
          "item": "https://naxos-carrentals.com/el/fleet/cars/suzuki-jimny"
        }
      ]
    },
    {
      "@type": [
        "Product",
        "Car"
      ],
      "@id": "https://naxos-carrentals.com/el/fleet/cars/suzuki-jimny#vehicle",
      "name": "Suzuki Jimny 4×4",
      "description": "Δείτε Suzuki Jimny 4×4 για ενοικίαση στη Νάξο: 4 θέσεις, χειροκίνητο, βενζίνη και 3 πόρτες. Ελέγξτε διαθεσιμότητα.",
      "image": [
        "{{1x1_IMAGE_URL}}",
        "{{4x3_IMAGE_URL}}",
        "{{16x9_IMAGE_URL}}"
      ],
      "brand": {
        "@type": "Brand",
        "name": "Suzuki Jimny 4×4"
      },
      "category": "Rental car",
      "offers": "{{ADD_OFFER_ONLY_WHEN_VISIBLE_LIVE_PRICE_AND_AVAILABILITY_EXIST}}"
    }
  ]
}</t>
  </si>
  <si>
    <t>Verified rating/profile · exact inclusions · secure booking · local support</t>
  </si>
  <si>
    <t>Render only approved, attributable facts. Each proof links to its source or policy.</t>
  </si>
  <si>
    <t>5. Vehicle finder</t>
  </si>
  <si>
    <t>Passenger · luggage · automatic · trip type → 3 recommended cars</t>
  </si>
  <si>
    <t>Explain why each result fits; carry dates into booking.</t>
  </si>
  <si>
    <t>{
  "@context": "https://schema.org",
  "@graph": [
    {
      "@type": "WebPage",
      "@id": "https://naxos-carrentals.com/en/fleet/cars/dacia-duster#webpage",
      "url": "https://naxos-carrentals.com/en/fleet/cars/dacia-duster",
      "name": "Dacia Duster rental in Naxos",
      "description": "See Dacia Duster rental details for Naxos: {{VERIFY}} seats, {{verify}} transmission, {{verify}} and {{VERIFY}} doors. Check live availability.",
      "inLanguage": "en",
      "isPartOf": {
        "@id": "https://naxos-carrentals.com/#website"
      }
    },
    {
      "@type": "BreadcrumbList",
      "@id": "https://naxos-carrentals.com/en/fleet/cars/dacia-duster#breadcrumb",
      "itemListElement": [
        {
          "@type": "ListItem",
          "position": 1,
          "name": "Home",
          "item": "https://naxos-carrentals.com/en"
        },
        {
          "@type": "ListItem",
          "position": 2,
          "name": "Dacia Duster rental in Naxos",
          "item": "https://naxos-carrentals.com/en/fleet/cars/dacia-duster"
        }
      ]
    },
    {
      "@type": [
        "Product",
        "Car"
      ],
      "@id": "https://naxos-carrentals.com/en/fleet/cars/dacia-duster#vehicle",
      "name": "Dacia Duster",
      "description": "See Dacia Duster rental details for Naxos: {{VERIFY}} seats, {{verify}} transmission, {{verify}} and {{VERIFY}} doors. Check live availability.",
      "image": [
        "{{1x1_IMAGE_URL}}",
        "{{4x3_IMAGE_URL}}",
        "{{16x9_IMAGE_URL}}"
      ],
      "brand": {
        "@type": "Brand",
        "name": "Dacia Duster"
      },
      "category": "Rental car",
      "offers": "{{ADD_OFFER_ONLY_WHEN_VISIBLE_LIVE_PRICE_AND_AVAILABILITY_EXIST}}"
    }
  ]
}</t>
  </si>
  <si>
    <t>6. Pickup map</t>
  </si>
  <si>
    <t>Port · Airport · Chora · Beach areas</t>
  </si>
  <si>
    <t>Interactive but server-rendered text links remain crawlable.</t>
  </si>
  <si>
    <t>7. Fleet cards</t>
  </si>
  <si>
    <t>Real images, 6 consistent specs, live status, total-price basis</t>
  </si>
  <si>
    <t>{
  "@context": "https://schema.org",
  "@graph": [
    {
      "@type": "WebPage",
      "@id": "https://naxos-carrentals.com/el/fleet/cars/dacia-duster#webpage",
      "url": "https://naxos-carrentals.com/el/fleet/cars/dacia-duster",
      "name": "Dacia Duster για ενοικίαση στη Νάξο",
      "description": "Δείτε Dacia Duster για ενοικίαση στη Νάξο: {{VERIFY}} θέσεις, {{verify}}, {{verify}} και {{VERIFY}} πόρτες. Ελέγξτε διαθεσιμότητα.",
      "inLanguage": "el",
      "isPartOf": {
        "@id": "https://naxos-carrentals.com/#website"
      }
    },
    {
      "@type": "BreadcrumbList",
      "@id": "https://naxos-carrentals.com/el/fleet/cars/dacia-duster#breadcrumb",
      "itemListElement": [
        {
          "@type": "ListItem",
          "position": 1,
          "name": "Αρχική",
          "item": "https://naxos-carrentals.com/el"
        },
        {
          "@type": "ListItem",
          "position": 2,
          "name": "Dacia Duster για ενοικίαση στη Νάξο",
          "item": "https://naxos-carrentals.com/el/fleet/cars/dacia-duster"
        }
      ]
    },
    {
      "@type": [
        "Product",
        "Car"
      ],
      "@id": "https://naxos-carrentals.com/el/fleet/cars/dacia-duster#vehicle",
      "name": "Dacia Duster",
      "description": "Δείτε Dacia Duster για ενοικίαση στη Νάξο: {{VERIFY}} θέσεις, {{verify}}, {{verify}} και {{VERIFY}} πόρτες. Ελέγξτε διαθεσιμότητα.",
      "image": [
        "{{1x1_IMAGE_URL}}",
        "{{4x3_IMAGE_URL}}",
        "{{16x9_IMAGE_URL}}"
      ],
      "brand": {
        "@type": "Brand",
        "name": "Dacia Duster"
      },
      "category": "Rental car",
      "offers": "{{ADD_OFFER_ONLY_WHEN_VISIBLE_LIVE_PRICE_AND_AVAILABILITY_EXIST}}"
    }
  ]
}</t>
  </si>
  <si>
    <t>https://naxos-carrentals.com/it/fleet/cars/toyota-rav4</t>
  </si>
  <si>
    <t>No mismatched model photos or generic description.</t>
  </si>
  <si>
    <t>8. Naxos planner</t>
  </si>
  <si>
    <t>Beach day · village loop · 3-day trip · no-car trip</t>
  </si>
  <si>
    <t>Editorial cards answer planning intent and link to vehicle categories.</t>
  </si>
  <si>
    <t>9. Terms made clear</t>
  </si>
  <si>
    <t>{
  "@context": "https://schema.org",
  "@graph": [
    {
      "@type": "WebPage",
      "@id": "https://naxos-carrentals.com/en/fleet/cars/toyota-rav4#webpage",
      "url": "https://naxos-carrentals.com/en/fleet/cars/toyota-rav4",
      "name": "Toyota RAV4 Hybrid rental in Naxos",
      "description": "See Toyota RAV4 Hybrid rental details for Naxos: {{VERIFY}} seats, {{verify}} transmission, hybrid and {{VERIFY}} doors. Check live availability.",
      "inLanguage": "en",
      "isPartOf": {
        "@id": "https://naxos-carrentals.com/#website"
      }
    },
    {
      "@type": "BreadcrumbList",
      "@id": "https://naxos-carrentals.com/en/fleet/cars/toyota-rav4#breadcrumb",
      "itemListElement": [
        {
          "@type": "ListItem",
          "position": 1,
          "name": "Home",
          "item": "https://naxos-carrentals.com/en"
        },
        {
          "@type": "ListItem",
          "position": 2,
          "name": "Toyota RAV4 Hybrid rental in Naxos",
          "item": "https://naxos-carrentals.com/en/fleet/cars/toyota-rav4"
        }
      ]
    },
    {
      "@type": [
        "Product",
        "Car"
      ],
      "@id": "https://naxos-carrentals.com/en/fleet/cars/toyota-rav4#vehicle",
      "name": "Toyota RAV4 Hybrid",
      "description": "See Toyota RAV4 Hybrid rental details for Naxos: {{VERIFY}} seats, {{verify}} transmission, hybrid and {{VERIFY}} doors. Check live availability.",
      "image": [
        "{{1x1_IMAGE_URL}}",
        "{{4x3_IMAGE_URL}}",
        "{{16x9_IMAGE_URL}}"
      ],
      "brand": {
        "@type": "Brand",
        "name": "Toyota RAV4 Hybrid"
      },
      "category": "Rental car",
      "offers": "{{ADD_OFFER_ONLY_WHEN_VISIBLE_LIVE_PRICE_AND_AVAILABILITY_EXIST}}"
    }
  ]
}</t>
  </si>
  <si>
    <t>Insurance · excess · deposit/payment · cancellation · fuel</t>
  </si>
  <si>
    <t>Plain-language summaries link to the signed terms.</t>
  </si>
  <si>
    <t>10. Reviews</t>
  </si>
  <si>
    <t>Real source, reviewer, date and disclosure</t>
  </si>
  <si>
    <t>Do not mark up self-serving LocalBusiness ratings for stars; never fabricate.</t>
  </si>
  <si>
    <t>{
  "@context": "https://schema.org",
  "@graph": [
    {
      "@type": "WebPage",
      "@id": "https://naxos-carrentals.com/el/fleet/cars/toyota-rav4#webpage",
      "url": "https://naxos-carrentals.com/el/fleet/cars/toyota-rav4",
      "name": "Toyota RAV4 Hybrid για ενοικίαση στη Νάξο",
      "description": "Δείτε Toyota RAV4 Hybrid για ενοικίαση στη Νάξο: {{VERIFY}} θέσεις, {{verify}}, υβριδικό και {{VERIFY}} πόρτες. Ελέγξτε διαθεσιμότητα.",
      "inLanguage": "el",
      "isPartOf": {
        "@id": "https://naxos-carrentals.com/#website"
      }
    },
    {
      "@type": "BreadcrumbList",
      "@id": "https://naxos-carrentals.com/el/fleet/cars/toyota-rav4#breadcrumb",
      "itemListElement": [
        {
          "@type": "ListItem",
          "position": 1,
          "name": "Αρχική",
          "item": "https://naxos-carrentals.com/el"
        },
        {
          "@type": "ListItem",
          "position": 2,
          "name": "Toyota RAV4 Hybrid για ενοικίαση στη Νάξο",
          "item": "https://naxos-carrentals.com/el/fleet/cars/toyota-rav4"
        }
      ]
    },
    {
      "@type": [
        "Product",
        "Car"
      ],
      "@id": "https://naxos-carrentals.com/el/fleet/cars/toyota-rav4#vehicle",
      "name": "Toyota RAV4 Hybrid",
      "description": "Δείτε Toyota RAV4 Hybrid για ενοικίαση στη Νάξο: {{VERIFY}} θέσεις, {{verify}}, υβριδικό και {{VERIFY}} πόρτες. Ελέγξτε διαθεσιμότητα.",
      "image": [
        "{{1x1_IMAGE_URL}}",
        "{{4x3_IMAGE_URL}}",
        "{{16x9_IMAGE_URL}}"
      ],
      "brand": {
        "@type": "Brand",
        "name": "Toyota RAV4 Hybrid"
      },
      "category": "Rental car",
      "offers": "{{ADD_OFFER_ONLY_WHEN_VISIBLE_LIVE_PRICE_AND_AVAILABILITY_EXIST}}"
    }
  ]
}</t>
  </si>
  <si>
    <t>11. Final booking dock</t>
  </si>
  <si>
    <t>Dates retained · chosen pickup · selected category · Check availability</t>
  </si>
  <si>
    <t>Sticky mobile dock, no modal obstruction, accessible close behavior.</t>
  </si>
  <si>
    <t>Guide template</t>
  </si>
  <si>
    <t>Hero</t>
  </si>
  <si>
    <t>Breadcrumb · category · H1 · direct answer · author/check date · hero map/photo</t>
  </si>
  <si>
    <t>Move source/licence note below the answer, not over the hero copy.</t>
  </si>
  <si>
    <t>{
  "@context": "https://schema.org",
  "@graph": [
    {
      "@type": "WebPage",
      "@id": "https://naxos-carrentals.com/en/fleet/cars/kia-sportage#webpage",
      "url": "https://naxos-carrentals.com/en/fleet/cars/kia-sportage",
      "name": "Kia Sportage rental in Naxos",
      "description": "See Kia Sportage rental details for Naxos: {{VERIFY}} seats, {{verify}} transmission, {{verify}} and {{VERIFY}} doors. Check live availability.",
      "inLanguage": "en",
      "isPartOf": {
        "@id": "https://naxos-carrentals.com/#website"
      }
    },
    {
      "@type": "BreadcrumbList",
      "@id": "https://naxos-carrentals.com/en/fleet/cars/kia-sportage#breadcrumb",
      "itemListElement": [
        {
          "@type": "ListItem",
          "position": 1,
          "name": "Home",
          "item": "https://naxos-carrentals.com/en"
        },
        {
          "@type": "ListItem",
          "position": 2,
          "name": "Kia Sportage rental in Naxos",
          "item": "https://naxos-carrentals.com/en/fleet/cars/kia-sportage"
        }
      ]
    },
    {
      "@type": [
        "Product",
        "Car"
      ],
      "@id": "https://naxos-carrentals.com/en/fleet/cars/kia-sportage#vehicle",
      "name": "Kia Sportage",
      "description": "See Kia Sportage rental details for Naxos: {{VERIFY}} seats, {{verify}} transmission, {{verify}} and {{VERIFY}} doors. Check live availability.",
      "image": [
        "{{1x1_IMAGE_URL}}",
        "{{4x3_IMAGE_URL}}",
        "{{16x9_IMAGE_URL}}"
      ],
      "brand": {
        "@type": "Brand",
        "name": "Kia Sportage"
      },
      "category": "Rental car",
      "offers": "{{ADD_OFFER_ONLY_WHEN_VISIBLE_LIVE_PRICE_AND_AVAILABILITY_EXIST}}"
    }
  ]
}</t>
  </si>
  <si>
    <t>Decision summary</t>
  </si>
  <si>
    <t>3–5 key takeaways + comparison table</t>
  </si>
  <si>
    <t>Answer-first layout for users and retrieval systems.</t>
  </si>
  <si>
    <t>Body</t>
  </si>
  <si>
    <t>Sticky TOC · scannable H2s · original photos/maps · route facts</t>
  </si>
  <si>
    <t>https://naxos-carrentals.com/it/fleet/collections/automatic</t>
  </si>
  <si>
    <t>One primary topic, evidence, exceptions and last-checked labels.</t>
  </si>
  <si>
    <t>Commercial bridge</t>
  </si>
  <si>
    <t>Recommended vehicle logic + contextual availability search</t>
  </si>
  <si>
    <t>Useful and restrained; do not interrupt every section.</t>
  </si>
  <si>
    <t>{
  "@context": "https://schema.org",
  "@graph": [
    {
      "@type": "WebPage",
      "@id": "https://naxos-carrentals.com/el/fleet/cars/kia-sportage#webpage",
      "url": "https://naxos-carrentals.com/el/fleet/cars/kia-sportage",
      "name": "Kia Sportage για ενοικίαση στη Νάξο",
      "description": "Δείτε Kia Sportage για ενοικίαση στη Νάξο: {{VERIFY}} θέσεις, {{verify}}, {{verify}} και {{VERIFY}} πόρτες. Ελέγξτε διαθεσιμότητα.",
      "inLanguage": "el",
      "isPartOf": {
        "@id": "https://naxos-carrentals.com/#website"
      }
    },
    {
      "@type": "BreadcrumbList",
      "@id": "https://naxos-carrentals.com/el/fleet/cars/kia-sportage#breadcrumb",
      "itemListElement": [
        {
          "@type": "ListItem",
          "position": 1,
          "name": "Αρχική",
          "item": "https://naxos-carrentals.com/el"
        },
        {
          "@type": "ListItem",
          "position": 2,
          "name": "Kia Sportage για ενοικίαση στη Νάξο",
          "item": "https://naxos-carrentals.com/el/fleet/cars/kia-sportage"
        }
      ]
    },
    {
      "@type": [
        "Product",
        "Car"
      ],
      "@id": "https://naxos-carrentals.com/el/fleet/cars/kia-sportage#vehicle",
      "name": "Kia Sportage",
      "description": "Δείτε Kia Sportage για ενοικίαση στη Νάξο: {{VERIFY}} θέσεις, {{verify}}, {{verify}} και {{VERIFY}} πόρτες. Ελέγξτε διαθεσιμότητα.",
      "image": [
        "{{1x1_IMAGE_URL}}",
        "{{4x3_IMAGE_URL}}",
        "{{16x9_IMAGE_URL}}"
      ],
      "brand": {
        "@type": "Brand",
        "name": "Kia Sportage"
      },
      "category": "Rental car",
      "offers": "{{ADD_OFFER_ONLY_WHEN_VISIBLE_LIVE_PRICE_AND_AVAILABILITY_EXIST}}"
    }
  ]
}</t>
  </si>
  <si>
    <t>Automatico Auto | Fast Motor Rental Naxos | Fast Motor Rental Naxos</t>
  </si>
  <si>
    <t>Vehicle template</t>
  </si>
  <si>
    <t>Above fold</t>
  </si>
  <si>
    <t>Automatico Auto · Noleggio auto a Naxos</t>
  </si>
  <si>
    <t>Gallery · model/category rule · 6 specs · dates/pickup · live total</t>
  </si>
  <si>
    <t>Product + Car schema only; Offer only when visible and valid.</t>
  </si>
  <si>
    <t>Automatico Auto</t>
  </si>
  <si>
    <t>{
  "@context": "https://schema.org",
  "@graph": [
    {
      "@type": "WebPage",
      "@id": "https://naxos-carrentals.com/en/fleet/cars/citroen-berlingo-7#webpage",
      "url": "https://naxos-carrentals.com/en/fleet/cars/citroen-berlingo-7",
      "name": "Citroën Berlingo 7-seater rental in Naxos",
      "description": "See Citroën Berlingo 7-seater rental details for Naxos: 7 seats, {{verify}} transmission, {{verify}} and {{VERIFY}} doors. Check live availability.",
      "inLanguage": "en",
      "isPartOf": {
        "@id": "https://naxos-carrentals.com/#website"
      }
    },
    {
      "@type": "BreadcrumbList",
      "@id": "https://naxos-carrentals.com/en/fleet/cars/citroen-berlingo-7#breadcrumb",
      "itemListElement": [
        {
          "@type": "ListItem",
          "position": 1,
          "name": "Home",
          "item": "https://naxos-carrentals.com/en"
        },
        {
          "@type": "ListItem",
          "position": 2,
          "name": "Citroën Berlingo 7-seater rental in Naxos",
          "item": "https://naxos-carrentals.com/en/fleet/cars/citroen-berlingo-7"
        }
      ]
    },
    {
      "@type": [
        "Product",
        "Car"
      ],
      "@id": "https://naxos-carrentals.com/en/fleet/cars/citroen-berlingo-7#vehicle",
      "name": "Citroën Berlingo 7-seater",
      "description": "See Citroën Berlingo 7-seater rental details for Naxos: 7 seats, {{verify}} transmission, {{verify}} and {{VERIFY}} doors. Check live availability.",
      "image": [
        "{{1x1_IMAGE_URL}}",
        "{{4x3_IMAGE_URL}}",
        "{{16x9_IMAGE_URL}}"
      ],
      "brand": {
        "@type": "Brand",
        "name": "Citroën Berlingo 7-seater"
      },
      "category": "Rental car",
      "offers": "{{ADD_OFFER_ONLY_WHEN_VISIBLE_LIVE_PRICE_AND_AVAILABILITY_EXIST}}"
    }
  ]
}</t>
  </si>
  <si>
    <t>Decision support</t>
  </si>
  <si>
    <t>Best for · luggage proof · route fit · included terms · alternatives</t>
  </si>
  <si>
    <t>Use measured facts and side-by-side alternatives.</t>
  </si>
  <si>
    <t>Performance</t>
  </si>
  <si>
    <t>Budgets</t>
  </si>
  <si>
    <t>LCP ≤2.5s · INP ≤200ms · CLS ≤0.10 at p75</t>
  </si>
  <si>
    <t>{
  "@context": "https://schema.org",
  "@graph": [
    {
      "@type": "WebPage",
      "@id": "https://naxos-carrentals.com/el/fleet/cars/citroen-berlingo-7#webpage",
      "url": "https://naxos-carrentals.com/el/fleet/cars/citroen-berlingo-7",
      "name": "Citroën Berlingo 7-seater για ενοικίαση στη Νάξο",
      "description": "Δείτε Citroën Berlingo 7-seater για ενοικίαση στη Νάξο: 7 θέσεις, {{verify}}, {{verify}} και {{VERIFY}} πόρτες. Ελέγξτε διαθεσιμότητα.",
      "inLanguage": "el",
      "isPartOf": {
        "@id": "https://naxos-carrentals.com/#website"
      }
    },
    {
      "@type": "BreadcrumbList",
      "@id": "https://naxos-carrentals.com/el/fleet/cars/citroen-berlingo-7#breadcrumb",
      "itemListElement": [
        {
          "@type": "ListItem",
          "position": 1,
          "name": "Αρχική",
          "item": "https://naxos-carrentals.com/el"
        },
        {
          "@type": "ListItem",
          "position": 2,
          "name": "Citroën Berlingo 7-seater για ενοικίαση στη Νάξο",
          "item": "https://naxos-carrentals.com/el/fleet/cars/citroen-berlingo-7"
        }
      ]
    },
    {
      "@type": [
        "Product",
        "Car"
      ],
      "@id": "https://naxos-carrentals.com/el/fleet/cars/citroen-berlingo-7#vehicle",
      "name": "Citroën Berlingo 7-seater",
      "description": "Δείτε Citroën Berlingo 7-seater για ενοικίαση στη Νάξο: 7 θέσεις, {{verify}}, {{verify}} και {{VERIFY}} πόρτες. Ελέγξτε διαθεσιμότητα.",
      "image": [
        "{{1x1_IMAGE_URL}}",
        "{{4x3_IMAGE_URL}}",
        "{{16x9_IMAGE_URL}}"
      ],
      "brand": {
        "@type": "Brand",
        "name": "Citroën Berlingo 7-seater"
      },
      "category": "Rental car",
      "offers": "{{ADD_OFFER_ONLY_WHEN_VISIBLE_LIVE_PRICE_AND_AVAILABILITY_EXIST}}"
    }
  ]
}</t>
  </si>
  <si>
    <t>Hero image ≤180KB AVIF/WebP, preload one hero, reserve media dimensions, third-party booking lazy until intent.</t>
  </si>
  <si>
    <t>Accessibility</t>
  </si>
  <si>
    <t>Baseline</t>
  </si>
  <si>
    <t>{
  "@context": "https://schema.org",
  "@graph": [
    {
      "@type": "WebPage",
      "@id": "https://naxos-carrentals.com/en/fleet/scooters#webpage",
      "url": "https://naxos-carrentals.com/en/fleet/scooters",
      "name": "Scooter rental in Naxos: availability and rules",
      "description": "Check whether scooter rental is currently offered in Naxos, which licence and safety rules apply, and compare a scooter with a car for your route.",
      "inLanguage": "en",
      "isPartOf": {
        "@id": "https://naxos-carrentals.com/#website"
      }
    },
    {
      "@type": "BreadcrumbList",
      "@id": "https://naxos-carrentals.com/en/fleet/scooters#breadcrumb",
      "itemListElement": [
        {
          "@type": "ListItem",
          "position": 1,
          "name": "Home",
          "item": "https://naxos-carrentals.com/en"
        },
        {
          "@type": "ListItem",
          "position": 2,
          "name": "Scooter rental in Naxos: availability and rules",
          "item": "https://naxos-carrentals.com/en/fleet/scooters"
        }
      ]
    }
  ]
}</t>
  </si>
  <si>
    <t>WCAG 2.2 AA; 44px targets; visible focus; reduced motion; Greek labels</t>
  </si>
  <si>
    <t>Contrast ≥4.5:1 body; form errors tied to fields; menu and booking usable by keyboard.</t>
  </si>
  <si>
    <t>Measurement</t>
  </si>
  <si>
    <t>Events</t>
  </si>
  <si>
    <t>view_vehicle · start_booking · select_pickup · quote_result · outbound_booking · whatsapp_click</t>
  </si>
  <si>
    <t>Pass locale, source URL, vehicle/category and non-sensitive campaign context; do not send personal data to analytics.</t>
  </si>
  <si>
    <t>DESKTOP HOMEPAGE WIREFRAME</t>
  </si>
  <si>
    <t>{
  "@context": "https://schema.org",
  "@graph": [
    {
      "@type": "WebPage",
      "@id": "https://naxos-carrentals.com/el/fleet/scooters#webpage",
      "url": "https://naxos-carrentals.com/el/fleet/scooters",
      "name": "Ενοικίαση scooter στη Νάξο: διαθεσιμότητα και κανόνες",
      "description": "Δείτε αν προσφέρεται σήμερα scooter στη Νάξο, ποιο δίπλωμα και κανόνες ισχύουν και πώς συγκρίνεται με αυτοκίνητο για τη διαδρομή σας.",
      "inLanguage": "el",
      "isPartOf": {
        "@id": "https://naxos-carrentals.com/#website"
      }
    },
    {
      "@type": "BreadcrumbList",
      "@id": "https://naxos-carrentals.com/el/fleet/scooters#breadcrumb",
      "itemListElement": [
        {
          "@type": "ListItem",
          "position": 1,
          "name": "Αρχική",
          "item": "https://naxos-carrentals.com/el"
        },
        {
          "@type": "ListItem",
          "position": 2,
          "name": "Ενοικίαση scooter στη Νάξο: διαθεσιμότητα και κανόνες",
          "item": "https://naxos-carrentals.com/el/fleet/scooters"
        }
      ]
    }
  ]
}</t>
  </si>
  <si>
    <t>UTILITY + PRIMARY NAV</t>
  </si>
  <si>
    <t>https://naxos-carrentals.com/it/fleet/collections/family-7-seater</t>
  </si>
  <si>
    <t>NAXOS VALUE
H1 + PROOF
ORIGINAL HERO</t>
  </si>
  <si>
    <t>BOOKING MODULE
DATES · PICKUP · DRIVER
CHECK AVAILABILITY</t>
  </si>
  <si>
    <t>Famiglie · 7 posti | Fast Motor Rental Naxos | Fast Motor Rental Naxos</t>
  </si>
  <si>
    <t>VERIFIED PROOF BAR</t>
  </si>
  <si>
    <t>Famiglie · 7 posti · Noleggio auto a Naxos</t>
  </si>
  <si>
    <t>VEHICLE FINDER + LIVE FLEET CARDS</t>
  </si>
  <si>
    <t>Famiglie · 7 posti</t>
  </si>
  <si>
    <t>PICKUP MAP</t>
  </si>
  <si>
    <t>NAXOS PLANNER</t>
  </si>
  <si>
    <t>TERMS MADE CLEAR + REAL REVIEWS</t>
  </si>
  <si>
    <t>FINAL BOOKING DOCK + FOOTER</t>
  </si>
  <si>
    <t>https://naxos-carrentals.com/it/fleet/collections/suv-4x4</t>
  </si>
  <si>
    <t>SUV &amp; 4×4 · Noleggio auto a Naxos</t>
  </si>
  <si>
    <t>Guide di guida a Naxos in auto: itinerari, villaggi di montagna, spiagge, parcheggi a Chora, regole stradali.</t>
  </si>
  <si>
    <t>Guide road trip a Naxos</t>
  </si>
  <si>
    <t>Dalle classiche per famiglie alla costa sud selvaggia.</t>
  </si>
  <si>
    <t>Spiagge di Naxos in auto: guida</t>
  </si>
  <si>
    <t>90-Day Recovery + Growth Plan</t>
  </si>
  <si>
    <t>Sequence protects existing demand first, then expands bilingual authority and conversion.</t>
  </si>
  <si>
    <t>Week</t>
  </si>
  <si>
    <t>A gestione familiare dal 2018</t>
  </si>
  <si>
    <t>Workstream</t>
  </si>
  <si>
    <t>Deliverable</t>
  </si>
  <si>
    <t>Why now</t>
  </si>
  <si>
    <t>Definition of done</t>
  </si>
  <si>
    <t>Owner</t>
  </si>
  <si>
    <t>Recovery</t>
  </si>
  <si>
    <t>Resolve /en/fleet/scooters</t>
  </si>
  <si>
    <t>If scooters are active, restore the exact URL with verified inventory; if not, 301 to a topical scooter-vs-car guide.</t>
  </si>
  <si>
    <t>Top GSC page no longer returns 200 · Target: 100 clicks / 2,800 impressions</t>
  </si>
  <si>
    <t>Owner inventory decision</t>
  </si>
  <si>
    <t>Sources, Constraints and Verification Gates</t>
  </si>
  <si>
    <t>No prices, availability, review counts, legal terms or business credentials were invented. Complete placeholders before publishing.</t>
  </si>
  <si>
    <t>Source / assumption</t>
  </si>
  <si>
    <t>Not started</t>
  </si>
  <si>
    <t>Indexation</t>
  </si>
  <si>
    <t>URL or file</t>
  </si>
  <si>
    <t>Rebuild sitemap coverage</t>
  </si>
  <si>
    <t>Include every 200, canonical, indexable guide/location/company page; exclude redirects and 404s; submit split sitemaps.</t>
  </si>
  <si>
    <t>60 of 92 GSC pages missing from sitemap · Target: 0 high-value GSC URLs missing</t>
  </si>
  <si>
    <t>Checked / period</t>
  </si>
  <si>
    <t>Developer</t>
  </si>
  <si>
    <t>Use in workbook</t>
  </si>
  <si>
    <t>Metadata</t>
  </si>
  <si>
    <t>Remove duplicated brand suffix</t>
  </si>
  <si>
    <t>Attached GSC workbook</t>
  </si>
  <si>
    <t>Change title template so page titles contain the brand once; replace generic short descriptions.</t>
  </si>
  <si>
    <t>93 audited URLs repeat the brand · Target: 0 duplicate-brand titles</t>
  </si>
  <si>
    <t>Developer + SEO</t>
  </si>
  <si>
    <t>https___naxos-carrentals.com_-Performance-on-Search-2026-08-22.xlsx</t>
  </si>
  <si>
    <t>Guida completa ai prezzi per il noleggιο auto a Naxos nel 2026.</t>
  </si>
  <si>
    <t>Search type Web; last 3 months; daily data 2026-06-14 to 2026-08-20</t>
  </si>
  <si>
    <t>Redirects</t>
  </si>
  <si>
    <t>Primary performance source</t>
  </si>
  <si>
    <t>Restore mismatched winning guides</t>
  </si>
  <si>
    <t>Reviews→About and Port-vs-Airport→Airport are intent mismatches. Restore or redirect to a genuinely equivalent page.</t>
  </si>
  <si>
    <t>Legacy GSC demand lands on mismatched content · Target: All redirects topically equivalent</t>
  </si>
  <si>
    <t>Live homepage</t>
  </si>
  <si>
    <t>SEO + Developer</t>
  </si>
  <si>
    <t>Prezzi Noleggio Auto Naxos (2026): Costi Medi ed Evitare Costι Nascosti</t>
  </si>
  <si>
    <t>Rewrite top snippets</t>
  </si>
  <si>
    <t>Deploy the workbook titles/descriptions on pages with ≥25 impressions and positions ≤15.</t>
  </si>
  <si>
    <t>Strong position, weak CTR · Target: +1.0 percentage point organic CTR</t>
  </si>
  <si>
    <t>2026-08-22</t>
  </si>
  <si>
    <t>SEO</t>
  </si>
  <si>
    <t>Content and visual inspection</t>
  </si>
  <si>
    <t>200; allows public site; points to current sitemap.xml</t>
  </si>
  <si>
    <t>Fix /el content leakage</t>
  </si>
  <si>
    <t>Replace English title/meta/body on Greek destination pages; enforce locale QA in build.</t>
  </si>
  <si>
    <t>sitemap.xml</t>
  </si>
  <si>
    <t>Greek URLs show English metadata/content · Target: 100% Greek main content on /el</t>
  </si>
  <si>
    <t>https://naxos-carrentals.com/sitemap.xml</t>
  </si>
  <si>
    <t>Content + Developer</t>
  </si>
  <si>
    <t>105 URLs; many GSC pages absent</t>
  </si>
  <si>
    <t>Architecture</t>
  </si>
  <si>
    <t>Publish Naxos guide cluster</t>
  </si>
  <si>
    <t>Pillar /naxos plus beaches, villages, road trip, parking and driving pages with reciprocal links.</t>
  </si>
  <si>
    <t>200; very short; operational facts intentionally omitted</t>
  </si>
  <si>
    <t>Guide demand is fragmented · Target: All P0/P1 guide pages live and linked</t>
  </si>
  <si>
    <t>Content</t>
  </si>
  <si>
    <t>Google sitemap guidance</t>
  </si>
  <si>
    <t>Conversion</t>
  </si>
  <si>
    <t>https://developers.google.com/search/docs/crawling-indexing/sitemaps/build-sitemap</t>
  </si>
  <si>
    <t>Ship premium booking-first homepage</t>
  </si>
  <si>
    <t>Desktop booking module above fold; mobile sticky availability CTA; evidence bar and clear inclusions.</t>
  </si>
  <si>
    <t>Canonical, indexable URLs; meaningful lastmod</t>
  </si>
  <si>
    <t>Current hero has only a generic CTA · Target: Booking-start rate baseline + uplift</t>
  </si>
  <si>
    <t>Design + Developer</t>
  </si>
  <si>
    <t>Google canonical guidance</t>
  </si>
  <si>
    <t>https://developers.google.com/search/docs/crawling-indexing/consolidate-duplicate-urls</t>
  </si>
  <si>
    <t>Self-canonical and hreflang-compatible canonicalisation</t>
  </si>
  <si>
    <t>Schema</t>
  </si>
  <si>
    <t>Google multilingual guidance</t>
  </si>
  <si>
    <t>Deploy page-type JSON-LD</t>
  </si>
  <si>
    <t>https://developers.google.com/search/docs/advanced/crawling/managing-multi-regional-sites</t>
  </si>
  <si>
    <t>Use the exact graph templates in this workbook; remove Offer when no visible live offer exists.</t>
  </si>
  <si>
    <t>Current schema exists but page specificity is inconsistent · Target: 0 critical validation errors</t>
  </si>
  <si>
    <t>Separate URLs and reciprocal hreflang</t>
  </si>
  <si>
    <t>Entity</t>
  </si>
  <si>
    <t>Google LocalBusiness data</t>
  </si>
  <si>
    <t>Complete business evidence</t>
  </si>
  <si>
    <t>https://developers.google.com/search/docs/appearance/structured-data/local-business</t>
  </si>
  <si>
    <t>Add legal name, address, map pin, registration, team, support hours and verified profiles after approval.</t>
  </si>
  <si>
    <t>Trust facts are incomplete · Target: NAP and entity fields consistent</t>
  </si>
  <si>
    <t>Most specific visible business entity and validation</t>
  </si>
  <si>
    <t>Google Product snippet data</t>
  </si>
  <si>
    <t>https://developers.google.com/search/docs/appearance/structured-data/product-snippet</t>
  </si>
  <si>
    <t>Use Product + Car; offer/review must be visible and valid</t>
  </si>
  <si>
    <t>Google Search updates</t>
  </si>
  <si>
    <t>Restore comparison/payment/IDP guides</t>
  </si>
  <si>
    <t>https://developers.google.com/search/updates#removing-faq-rich-result</t>
  </si>
  <si>
    <t>Il centro storico è pedonale. Ecco dove si parcheggia.</t>
  </si>
  <si>
    <t>Publish direct answers, evidence, exceptions and owner-verified terms on the original ranking URLs.</t>
  </si>
  <si>
    <t>FAQ rich results removed; llms.txt has no ranking effect</t>
  </si>
  <si>
    <t>Existing demand already proven in GSC · Target: Top 10 for priority long tails</t>
  </si>
  <si>
    <t>Content + Legal/Owner QA</t>
  </si>
  <si>
    <t>llms.txt proposal</t>
  </si>
  <si>
    <t>Parcheggio a Naxos: dove e come</t>
  </si>
  <si>
    <t>https://llmstxt.org/</t>
  </si>
  <si>
    <t>Optional AI-readable discovery proposal</t>
  </si>
  <si>
    <t>Cyclades keyword playbook</t>
  </si>
  <si>
    <t>/Users/iconicgiorgio/Documents/Codex/2026-08-01/new-chat/outputs/cyclades_keyword_research_2026.xlsx</t>
  </si>
  <si>
    <t>2026-08-01</t>
  </si>
  <si>
    <t>Apply exact link map</t>
  </si>
  <si>
    <t>Workbook structure and fan-out operating model</t>
  </si>
  <si>
    <t>Add contextual links from guide→commercial and commercial→trust/booking pages without repetitive anchors.</t>
  </si>
  <si>
    <t>Competitor: Naxos Auto Rent</t>
  </si>
  <si>
    <t>Orphan and weak commercial paths · Target: Every priority URL ≥3 contextual inbound links</t>
  </si>
  <si>
    <t>Competitor: Golden Dove</t>
  </si>
  <si>
    <t>AI discovery</t>
  </si>
  <si>
    <t>Deploy llms files</t>
  </si>
  <si>
    <t>Competitor: Naction Rent a Car</t>
  </si>
  <si>
    <t>Replace current short file and 410 llms-full with the exact content in this workbook.</t>
  </si>
  <si>
    <t>llms-full returns 410 · Target: Both files return 200 text/plain</t>
  </si>
  <si>
    <t>Competitor: Wheelso Naxos</t>
  </si>
  <si>
    <t>Confronta i livelli di assicurazione per noleggio auto a Naxos: CDW base, CDW Full (€150) e Zero Franchigia. Coperture e depositi.</t>
  </si>
  <si>
    <t>Annotate and monitor releases</t>
  </si>
  <si>
    <t>Track deploy dates, page groups, CTR, clicks, booking starts and completed bookings by locale.</t>
  </si>
  <si>
    <t>Competitor: Discover Greece</t>
  </si>
  <si>
    <t>Rankings alone do not prove commercial gain · Target: Weekly page-group readout</t>
  </si>
  <si>
    <t>Assicurazione &amp; copertura</t>
  </si>
  <si>
    <t>Analytics</t>
  </si>
  <si>
    <t>Competitor: Naxos Insider</t>
  </si>
  <si>
    <t>Authority</t>
  </si>
  <si>
    <t>Local evidence and links</t>
  </si>
  <si>
    <t>Original on-island photography, route observations, tourism partnerships and attributable press/resources.</t>
  </si>
  <si>
    <t>Guide SERPs reward authority and evidence · Target: 5–10 quality local/editorial mentions</t>
  </si>
  <si>
    <t>PR + Content</t>
  </si>
  <si>
    <t>Scopri Naxos</t>
  </si>
  <si>
    <t>https://naxos-carrentals.com/it/naxos/beaches</t>
  </si>
  <si>
    <t>Spiagge &amp; villaggi</t>
  </si>
  <si>
    <t>Prezzi aggiornati 2026 per noleggio auto a Naxos. Chilometri illimitati, CDW base, tasse, seggiolino e secondo guidatore inclusi.</t>
  </si>
  <si>
    <t>Prezzi trasparenti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</si>
</sst>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yyyy-mm-dd"/>
  </numFmts>
  <fonts count="17">
    <font>
      <sz val="11.0"/>
      <color rgb="FF000000"/>
      <name val="Carlito"/>
      <scheme val="minor"/>
    </font>
    <font>
      <b/>
      <sz val="20.0"/>
      <color rgb="FFFFFFFF"/>
      <name val="Carlito"/>
    </font>
    <font>
      <sz val="10.0"/>
      <color rgb="FFD9EDF5"/>
      <name val="Carlito"/>
    </font>
    <font>
      <sz val="11.0"/>
      <color theme="1"/>
      <name val="Carlito"/>
    </font>
    <font>
      <b/>
      <sz val="10.0"/>
      <color rgb="FF071B2A"/>
      <name val="Carlito"/>
    </font>
    <font>
      <sz val="9.0"/>
      <color rgb="FF17222B"/>
      <name val="Carlito"/>
    </font>
    <font>
      <b/>
      <sz val="22.0"/>
      <color rgb="FFFFFFFF"/>
      <name val="Carlito"/>
    </font>
    <font>
      <b/>
      <sz val="9.0"/>
      <color rgb="FF647783"/>
      <name val="Carlito"/>
    </font>
    <font/>
    <font>
      <b/>
      <sz val="20.0"/>
      <color rgb="FF071B2A"/>
      <name val="Carlito"/>
    </font>
    <font>
      <b/>
      <sz val="12.0"/>
      <color rgb="FFFFFFFF"/>
      <name val="Carlito"/>
    </font>
    <font>
      <b/>
      <sz val="11.0"/>
      <color rgb="FF071B2A"/>
      <name val="Carlito"/>
    </font>
    <font>
      <sz val="10.0"/>
      <color rgb="FF17222B"/>
      <name val="Carlito"/>
    </font>
    <font>
      <color theme="1"/>
      <name val="Carlito"/>
      <scheme val="minor"/>
    </font>
    <font>
      <b/>
      <sz val="14.0"/>
      <color rgb="FFFFFFFF"/>
      <name val="Carlito"/>
    </font>
    <font>
      <b/>
      <sz val="11.0"/>
      <color rgb="FFFFFFFF"/>
      <name val="Carlito"/>
    </font>
    <font>
      <b/>
      <sz val="11.0"/>
      <color rgb="FF17222B"/>
      <name val="Carlito"/>
    </font>
  </fonts>
  <fills count="13">
    <fill>
      <patternFill patternType="none"/>
    </fill>
    <fill>
      <patternFill patternType="lightGray"/>
    </fill>
    <fill>
      <patternFill patternType="solid">
        <fgColor rgb="FF071B2A"/>
        <bgColor rgb="FF071B2A"/>
      </patternFill>
    </fill>
    <fill>
      <patternFill patternType="solid">
        <fgColor rgb="FF0C2A3D"/>
        <bgColor rgb="FF0C2A3D"/>
      </patternFill>
    </fill>
    <fill>
      <patternFill patternType="solid">
        <fgColor rgb="FF12BCEB"/>
        <bgColor rgb="FF12BCEB"/>
      </patternFill>
    </fill>
    <fill>
      <patternFill patternType="solid">
        <fgColor rgb="FFF8FBFC"/>
        <bgColor rgb="FFF8FBFC"/>
      </patternFill>
    </fill>
    <fill>
      <patternFill patternType="solid">
        <fgColor rgb="FFDDF7FF"/>
        <bgColor rgb="FFDDF7FF"/>
      </patternFill>
    </fill>
    <fill>
      <patternFill patternType="solid">
        <fgColor rgb="FFC0392B"/>
        <bgColor rgb="FFC0392B"/>
      </patternFill>
    </fill>
    <fill>
      <patternFill patternType="solid">
        <fgColor rgb="FFFDECEA"/>
        <bgColor rgb="FFFDECEA"/>
      </patternFill>
    </fill>
    <fill>
      <patternFill patternType="solid">
        <fgColor rgb="FFE8F5EE"/>
        <bgColor rgb="FFE8F5EE"/>
      </patternFill>
    </fill>
    <fill>
      <patternFill patternType="solid">
        <fgColor rgb="FFF5F0E8"/>
        <bgColor rgb="FFF5F0E8"/>
      </patternFill>
    </fill>
    <fill>
      <patternFill patternType="solid">
        <fgColor rgb="FFEAF6FA"/>
        <bgColor rgb="FFEAF6FA"/>
      </patternFill>
    </fill>
    <fill>
      <patternFill patternType="solid">
        <fgColor rgb="FFFFF4D6"/>
        <bgColor rgb="FFFFF4D6"/>
      </patternFill>
    </fill>
  </fills>
  <borders count="24">
    <border/>
    <border>
      <right style="thin">
        <color rgb="FF9BDFF2"/>
      </right>
    </border>
    <border>
      <left style="thin">
        <color rgb="FF9BDFF2"/>
      </left>
      <right style="thin">
        <color rgb="FF9BDFF2"/>
      </right>
    </border>
    <border>
      <left style="thin">
        <color rgb="FF9BDFF2"/>
      </left>
    </border>
    <border>
      <bottom style="thin">
        <color rgb="FFE5ECEF"/>
      </bottom>
    </border>
    <border>
      <top style="thin">
        <color rgb="FFE5ECEF"/>
      </top>
      <bottom style="thin">
        <color rgb="FFE5ECEF"/>
      </bottom>
    </border>
    <border>
      <left style="thin">
        <color rgb="FFD6E0E5"/>
      </left>
      <top style="thin">
        <color rgb="FFD6E0E5"/>
      </top>
      <bottom style="thin">
        <color rgb="FFD6E0E5"/>
      </bottom>
    </border>
    <border>
      <top style="thin">
        <color rgb="FFD6E0E5"/>
      </top>
      <bottom style="thin">
        <color rgb="FFD6E0E5"/>
      </bottom>
    </border>
    <border>
      <right style="thin">
        <color rgb="FFD6E0E5"/>
      </right>
      <top style="thin">
        <color rgb="FFD6E0E5"/>
      </top>
      <bottom style="thin">
        <color rgb="FFD6E0E5"/>
      </bottom>
    </border>
    <border>
      <left style="thin">
        <color rgb="FFD6E0E5"/>
      </left>
      <top style="thin">
        <color rgb="FFD6E0E5"/>
      </top>
    </border>
    <border>
      <top style="thin">
        <color rgb="FFD6E0E5"/>
      </top>
    </border>
    <border>
      <right style="thin">
        <color rgb="FFD6E0E5"/>
      </right>
      <top style="thin">
        <color rgb="FFD6E0E5"/>
      </top>
    </border>
    <border>
      <left style="thin">
        <color rgb="FFD6E0E5"/>
      </left>
      <bottom style="thin">
        <color rgb="FFD6E0E5"/>
      </bottom>
    </border>
    <border>
      <bottom style="thin">
        <color rgb="FFD6E0E5"/>
      </bottom>
    </border>
    <border>
      <right style="thin">
        <color rgb="FFD6E0E5"/>
      </right>
      <bottom style="thin">
        <color rgb="FFD6E0E5"/>
      </bottom>
    </border>
    <border>
      <bottom style="thin">
        <color rgb="FFF4C7C3"/>
      </bottom>
    </border>
    <border>
      <top style="thin">
        <color rgb="FFF4C7C3"/>
      </top>
      <bottom style="thin">
        <color rgb="FFF4C7C3"/>
      </bottom>
    </border>
    <border>
      <top style="thin">
        <color rgb="FFF4C7C3"/>
      </top>
    </border>
    <border>
      <bottom style="thin">
        <color rgb="FFCDE7D7"/>
      </bottom>
    </border>
    <border>
      <top style="thin">
        <color rgb="FFCDE7D7"/>
      </top>
      <bottom style="thin">
        <color rgb="FFCDE7D7"/>
      </bottom>
    </border>
    <border>
      <top style="thin">
        <color rgb="FFCDE7D7"/>
      </top>
    </border>
    <border>
      <top style="thin">
        <color rgb="FFE5ECEF"/>
      </top>
    </border>
    <border>
      <left style="thin">
        <color rgb="FFD6E0E5"/>
      </left>
    </border>
    <border>
      <right style="thin">
        <color rgb="FFD6E0E5"/>
      </righ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vertical="top"/>
    </xf>
    <xf borderId="0" fillId="3" fontId="2" numFmtId="0" xfId="0" applyAlignment="1" applyFill="1" applyFont="1">
      <alignment shrinkToFit="0" vertical="top" wrapText="1"/>
    </xf>
    <xf borderId="0" fillId="0" fontId="3" numFmtId="0" xfId="0" applyAlignment="1" applyFont="1">
      <alignment vertical="top"/>
    </xf>
    <xf borderId="1" fillId="4" fontId="4" numFmtId="0" xfId="0" applyAlignment="1" applyBorder="1" applyFill="1" applyFont="1">
      <alignment horizontal="left" readingOrder="0" shrinkToFit="0" vertical="top" wrapText="1"/>
    </xf>
    <xf borderId="2" fillId="4" fontId="4" numFmtId="0" xfId="0" applyAlignment="1" applyBorder="1" applyFill="1" applyFont="1">
      <alignment horizontal="left" readingOrder="0" shrinkToFit="0" vertical="top" wrapText="1"/>
    </xf>
    <xf borderId="3" fillId="4" fontId="4" numFmtId="0" xfId="0" applyAlignment="1" applyBorder="1" applyFill="1" applyFont="1">
      <alignment horizontal="left" readingOrder="0" shrinkToFit="0" vertical="top" wrapText="1"/>
    </xf>
    <xf borderId="4" fillId="5" fontId="5" numFmtId="0" xfId="0" applyAlignment="1" applyBorder="1" applyFill="1" applyFont="1">
      <alignment shrinkToFit="0" vertical="top" wrapText="1"/>
    </xf>
    <xf borderId="4" fillId="5" fontId="5" numFmtId="3" xfId="0" applyAlignment="1" applyBorder="1" applyFill="1" applyFont="1" applyNumberFormat="1">
      <alignment shrinkToFit="0" vertical="top" wrapText="1"/>
    </xf>
    <xf borderId="4" fillId="5" fontId="5" numFmtId="10" xfId="0" applyAlignment="1" applyBorder="1" applyFill="1" applyFont="1" applyNumberFormat="1">
      <alignment shrinkToFit="0" vertical="top" wrapText="1"/>
    </xf>
    <xf borderId="4" fillId="5" fontId="5" numFmtId="2" xfId="0" applyAlignment="1" applyBorder="1" applyFill="1" applyFont="1" applyNumberFormat="1">
      <alignment shrinkToFit="0" vertical="top" wrapText="1"/>
    </xf>
    <xf borderId="4" fillId="5" fontId="5" numFmtId="164" xfId="0" applyAlignment="1" applyBorder="1" applyFill="1" applyFont="1" applyNumberFormat="1">
      <alignment shrinkToFit="0" vertical="top" wrapText="1"/>
    </xf>
    <xf borderId="5" fillId="0" fontId="5" numFmtId="0" xfId="0" applyAlignment="1" applyBorder="1" applyFont="1">
      <alignment shrinkToFit="0" vertical="top" wrapText="1"/>
    </xf>
    <xf borderId="5" fillId="0" fontId="5" numFmtId="3" xfId="0" applyAlignment="1" applyBorder="1" applyFont="1" applyNumberFormat="1">
      <alignment shrinkToFit="0" vertical="top" wrapText="1"/>
    </xf>
    <xf borderId="5" fillId="0" fontId="5" numFmtId="10" xfId="0" applyAlignment="1" applyBorder="1" applyFont="1" applyNumberFormat="1">
      <alignment shrinkToFit="0" vertical="top" wrapText="1"/>
    </xf>
    <xf borderId="5" fillId="0" fontId="5" numFmtId="2" xfId="0" applyAlignment="1" applyBorder="1" applyFont="1" applyNumberFormat="1">
      <alignment shrinkToFit="0" vertical="top" wrapText="1"/>
    </xf>
    <xf borderId="5" fillId="0" fontId="5" numFmtId="164" xfId="0" applyAlignment="1" applyBorder="1" applyFont="1" applyNumberFormat="1">
      <alignment shrinkToFit="0" vertical="top" wrapText="1"/>
    </xf>
    <xf borderId="5" fillId="5" fontId="5" numFmtId="0" xfId="0" applyAlignment="1" applyBorder="1" applyFill="1" applyFont="1">
      <alignment shrinkToFit="0" vertical="top" wrapText="1"/>
    </xf>
    <xf borderId="5" fillId="5" fontId="5" numFmtId="3" xfId="0" applyAlignment="1" applyBorder="1" applyFill="1" applyFont="1" applyNumberFormat="1">
      <alignment shrinkToFit="0" vertical="top" wrapText="1"/>
    </xf>
    <xf borderId="5" fillId="5" fontId="5" numFmtId="10" xfId="0" applyAlignment="1" applyBorder="1" applyFill="1" applyFont="1" applyNumberFormat="1">
      <alignment shrinkToFit="0" vertical="top" wrapText="1"/>
    </xf>
    <xf borderId="5" fillId="5" fontId="5" numFmtId="2" xfId="0" applyAlignment="1" applyBorder="1" applyFill="1" applyFont="1" applyNumberFormat="1">
      <alignment shrinkToFit="0" vertical="top" wrapText="1"/>
    </xf>
    <xf borderId="5" fillId="5" fontId="5" numFmtId="164" xfId="0" applyAlignment="1" applyBorder="1" applyFill="1" applyFont="1" applyNumberFormat="1">
      <alignment shrinkToFit="0" vertical="top" wrapText="1"/>
    </xf>
    <xf borderId="0" fillId="2" fontId="6" numFmtId="0" xfId="0" applyAlignment="1" applyFill="1" applyFont="1">
      <alignment vertical="center"/>
    </xf>
    <xf borderId="0" fillId="3" fontId="2" numFmtId="0" xfId="0" applyAlignment="1" applyFill="1" applyFont="1">
      <alignment vertical="center"/>
    </xf>
    <xf borderId="6" fillId="6" fontId="7" numFmtId="0" xfId="0" applyAlignment="1" applyBorder="1" applyFill="1" applyFont="1">
      <alignment horizontal="center" vertical="center"/>
    </xf>
    <xf borderId="7" fillId="0" fontId="8" numFmtId="0" xfId="0" applyBorder="1" applyFont="1"/>
    <xf borderId="8" fillId="0" fontId="8" numFmtId="0" xfId="0" applyBorder="1" applyFont="1"/>
    <xf borderId="9" fillId="6" fontId="9" numFmtId="3" xfId="0" applyAlignment="1" applyBorder="1" applyFill="1" applyFont="1" applyNumberFormat="1">
      <alignment horizontal="center" vertical="center"/>
    </xf>
    <xf borderId="10" fillId="0" fontId="8" numFmtId="0" xfId="0" applyBorder="1" applyFont="1"/>
    <xf borderId="11" fillId="0" fontId="8" numFmtId="0" xfId="0" applyBorder="1" applyFont="1"/>
    <xf borderId="9" fillId="6" fontId="9" numFmtId="10" xfId="0" applyAlignment="1" applyBorder="1" applyFill="1" applyFont="1" applyNumberFormat="1">
      <alignment horizontal="center" vertical="center"/>
    </xf>
    <xf borderId="9" fillId="6" fontId="9" numFmtId="2" xfId="0" applyAlignment="1" applyBorder="1" applyFill="1" applyFont="1" applyNumberFormat="1">
      <alignment horizontal="center" vertical="center"/>
    </xf>
    <xf borderId="12" fillId="0" fontId="8" numFmtId="0" xfId="0" applyBorder="1" applyFont="1"/>
    <xf borderId="13" fillId="0" fontId="8" numFmtId="0" xfId="0" applyBorder="1" applyFont="1"/>
    <xf borderId="14" fillId="0" fontId="8" numFmtId="0" xfId="0" applyBorder="1" applyFont="1"/>
    <xf borderId="0" fillId="2" fontId="10" numFmtId="0" xfId="0" applyFill="1" applyFont="1"/>
    <xf borderId="0" fillId="7" fontId="10" numFmtId="0" xfId="0" applyFill="1" applyFont="1"/>
    <xf borderId="0" fillId="4" fontId="11" numFmtId="0" xfId="0" applyFill="1" applyFont="1"/>
    <xf borderId="0" fillId="4" fontId="11" numFmtId="0" xfId="0" applyAlignment="1" applyFill="1" applyFont="1">
      <alignment horizontal="center"/>
    </xf>
    <xf borderId="15" fillId="8" fontId="12" numFmtId="0" xfId="0" applyAlignment="1" applyBorder="1" applyFill="1" applyFont="1">
      <alignment shrinkToFit="0" wrapText="1"/>
    </xf>
    <xf borderId="0" fillId="0" fontId="13" numFmtId="0" xfId="0" applyFont="1"/>
    <xf borderId="0" fillId="0" fontId="3" numFmtId="3" xfId="0" applyFont="1" applyNumberFormat="1"/>
    <xf borderId="0" fillId="0" fontId="3" numFmtId="165" xfId="0" applyFont="1" applyNumberFormat="1"/>
    <xf borderId="16" fillId="8" fontId="12" numFmtId="0" xfId="0" applyAlignment="1" applyBorder="1" applyFill="1" applyFont="1">
      <alignment shrinkToFit="0" wrapText="1"/>
    </xf>
    <xf borderId="0" fillId="0" fontId="3" numFmtId="10" xfId="0" applyFont="1" applyNumberFormat="1"/>
    <xf borderId="0" fillId="0" fontId="3" numFmtId="2" xfId="0" applyFont="1" applyNumberFormat="1"/>
    <xf borderId="17" fillId="8" fontId="12" numFmtId="0" xfId="0" applyAlignment="1" applyBorder="1" applyFill="1" applyFont="1">
      <alignment shrinkToFit="0" wrapText="1"/>
    </xf>
    <xf borderId="13" fillId="5" fontId="12" numFmtId="0" xfId="0" applyAlignment="1" applyBorder="1" applyFill="1" applyFont="1">
      <alignment shrinkToFit="0" wrapText="1"/>
    </xf>
    <xf borderId="18" fillId="9" fontId="12" numFmtId="0" xfId="0" applyAlignment="1" applyBorder="1" applyFill="1" applyFont="1">
      <alignment shrinkToFit="0" wrapText="1"/>
    </xf>
    <xf borderId="7" fillId="5" fontId="12" numFmtId="0" xfId="0" applyAlignment="1" applyBorder="1" applyFill="1" applyFont="1">
      <alignment shrinkToFit="0" wrapText="1"/>
    </xf>
    <xf borderId="19" fillId="9" fontId="12" numFmtId="0" xfId="0" applyAlignment="1" applyBorder="1" applyFill="1" applyFont="1">
      <alignment shrinkToFit="0" wrapText="1"/>
    </xf>
    <xf borderId="10" fillId="5" fontId="12" numFmtId="0" xfId="0" applyAlignment="1" applyBorder="1" applyFill="1" applyFont="1">
      <alignment shrinkToFit="0" wrapText="1"/>
    </xf>
    <xf borderId="20" fillId="9" fontId="12" numFmtId="0" xfId="0" applyAlignment="1" applyBorder="1" applyFill="1" applyFont="1">
      <alignment shrinkToFit="0" wrapText="1"/>
    </xf>
    <xf borderId="0" fillId="2" fontId="1" numFmtId="0" xfId="0" applyAlignment="1" applyFill="1" applyFont="1">
      <alignment vertical="center"/>
    </xf>
    <xf borderId="0" fillId="3" fontId="2" numFmtId="0" xfId="0" applyAlignment="1" applyFill="1" applyFont="1">
      <alignment shrinkToFit="0" vertical="center" wrapText="1"/>
    </xf>
    <xf borderId="1" fillId="4" fontId="4" numFmtId="0" xfId="0" applyAlignment="1" applyBorder="1" applyFill="1" applyFont="1">
      <alignment horizontal="left" readingOrder="0" shrinkToFit="0" vertical="center" wrapText="1"/>
    </xf>
    <xf borderId="2" fillId="4" fontId="4" numFmtId="0" xfId="0" applyAlignment="1" applyBorder="1" applyFill="1" applyFont="1">
      <alignment horizontal="left" readingOrder="0" shrinkToFit="0" vertical="center" wrapText="1"/>
    </xf>
    <xf borderId="3" fillId="4" fontId="4" numFmtId="0" xfId="0" applyAlignment="1" applyBorder="1" applyFill="1" applyFont="1">
      <alignment horizontal="left" readingOrder="0" shrinkToFit="0" vertical="center" wrapText="1"/>
    </xf>
    <xf borderId="4" fillId="5" fontId="5" numFmtId="166" xfId="0" applyAlignment="1" applyBorder="1" applyFill="1" applyFont="1" applyNumberFormat="1">
      <alignment shrinkToFit="0" vertical="top" wrapText="1"/>
    </xf>
    <xf borderId="5" fillId="0" fontId="5" numFmtId="166" xfId="0" applyAlignment="1" applyBorder="1" applyFont="1" applyNumberFormat="1">
      <alignment shrinkToFit="0" vertical="top" wrapText="1"/>
    </xf>
    <xf borderId="5" fillId="5" fontId="5" numFmtId="166" xfId="0" applyAlignment="1" applyBorder="1" applyFill="1" applyFont="1" applyNumberFormat="1">
      <alignment shrinkToFit="0" vertical="top" wrapText="1"/>
    </xf>
    <xf borderId="21" fillId="0" fontId="5" numFmtId="0" xfId="0" applyAlignment="1" applyBorder="1" applyFont="1">
      <alignment shrinkToFit="0" vertical="top" wrapText="1"/>
    </xf>
    <xf borderId="21" fillId="0" fontId="5" numFmtId="3" xfId="0" applyAlignment="1" applyBorder="1" applyFont="1" applyNumberFormat="1">
      <alignment shrinkToFit="0" vertical="top" wrapText="1"/>
    </xf>
    <xf borderId="21" fillId="0" fontId="5" numFmtId="10" xfId="0" applyAlignment="1" applyBorder="1" applyFont="1" applyNumberFormat="1">
      <alignment shrinkToFit="0" vertical="top" wrapText="1"/>
    </xf>
    <xf borderId="21" fillId="0" fontId="5" numFmtId="2" xfId="0" applyAlignment="1" applyBorder="1" applyFont="1" applyNumberFormat="1">
      <alignment shrinkToFit="0" vertical="top" wrapText="1"/>
    </xf>
    <xf borderId="21" fillId="0" fontId="5" numFmtId="164" xfId="0" applyAlignment="1" applyBorder="1" applyFont="1" applyNumberFormat="1">
      <alignment shrinkToFit="0" vertical="top" wrapText="1"/>
    </xf>
    <xf borderId="5" fillId="5" fontId="5" numFmtId="0" xfId="0" applyAlignment="1" applyBorder="1" applyFill="1" applyFont="1">
      <alignment readingOrder="0" shrinkToFit="0" vertical="top" wrapText="1"/>
    </xf>
    <xf borderId="21" fillId="0" fontId="5" numFmtId="166" xfId="0" applyAlignment="1" applyBorder="1" applyFont="1" applyNumberFormat="1">
      <alignment shrinkToFit="0" vertical="top" wrapText="1"/>
    </xf>
    <xf borderId="0" fillId="2" fontId="14" numFmtId="0" xfId="0" applyAlignment="1" applyFill="1" applyFont="1">
      <alignment horizontal="center"/>
    </xf>
    <xf borderId="6" fillId="3" fontId="15" numFmtId="0" xfId="0" applyAlignment="1" applyBorder="1" applyFill="1" applyFont="1">
      <alignment horizontal="center" shrinkToFit="0" vertical="center" wrapText="1"/>
    </xf>
    <xf borderId="9" fillId="2" fontId="15" numFmtId="0" xfId="0" applyAlignment="1" applyBorder="1" applyFill="1" applyFont="1">
      <alignment horizontal="center" shrinkToFit="0" vertical="center" wrapText="1"/>
    </xf>
    <xf borderId="22" fillId="0" fontId="8" numFmtId="0" xfId="0" applyBorder="1" applyFont="1"/>
    <xf borderId="23" fillId="0" fontId="8" numFmtId="0" xfId="0" applyBorder="1" applyFont="1"/>
    <xf borderId="9" fillId="6" fontId="11" numFmtId="0" xfId="0" applyAlignment="1" applyBorder="1" applyFill="1" applyFont="1">
      <alignment horizontal="center" shrinkToFit="0" vertical="center" wrapText="1"/>
    </xf>
    <xf borderId="6" fillId="10" fontId="16" numFmtId="0" xfId="0" applyAlignment="1" applyBorder="1" applyFill="1" applyFont="1">
      <alignment horizontal="center" shrinkToFit="0" vertical="center" wrapText="1"/>
    </xf>
    <xf borderId="9" fillId="11" fontId="16" numFmtId="0" xfId="0" applyAlignment="1" applyBorder="1" applyFill="1" applyFont="1">
      <alignment horizontal="center" shrinkToFit="0" vertical="center" wrapText="1"/>
    </xf>
    <xf borderId="9" fillId="9" fontId="16" numFmtId="0" xfId="0" applyAlignment="1" applyBorder="1" applyFill="1" applyFont="1">
      <alignment horizontal="center" shrinkToFit="0" vertical="center" wrapText="1"/>
    </xf>
    <xf borderId="9" fillId="12" fontId="16" numFmtId="0" xfId="0" applyAlignment="1" applyBorder="1" applyFill="1" applyFont="1">
      <alignment horizontal="center" shrinkToFit="0" vertical="center" wrapText="1"/>
    </xf>
    <xf borderId="9" fillId="10" fontId="16" numFmtId="0" xfId="0" applyAlignment="1" applyBorder="1" applyFill="1" applyFont="1">
      <alignment horizontal="center" shrinkToFit="0" vertical="center" wrapText="1"/>
    </xf>
    <xf borderId="6" fillId="2" fontId="15" numFmtId="0" xfId="0" applyAlignment="1" applyBorder="1" applyFill="1" applyFont="1">
      <alignment horizontal="center" shrinkToFit="0" vertical="center" wrapText="1"/>
    </xf>
    <xf borderId="21" fillId="5" fontId="5" numFmtId="0" xfId="0" applyAlignment="1" applyBorder="1" applyFill="1" applyFont="1">
      <alignment shrinkToFit="0" vertical="top" wrapText="1"/>
    </xf>
    <xf borderId="21" fillId="5" fontId="5" numFmtId="10" xfId="0" applyAlignment="1" applyBorder="1" applyFill="1" applyFont="1" applyNumberFormat="1">
      <alignment shrinkToFit="0" vertical="top" wrapText="1"/>
    </xf>
    <xf borderId="21" fillId="5" fontId="5" numFmtId="2" xfId="0" applyAlignment="1" applyBorder="1" applyFill="1" applyFont="1" applyNumberFormat="1">
      <alignment shrinkToFit="0" vertical="top"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C0392B"/>
      </font>
      <fill>
        <patternFill patternType="solid">
          <fgColor rgb="FFFDECEA"/>
          <bgColor rgb="FFFDECEA"/>
        </patternFill>
      </fill>
      <border/>
    </dxf>
    <dxf>
      <font>
        <b/>
        <color rgb="FFB7791F"/>
      </font>
      <fill>
        <patternFill patternType="solid">
          <fgColor rgb="FFFFF4D6"/>
          <bgColor rgb="FFFFF4D6"/>
        </patternFill>
      </fill>
      <border/>
    </dxf>
    <dxf>
      <font>
        <b/>
        <color rgb="FF198754"/>
      </font>
      <fill>
        <patternFill patternType="solid">
          <fgColor rgb="FFE8F5EE"/>
          <bgColor rgb="FFE8F5EE"/>
        </patternFill>
      </fill>
      <border/>
    </dxf>
    <dxf>
      <font>
        <color rgb="FFB7791F"/>
      </font>
      <fill>
        <patternFill patternType="solid">
          <fgColor rgb="FFFFF4D6"/>
          <bgColor rgb="FFFFF4D6"/>
        </patternFill>
      </fill>
      <border/>
    </dxf>
  </dxfs>
  <tableStyles count="17">
    <tableStyle count="4" pivot="0" name="GSC Pages-style">
      <tableStyleElement dxfId="1" type="headerRow"/>
      <tableStyleElement dxfId="2" type="firstRowStripe"/>
      <tableStyleElement dxfId="3" type="secondRowStripe"/>
      <tableStyleElement dxfId="4" size="0" type="wholeTable"/>
    </tableStyle>
    <tableStyle count="4" pivot="0" name="GSC Queries-style">
      <tableStyleElement dxfId="1" type="headerRow"/>
      <tableStyleElement dxfId="2" type="firstRowStripe"/>
      <tableStyleElement dxfId="3" type="secondRowStripe"/>
      <tableStyleElement dxfId="4" size="0" type="wholeTable"/>
    </tableStyle>
    <tableStyle count="4" pivot="0" name="GSC Daily-style">
      <tableStyleElement dxfId="1" type="headerRow"/>
      <tableStyleElement dxfId="2" type="firstRowStripe"/>
      <tableStyleElement dxfId="3" type="secondRowStripe"/>
      <tableStyleElement dxfId="4" size="0" type="wholeTable"/>
    </tableStyle>
    <tableStyle count="4" pivot="0" name="Site Crawl-style">
      <tableStyleElement dxfId="1" type="headerRow"/>
      <tableStyleElement dxfId="2" type="firstRowStripe"/>
      <tableStyleElement dxfId="3" type="secondRowStripe"/>
      <tableStyleElement dxfId="4" size="0" type="wholeTable"/>
    </tableStyle>
    <tableStyle count="4" pivot="0" name="Keyword Universe-style">
      <tableStyleElement dxfId="1" type="headerRow"/>
      <tableStyleElement dxfId="2" type="firstRowStripe"/>
      <tableStyleElement dxfId="3" type="secondRowStripe"/>
      <tableStyleElement dxfId="4" size="0" type="wholeTable"/>
    </tableStyle>
    <tableStyle count="4" pivot="0" name="Fanout Matrix-style">
      <tableStyleElement dxfId="1" type="headerRow"/>
      <tableStyleElement dxfId="2" type="firstRowStripe"/>
      <tableStyleElement dxfId="3" type="secondRowStripe"/>
      <tableStyleElement dxfId="4" size="0" type="wholeTable"/>
    </tableStyle>
    <tableStyle count="4" pivot="0" name="URL Master Plan-style">
      <tableStyleElement dxfId="1" type="headerRow"/>
      <tableStyleElement dxfId="2" type="firstRowStripe"/>
      <tableStyleElement dxfId="3" type="secondRowStripe"/>
      <tableStyleElement dxfId="4" size="0" type="wholeTable"/>
    </tableStyle>
    <tableStyle count="4" pivot="0" name="Exact Content EN-style">
      <tableStyleElement dxfId="1" type="headerRow"/>
      <tableStyleElement dxfId="2" type="firstRowStripe"/>
      <tableStyleElement dxfId="3" type="secondRowStripe"/>
      <tableStyleElement dxfId="4" size="0" type="wholeTable"/>
    </tableStyle>
    <tableStyle count="4" pivot="0" name="Exact Content EL-style">
      <tableStyleElement dxfId="1" type="headerRow"/>
      <tableStyleElement dxfId="2" type="firstRowStripe"/>
      <tableStyleElement dxfId="3" type="secondRowStripe"/>
      <tableStyleElement dxfId="4" size="0" type="wholeTable"/>
    </tableStyle>
    <tableStyle count="4" pivot="0" name="PAA &amp; Answers-style">
      <tableStyleElement dxfId="1" type="headerRow"/>
      <tableStyleElement dxfId="2" type="firstRowStripe"/>
      <tableStyleElement dxfId="3" type="secondRowStripe"/>
      <tableStyleElement dxfId="4" size="0" type="wholeTable"/>
    </tableStyle>
    <tableStyle count="4" pivot="0" name="Schema JSON-LD-style">
      <tableStyleElement dxfId="1" type="headerRow"/>
      <tableStyleElement dxfId="2" type="firstRowStripe"/>
      <tableStyleElement dxfId="3" type="secondRowStripe"/>
      <tableStyleElement dxfId="4" size="0" type="wholeTable"/>
    </tableStyle>
    <tableStyle count="4" pivot="0" name="Internal Links-style">
      <tableStyleElement dxfId="1" type="headerRow"/>
      <tableStyleElement dxfId="2" type="firstRowStripe"/>
      <tableStyleElement dxfId="3" type="secondRowStripe"/>
      <tableStyleElement dxfId="4" size="0" type="wholeTable"/>
    </tableStyle>
    <tableStyle count="4" pivot="0" name="AI &amp; Crawl Files-style">
      <tableStyleElement dxfId="1" type="headerRow"/>
      <tableStyleElement dxfId="2" type="firstRowStripe"/>
      <tableStyleElement dxfId="3" type="secondRowStripe"/>
      <tableStyleElement dxfId="4" size="0" type="wholeTable"/>
    </tableStyle>
    <tableStyle count="4" pivot="0" name="Competitors-style">
      <tableStyleElement dxfId="1" type="headerRow"/>
      <tableStyleElement dxfId="2" type="firstRowStripe"/>
      <tableStyleElement dxfId="3" type="secondRowStripe"/>
      <tableStyleElement dxfId="4" size="0" type="wholeTable"/>
    </tableStyle>
    <tableStyle count="4" pivot="0" name="Redesign System-style">
      <tableStyleElement dxfId="1" type="headerRow"/>
      <tableStyleElement dxfId="2" type="firstRowStripe"/>
      <tableStyleElement dxfId="3" type="secondRowStripe"/>
      <tableStyleElement dxfId="4" size="0" type="wholeTable"/>
    </tableStyle>
    <tableStyle count="4" pivot="0" name="90-Day Plan-style">
      <tableStyleElement dxfId="1" type="headerRow"/>
      <tableStyleElement dxfId="2" type="firstRowStripe"/>
      <tableStyleElement dxfId="3" type="secondRowStripe"/>
      <tableStyleElement dxfId="4" size="0" type="wholeTable"/>
    </tableStyle>
    <tableStyle count="4" pivot="0" name="Sources &amp; Assump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GSC query impressions by cluster</a:t>
            </a:r>
          </a:p>
        </c:rich>
      </c:tx>
      <c:overlay val="0"/>
    </c:title>
    <c:plotArea>
      <c:layout/>
      <c:barChart>
        <c:barDir val="col"/>
        <c:ser>
          <c:idx val="0"/>
          <c:order val="0"/>
          <c:tx>
            <c:v>GSC impressions</c:v>
          </c:tx>
          <c:spPr>
            <a:solidFill>
              <a:schemeClr val="accent1"/>
            </a:solidFill>
            <a:ln cmpd="sng">
              <a:noFill/>
            </a:ln>
          </c:spPr>
          <c:cat>
            <c:strRef>
              <c:f>'Command Center'!$A$24:$A$28</c:f>
            </c:strRef>
          </c:cat>
          <c:val>
            <c:numRef>
              <c:f>'Command Center'!$B$24:$B$28</c:f>
              <c:numCache/>
            </c:numRef>
          </c:val>
        </c:ser>
        <c:axId val="70003279"/>
        <c:axId val="1435436562"/>
      </c:barChart>
      <c:catAx>
        <c:axId val="700032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435436562"/>
      </c:catAx>
      <c:valAx>
        <c:axId val="14354365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000000"/>
                </a:solidFill>
                <a:latin typeface="+mn-lt"/>
              </a:defRPr>
            </a:pPr>
          </a:p>
        </c:txPr>
        <c:crossAx val="70003279"/>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organic clicks</a:t>
            </a:r>
          </a:p>
        </c:rich>
      </c:tx>
      <c:overlay val="0"/>
    </c:title>
    <c:plotArea>
      <c:layout/>
      <c:lineChart>
        <c:varyColors val="0"/>
        <c:ser>
          <c:idx val="0"/>
          <c:order val="0"/>
          <c:tx>
            <c:v>Clicks</c:v>
          </c:tx>
          <c:spPr>
            <a:ln cmpd="sng">
              <a:solidFill>
                <a:srgbClr val="156082"/>
              </a:solidFill>
            </a:ln>
          </c:spPr>
          <c:marker>
            <c:symbol val="none"/>
          </c:marker>
          <c:cat>
            <c:strRef>
              <c:f>'GSC Daily'!$A$5:$A$72</c:f>
            </c:strRef>
          </c:cat>
          <c:val>
            <c:numRef>
              <c:f>'GSC Daily'!$B$5:$B$72</c:f>
              <c:numCache/>
            </c:numRef>
          </c:val>
          <c:smooth val="0"/>
        </c:ser>
        <c:axId val="990810703"/>
        <c:axId val="391770971"/>
      </c:lineChart>
      <c:catAx>
        <c:axId val="990810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1" i="0" sz="600">
                <a:solidFill>
                  <a:srgbClr val="000000"/>
                </a:solidFill>
                <a:latin typeface="+mn-lt"/>
              </a:defRPr>
            </a:pPr>
          </a:p>
        </c:txPr>
        <c:crossAx val="391770971"/>
      </c:catAx>
      <c:valAx>
        <c:axId val="3917709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000000"/>
                </a:solidFill>
                <a:latin typeface="+mn-lt"/>
              </a:defRPr>
            </a:pPr>
          </a:p>
        </c:txPr>
        <c:crossAx val="990810703"/>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21</xdr:row>
      <xdr:rowOff>0</xdr:rowOff>
    </xdr:from>
    <xdr:ext cx="12496800" cy="28003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xdr:row>
      <xdr:rowOff>0</xdr:rowOff>
    </xdr:from>
    <xdr:ext cx="5257800" cy="35814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G72" displayName="T_GSCDaily" name="T_GSCDaily" id="3">
  <tableColumns count="7">
    <tableColumn name="Date" id="1"/>
    <tableColumn name="Clicks" id="2"/>
    <tableColumn name="Impressions" id="3"/>
    <tableColumn name="Source CTR" id="4"/>
    <tableColumn name="Position" id="5"/>
    <tableColumn name="Recalculated CTR" id="6"/>
    <tableColumn name="Data-quality flag" id="7"/>
  </tableColumns>
  <tableStyleInfo name="GSC Daily-style" showColumnStripes="0" showFirstColumn="1" showLastColumn="1" showRowStripes="1"/>
</table>
</file>

<file path=xl/tables/table2.xml><?xml version="1.0" encoding="utf-8"?>
<table xmlns="http://schemas.openxmlformats.org/spreadsheetml/2006/main" ref="A4:I262" displayName="T_GSCQueries" name="T_GSCQueries" id="2">
  <tableColumns count="9">
    <tableColumn name="Query" id="1"/>
    <tableColumn name="Language" id="2"/>
    <tableColumn name="Cluster" id="3"/>
    <tableColumn name="Clicks" id="4"/>
    <tableColumn name="Impressions" id="5"/>
    <tableColumn name="CTR" id="6"/>
    <tableColumn name="Position" id="7"/>
    <tableColumn name="Action" id="8"/>
    <tableColumn name="Missed clicks @ 5% CTR" id="9"/>
  </tableColumns>
  <tableStyleInfo name="GSC Queries-style" showColumnStripes="0" showFirstColumn="1" showLastColumn="1" showRowStripes="1"/>
</table>
</file>

<file path=xl/tables/table3.xml><?xml version="1.0" encoding="utf-8"?>
<table xmlns="http://schemas.openxmlformats.org/spreadsheetml/2006/main" ref="A4:J96" displayName="T_GSCPages" name="T_GSCPages" id="1">
  <tableColumns count="10">
    <tableColumn name="GSC URL" id="1"/>
    <tableColumn name="Clicks" id="2"/>
    <tableColumn name="Impressions" id="3"/>
    <tableColumn name="CTR" id="4"/>
    <tableColumn name="Position" id="5"/>
    <tableColumn name="Live status" id="6"/>
    <tableColumn name="In sitemap" id="7"/>
    <tableColumn name="Final URL" id="8"/>
    <tableColumn name="Current title" id="9"/>
    <tableColumn name="Missed clicks @ 4% CTR" id="10"/>
  </tableColumns>
  <tableStyleInfo name="GSC Pages-style" showColumnStripes="0" showFirstColumn="1" showLastColumn="1" showRowStripes="1"/>
</table>
</file>

<file path=xl/tables/table4.xml><?xml version="1.0" encoding="utf-8"?>
<table xmlns="http://schemas.openxmlformats.org/spreadsheetml/2006/main" ref="A4:X153" displayName="T_SiteCrawl" name="T_SiteCrawl" id="4">
  <tableColumns count="24">
    <tableColumn name="URL" id="1"/>
    <tableColumn name="Locale" id="2"/>
    <tableColumn name="In sitemap" id="3"/>
    <tableColumn name="Status" id="4"/>
    <tableColumn name="Final URL" id="5"/>
    <tableColumn name="Canonical" id="6"/>
    <tableColumn name="Self canonical" id="7"/>
    <tableColumn name="Title" id="8"/>
    <tableColumn name="Title chars" id="9"/>
    <tableColumn name="Meta description" id="10"/>
    <tableColumn name="Meta chars" id="11"/>
    <tableColumn name="H1 count" id="12"/>
    <tableColumn name="H1" id="13"/>
    <tableColumn name="Hreflang count" id="14"/>
    <tableColumn name="Schema types" id="15"/>
    <tableColumn name="Invalid JSON-LD" id="16"/>
    <tableColumn name="Words" id="17"/>
    <tableColumn name="Images" id="18"/>
    <tableColumn name="Missing alt" id="19"/>
    <tableColumn name="Internal links" id="20"/>
    <tableColumn name="GSC clicks" id="21"/>
    <tableColumn name="GSC impressions" id="22"/>
    <tableColumn name="GSC CTR" id="23"/>
    <tableColumn name="GSC position" id="24"/>
  </tableColumns>
  <tableStyleInfo name="Site Crawl-style" showColumnStripes="0" showFirstColumn="1" showLastColumn="1" showRowStripes="1"/>
</table>
</file>

<file path=xl/tables/table5.xml><?xml version="1.0" encoding="utf-8"?>
<table xmlns="http://schemas.openxmlformats.org/spreadsheetml/2006/main" ref="A4:L294" displayName="T_KeywordUniverse" name="T_KeywordUniverse" id="5">
  <tableColumns count="12">
    <tableColumn name="Keyword" id="1"/>
    <tableColumn name="Language" id="2"/>
    <tableColumn name="Cluster" id="3"/>
    <tableColumn name="Intent" id="4"/>
    <tableColumn name="Business value (1-5)" id="5"/>
    <tableColumn name="GSC impressions" id="6"/>
    <tableColumn name="GSC clicks" id="7"/>
    <tableColumn name="GSC CTR" id="8"/>
    <tableColumn name="GSC position" id="9"/>
    <tableColumn name="Source" id="10"/>
    <tableColumn name="Opportunity score" id="11"/>
    <tableColumn name="Priority" id="12"/>
  </tableColumns>
  <tableStyleInfo name="Keyword Universe-style" showColumnStripes="0" showFirstColumn="1" showLastColumn="1" showRowStripes="1"/>
</table>
</file>

<file path=xl/tables/table6.xml><?xml version="1.0" encoding="utf-8"?>
<table xmlns="http://schemas.openxmlformats.org/spreadsheetml/2006/main" ref="A4:G22" displayName="T_FanoutMatrix" name="T_FanoutMatrix" id="6">
  <tableColumns count="7">
    <tableColumn name="Parent" id="1"/>
    <tableColumn name="Modifier / sub-intent" id="2"/>
    <tableColumn name="English query" id="3"/>
    <tableColumn name="Greek query" id="4"/>
    <tableColumn name="Canonical URL template" id="5"/>
    <tableColumn name="Intent" id="6"/>
    <tableColumn name="Rule" id="7"/>
  </tableColumns>
  <tableStyleInfo name="Fanout Matrix-style" showColumnStripes="0" showFirstColumn="1" showLastColumn="1" showRowStripes="1"/>
</table>
</file>

<file path=xl/tables/table7.xml><?xml version="1.0" encoding="utf-8"?>
<table xmlns="http://schemas.openxmlformats.org/spreadsheetml/2006/main" ref="A4:N104" displayName="T_URLMasterPlan" name="T_URLMasterPlan" id="7">
  <tableColumns count="14">
    <tableColumn name="Priority" id="1"/>
    <tableColumn name="Lang" id="2"/>
    <tableColumn name="Canonical URL" id="3"/>
    <tableColumn name="Page type" id="4"/>
    <tableColumn name="Action" id="5"/>
    <tableColumn name="Primary keyword" id="6"/>
    <tableColumn name="Live status" id="7"/>
    <tableColumn name="GSC impressions" id="8"/>
    <tableColumn name="GSC clicks" id="9"/>
    <tableColumn name="GSC position" id="10"/>
    <tableColumn name="In sitemap" id="11"/>
    <tableColumn name="Editorial status" id="12"/>
    <tableColumn name="Implementation score" id="13"/>
    <tableColumn name="Wave" id="14"/>
  </tableColumns>
  <tableStyleInfo name="URL Master Plan-style" showColumnStripes="0" showFirstColumn="1" showLastColumn="1" showRowStripes="1"/>
</table>
</file>

<file path=xl/tables/table8.xml><?xml version="1.0" encoding="utf-8"?>
<table xmlns="http://schemas.openxmlformats.org/spreadsheetml/2006/main" ref="A4:L54" displayName="T_ExactContentEN" name="T_ExactContentEN" id="8">
  <tableColumns count="12">
    <tableColumn name="Priority" id="1"/>
    <tableColumn name="URL" id="2"/>
    <tableColumn name="Page type" id="3"/>
    <tableColumn name="Action" id="4"/>
    <tableColumn name="Primary keyword" id="5"/>
    <tableColumn name="SEO title" id="6"/>
    <tableColumn name="Title chars" id="7"/>
    <tableColumn name="Meta description" id="8"/>
    <tableColumn name="Meta chars" id="9"/>
    <tableColumn name="H1" id="10"/>
    <tableColumn name="Publishable body copy" id="11"/>
    <tableColumn name="Status" id="12"/>
  </tableColumns>
  <tableStyleInfo name="Exact Content EN-style" showColumnStripes="0" showFirstColumn="1" showLastColumn="1" showRowStripes="1"/>
</table>
</file>

<file path=xl/tables/table9.xml><?xml version="1.0" encoding="utf-8"?>
<table xmlns="http://schemas.openxmlformats.org/spreadsheetml/2006/main" ref="A4:L54" displayName="T_ExactContentEL" name="T_ExactContentEL" id="9">
  <tableColumns count="12">
    <tableColumn name="Priority" id="1"/>
    <tableColumn name="URL" id="2"/>
    <tableColumn name="Page type" id="3"/>
    <tableColumn name="Action" id="4"/>
    <tableColumn name="Primary keyword" id="5"/>
    <tableColumn name="SEO title" id="6"/>
    <tableColumn name="Title chars" id="7"/>
    <tableColumn name="Meta description" id="8"/>
    <tableColumn name="Meta chars" id="9"/>
    <tableColumn name="H1" id="10"/>
    <tableColumn name="Publishable body copy" id="11"/>
    <tableColumn name="Status" id="12"/>
  </tableColumns>
  <tableStyleInfo name="Exact Content EL-style" showColumnStripes="0" showFirstColumn="1" showLastColumn="1" showRowStripes="1"/>
</table>
</file>

<file path=xl/tables/table10.xml><?xml version="1.0" encoding="utf-8"?>
<table xmlns="http://schemas.openxmlformats.org/spreadsheetml/2006/main" ref="A4:F28" displayName="T_PAAAnswers" name="T_PAAAnswers" id="10">
  <tableColumns count="6">
    <tableColumn name="Language" id="1"/>
    <tableColumn name="Question" id="2"/>
    <tableColumn name="Exact answer" id="3"/>
    <tableColumn name="Target URL" id="4"/>
    <tableColumn name="Type" id="5"/>
    <tableColumn name="Schema note" id="6"/>
  </tableColumns>
  <tableStyleInfo name="PAA &amp; Answers-style" showColumnStripes="0" showFirstColumn="1" showLastColumn="1" showRowStripes="1"/>
</table>
</file>

<file path=xl/tables/table11.xml><?xml version="1.0" encoding="utf-8"?>
<table xmlns="http://schemas.openxmlformats.org/spreadsheetml/2006/main" ref="A4:E104" displayName="T_SchemaJSONLD" name="T_SchemaJSONLD" id="11">
  <tableColumns count="5">
    <tableColumn name="URL" id="1"/>
    <tableColumn name="Language" id="2"/>
    <tableColumn name="Page type" id="3"/>
    <tableColumn name="Exact JSON-LD template" id="4"/>
    <tableColumn name="Deployment gate" id="5"/>
  </tableColumns>
  <tableStyleInfo name="Schema JSON-LD-style" showColumnStripes="0" showFirstColumn="1" showLastColumn="1" showRowStripes="1"/>
</table>
</file>

<file path=xl/tables/table12.xml><?xml version="1.0" encoding="utf-8"?>
<table xmlns="http://schemas.openxmlformats.org/spreadsheetml/2006/main" ref="A4:F98" displayName="T_InternalLinks" name="T_InternalLinks" id="12">
  <tableColumns count="6">
    <tableColumn name="Language" id="1"/>
    <tableColumn name="Source URL" id="2"/>
    <tableColumn name="Target URL" id="3"/>
    <tableColumn name="Recommended anchor" id="4"/>
    <tableColumn name="Placement" id="5"/>
    <tableColumn name="Status" id="6"/>
  </tableColumns>
  <tableStyleInfo name="Internal Links-style" showColumnStripes="0" showFirstColumn="1" showLastColumn="1" showRowStripes="1"/>
</table>
</file>

<file path=xl/tables/table13.xml><?xml version="1.0" encoding="utf-8"?>
<table xmlns="http://schemas.openxmlformats.org/spreadsheetml/2006/main" ref="A4:E10" displayName="T_AICrawlFiles" name="T_AICrawlFiles" id="13">
  <tableColumns count="5">
    <tableColumn name="File / feature" id="1"/>
    <tableColumn name="Live target" id="2"/>
    <tableColumn name="Action" id="3"/>
    <tableColumn name="Exact content" id="4"/>
    <tableColumn name="Implementation note" id="5"/>
  </tableColumns>
  <tableStyleInfo name="AI &amp; Crawl Files-style" showColumnStripes="0" showFirstColumn="1" showLastColumn="1" showRowStripes="1"/>
</table>
</file>

<file path=xl/tables/table14.xml><?xml version="1.0" encoding="utf-8"?>
<table xmlns="http://schemas.openxmlformats.org/spreadsheetml/2006/main" ref="A4:E10" displayName="T_Competitors" name="T_Competitors" id="14">
  <tableColumns count="5">
    <tableColumn name="Competitor" id="1"/>
    <tableColumn name="URL" id="2"/>
    <tableColumn name="Observed strength" id="3"/>
    <tableColumn name="Response strategy" id="4"/>
    <tableColumn name="Threat" id="5"/>
  </tableColumns>
  <tableStyleInfo name="Competitors-style" showColumnStripes="0" showFirstColumn="1" showLastColumn="1" showRowStripes="1"/>
</table>
</file>

<file path=xl/tables/table15.xml><?xml version="1.0" encoding="utf-8"?>
<table xmlns="http://schemas.openxmlformats.org/spreadsheetml/2006/main" ref="A4:D28" displayName="T_RedesignSystem" name="T_RedesignSystem" id="15">
  <tableColumns count="4">
    <tableColumn name="Surface" id="1"/>
    <tableColumn name="Component" id="2"/>
    <tableColumn name="Exact specification" id="3"/>
    <tableColumn name="Implementation rule" id="4"/>
  </tableColumns>
  <tableStyleInfo name="Redesign System-style" showColumnStripes="0" showFirstColumn="1" showLastColumn="1" showRowStripes="1"/>
</table>
</file>

<file path=xl/tables/table16.xml><?xml version="1.0" encoding="utf-8"?>
<table xmlns="http://schemas.openxmlformats.org/spreadsheetml/2006/main" ref="A4:H19" displayName="T_90DayPlan" name="T_90DayPlan" id="16">
  <tableColumns count="8">
    <tableColumn name="Week" id="1"/>
    <tableColumn name="Priority" id="2"/>
    <tableColumn name="Workstream" id="3"/>
    <tableColumn name="Deliverable" id="4"/>
    <tableColumn name="Why now" id="5"/>
    <tableColumn name="Definition of done" id="6"/>
    <tableColumn name="Owner" id="7"/>
    <tableColumn name="Status" id="8"/>
  </tableColumns>
  <tableStyleInfo name="90-Day Plan-style" showColumnStripes="0" showFirstColumn="1" showLastColumn="1" showRowStripes="1"/>
</table>
</file>

<file path=xl/tables/table17.xml><?xml version="1.0" encoding="utf-8"?>
<table xmlns="http://schemas.openxmlformats.org/spreadsheetml/2006/main" ref="A4:D24" displayName="T_SourcesAssumptions" name="T_SourcesAssumptions" id="17">
  <tableColumns count="4">
    <tableColumn name="Source / assumption" id="1"/>
    <tableColumn name="URL or file" id="2"/>
    <tableColumn name="Checked / period" id="3"/>
    <tableColumn name="Use in workbook" id="4"/>
  </tableColumns>
  <tableStyleInfo name="Sources &amp; Assump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8.0"/>
    <col customWidth="1" min="3" max="3" width="22.0"/>
    <col customWidth="1" min="4" max="4" width="18.0"/>
    <col customWidth="1" min="5" max="5" width="16.0"/>
    <col customWidth="1" min="6" max="6" width="18.0"/>
    <col customWidth="1" min="7" max="7" width="24.0"/>
    <col customWidth="1" min="8" max="8" width="18.0"/>
    <col customWidth="1" min="9" max="9" width="16.0"/>
    <col customWidth="1" min="10" max="12" width="18.0"/>
    <col customWidth="1" min="13" max="26" width="8.63"/>
  </cols>
  <sheetData>
    <row r="1" ht="37.5" customHeight="1">
      <c r="A1" s="22" t="s">
        <v>66</v>
      </c>
    </row>
    <row r="2" ht="27.75" customHeight="1">
      <c r="A2" s="23" t="s">
        <v>67</v>
      </c>
    </row>
    <row r="4">
      <c r="A4" s="24" t="s">
        <v>70</v>
      </c>
      <c r="B4" s="25"/>
      <c r="C4" s="26"/>
      <c r="D4" s="24" t="s">
        <v>72</v>
      </c>
      <c r="E4" s="25"/>
      <c r="F4" s="26"/>
      <c r="G4" s="24" t="s">
        <v>74</v>
      </c>
      <c r="H4" s="25"/>
      <c r="I4" s="26"/>
      <c r="J4" s="24" t="s">
        <v>78</v>
      </c>
      <c r="K4" s="25"/>
      <c r="L4" s="26"/>
    </row>
    <row r="5">
      <c r="A5" s="27">
        <f>SUM('GSC Daily'!B5:B72)</f>
        <v>253</v>
      </c>
      <c r="B5" s="28"/>
      <c r="C5" s="29"/>
      <c r="D5" s="27">
        <f>SUM('GSC Daily'!C5:C72)</f>
        <v>10032</v>
      </c>
      <c r="E5" s="28"/>
      <c r="F5" s="29"/>
      <c r="G5" s="30">
        <f>SUM('GSC Daily'!B5:B72)/SUM('GSC Daily'!C5:C72)</f>
        <v>0.02521929825</v>
      </c>
      <c r="H5" s="28"/>
      <c r="I5" s="29"/>
      <c r="J5" s="31">
        <f>SUMPRODUCT('GSC Daily'!C5:C72,'GSC Daily'!E5:E72)/SUM('GSC Daily'!C5:C72)</f>
        <v>8.441786284</v>
      </c>
      <c r="K5" s="28"/>
      <c r="L5" s="29"/>
    </row>
    <row r="6">
      <c r="A6" s="32"/>
      <c r="B6" s="33"/>
      <c r="C6" s="34"/>
      <c r="D6" s="32"/>
      <c r="E6" s="33"/>
      <c r="F6" s="34"/>
      <c r="G6" s="32"/>
      <c r="H6" s="33"/>
      <c r="I6" s="34"/>
      <c r="J6" s="32"/>
      <c r="K6" s="33"/>
      <c r="L6" s="34"/>
    </row>
    <row r="8">
      <c r="A8" s="35" t="s">
        <v>96</v>
      </c>
      <c r="G8" s="36" t="s">
        <v>98</v>
      </c>
    </row>
    <row r="9">
      <c r="A9" s="37" t="s">
        <v>101</v>
      </c>
      <c r="B9" s="37" t="s">
        <v>102</v>
      </c>
      <c r="C9" s="37" t="s">
        <v>103</v>
      </c>
      <c r="D9" s="38" t="s">
        <v>104</v>
      </c>
      <c r="G9" s="39" t="s">
        <v>105</v>
      </c>
      <c r="H9" s="39" t="s">
        <v>106</v>
      </c>
      <c r="I9" s="39" t="s">
        <v>107</v>
      </c>
      <c r="J9" s="39"/>
      <c r="K9" s="39"/>
      <c r="L9" s="39"/>
    </row>
    <row r="10">
      <c r="A10" s="40" t="s">
        <v>7</v>
      </c>
      <c r="B10" s="41">
        <v>75.0</v>
      </c>
      <c r="C10" s="41">
        <v>162.0</v>
      </c>
      <c r="D10" s="40" t="s">
        <v>7</v>
      </c>
      <c r="E10" s="42">
        <v>1.16</v>
      </c>
      <c r="F10" s="40" t="s">
        <v>110</v>
      </c>
      <c r="G10" s="43" t="s">
        <v>111</v>
      </c>
      <c r="H10" s="43">
        <v>60.0</v>
      </c>
      <c r="I10" s="43" t="s">
        <v>112</v>
      </c>
      <c r="J10" s="43"/>
      <c r="K10" s="43"/>
      <c r="L10" s="43"/>
    </row>
    <row r="11">
      <c r="A11" s="40" t="s">
        <v>9</v>
      </c>
      <c r="B11" s="41">
        <v>3500.0</v>
      </c>
      <c r="C11" s="41">
        <v>6110.0</v>
      </c>
      <c r="D11" s="40" t="s">
        <v>9</v>
      </c>
      <c r="E11" s="42">
        <v>0.7457142857142857</v>
      </c>
      <c r="F11" s="40" t="s">
        <v>110</v>
      </c>
      <c r="G11" s="43" t="s">
        <v>113</v>
      </c>
      <c r="H11" s="43">
        <v>93.0</v>
      </c>
      <c r="I11" s="43" t="s">
        <v>115</v>
      </c>
      <c r="J11" s="43"/>
      <c r="K11" s="43"/>
      <c r="L11" s="43"/>
    </row>
    <row r="12">
      <c r="A12" s="40" t="s">
        <v>10</v>
      </c>
      <c r="B12" s="44">
        <v>0.02142857142857143</v>
      </c>
      <c r="C12" s="44">
        <v>0.026513911620294598</v>
      </c>
      <c r="D12" s="40" t="s">
        <v>10</v>
      </c>
      <c r="E12" s="42">
        <v>0.2373158756137479</v>
      </c>
      <c r="F12" s="40" t="s">
        <v>110</v>
      </c>
      <c r="G12" s="43" t="s">
        <v>118</v>
      </c>
      <c r="H12" s="43" t="s">
        <v>120</v>
      </c>
      <c r="I12" s="43" t="s">
        <v>121</v>
      </c>
      <c r="J12" s="43"/>
      <c r="K12" s="43"/>
      <c r="L12" s="43"/>
    </row>
    <row r="13">
      <c r="A13" s="40" t="s">
        <v>11</v>
      </c>
      <c r="B13" s="45">
        <v>8.567771428571428</v>
      </c>
      <c r="C13" s="45">
        <v>8.229819967266776</v>
      </c>
      <c r="D13" s="40" t="s">
        <v>11</v>
      </c>
      <c r="E13" s="45">
        <v>-0.3379514613046517</v>
      </c>
      <c r="F13" s="40" t="s">
        <v>122</v>
      </c>
      <c r="G13" s="46" t="s">
        <v>123</v>
      </c>
      <c r="H13" s="46">
        <v>5.0</v>
      </c>
      <c r="I13" s="46" t="s">
        <v>124</v>
      </c>
      <c r="J13" s="46"/>
      <c r="K13" s="46"/>
      <c r="L13" s="46"/>
    </row>
    <row r="15">
      <c r="A15" s="35" t="s">
        <v>125</v>
      </c>
      <c r="G15" s="35" t="s">
        <v>126</v>
      </c>
    </row>
    <row r="16">
      <c r="A16" s="47" t="s">
        <v>127</v>
      </c>
      <c r="B16" s="47" t="s">
        <v>130</v>
      </c>
      <c r="C16" s="47" t="s">
        <v>131</v>
      </c>
      <c r="D16" s="47"/>
      <c r="E16" s="47"/>
      <c r="F16" s="47"/>
      <c r="G16" s="48" t="s">
        <v>133</v>
      </c>
      <c r="H16" s="48" t="s">
        <v>134</v>
      </c>
      <c r="I16" s="48" t="s">
        <v>135</v>
      </c>
      <c r="J16" s="48"/>
      <c r="K16" s="48"/>
      <c r="L16" s="48"/>
    </row>
    <row r="17">
      <c r="A17" s="49" t="s">
        <v>136</v>
      </c>
      <c r="B17" s="49" t="s">
        <v>137</v>
      </c>
      <c r="C17" s="49" t="s">
        <v>138</v>
      </c>
      <c r="D17" s="49"/>
      <c r="E17" s="49"/>
      <c r="F17" s="49"/>
      <c r="G17" s="50" t="s">
        <v>139</v>
      </c>
      <c r="H17" s="50" t="s">
        <v>141</v>
      </c>
      <c r="I17" s="50" t="s">
        <v>142</v>
      </c>
      <c r="J17" s="50"/>
      <c r="K17" s="50"/>
      <c r="L17" s="50"/>
    </row>
    <row r="18">
      <c r="A18" s="49" t="s">
        <v>143</v>
      </c>
      <c r="B18" s="49" t="s">
        <v>145</v>
      </c>
      <c r="C18" s="49" t="s">
        <v>146</v>
      </c>
      <c r="D18" s="49"/>
      <c r="E18" s="49"/>
      <c r="F18" s="49"/>
      <c r="G18" s="50" t="s">
        <v>147</v>
      </c>
      <c r="H18" s="50" t="s">
        <v>148</v>
      </c>
      <c r="I18" s="50" t="s">
        <v>149</v>
      </c>
      <c r="J18" s="50"/>
      <c r="K18" s="50"/>
      <c r="L18" s="50"/>
    </row>
    <row r="19">
      <c r="A19" s="49" t="s">
        <v>151</v>
      </c>
      <c r="B19" s="49" t="s">
        <v>152</v>
      </c>
      <c r="C19" s="49" t="s">
        <v>153</v>
      </c>
      <c r="D19" s="49"/>
      <c r="E19" s="49"/>
      <c r="F19" s="49"/>
      <c r="G19" s="50" t="s">
        <v>154</v>
      </c>
      <c r="H19" s="50" t="s">
        <v>155</v>
      </c>
      <c r="I19" s="50" t="s">
        <v>156</v>
      </c>
      <c r="J19" s="50"/>
      <c r="K19" s="50"/>
      <c r="L19" s="50"/>
    </row>
    <row r="20">
      <c r="A20" s="51" t="s">
        <v>158</v>
      </c>
      <c r="B20" s="51" t="s">
        <v>160</v>
      </c>
      <c r="C20" s="51" t="s">
        <v>161</v>
      </c>
      <c r="D20" s="51"/>
      <c r="E20" s="51"/>
      <c r="F20" s="51"/>
      <c r="G20" s="52" t="s">
        <v>162</v>
      </c>
      <c r="H20" s="52" t="s">
        <v>163</v>
      </c>
      <c r="I20" s="52" t="s">
        <v>164</v>
      </c>
      <c r="J20" s="52"/>
      <c r="K20" s="52"/>
      <c r="L20" s="52"/>
    </row>
    <row r="21" ht="15.75" customHeight="1"/>
    <row r="22" ht="15.75" customHeight="1"/>
    <row r="23" ht="15.75" customHeight="1">
      <c r="A23" s="37" t="s">
        <v>8</v>
      </c>
      <c r="B23" s="37" t="s">
        <v>166</v>
      </c>
    </row>
    <row r="24" ht="15.75" customHeight="1">
      <c r="A24" s="40" t="s">
        <v>27</v>
      </c>
      <c r="B24" s="41">
        <v>559.0</v>
      </c>
    </row>
    <row r="25" ht="15.75" customHeight="1">
      <c r="A25" s="40" t="s">
        <v>32</v>
      </c>
      <c r="B25" s="41">
        <v>467.0</v>
      </c>
    </row>
    <row r="26" ht="15.75" customHeight="1">
      <c r="A26" s="40" t="s">
        <v>22</v>
      </c>
      <c r="B26" s="41">
        <v>402.0</v>
      </c>
    </row>
    <row r="27" ht="15.75" customHeight="1">
      <c r="A27" s="40" t="s">
        <v>34</v>
      </c>
      <c r="B27" s="41">
        <v>194.0</v>
      </c>
    </row>
    <row r="28" ht="15.75" customHeight="1">
      <c r="A28" s="40" t="s">
        <v>92</v>
      </c>
      <c r="B28" s="41">
        <v>68.0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5:F6"/>
    <mergeCell ref="G5:I6"/>
    <mergeCell ref="A5:C6"/>
    <mergeCell ref="A8:F8"/>
    <mergeCell ref="D9:F9"/>
    <mergeCell ref="A15:F15"/>
    <mergeCell ref="G15:L15"/>
    <mergeCell ref="A1:L1"/>
    <mergeCell ref="A2:L2"/>
    <mergeCell ref="A4:C4"/>
    <mergeCell ref="D4:F4"/>
    <mergeCell ref="G4:I4"/>
    <mergeCell ref="J4:L4"/>
    <mergeCell ref="J5:L6"/>
    <mergeCell ref="G8:L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4.0"/>
    <col customWidth="1" min="2" max="2" width="11.0"/>
    <col customWidth="1" min="3" max="3" width="14.0"/>
    <col customWidth="1" min="4" max="4" width="12.0"/>
    <col customWidth="1" min="5" max="5" width="11.0"/>
    <col customWidth="1" min="6" max="6" width="16.0"/>
    <col customWidth="1" min="7" max="7" width="52.0"/>
    <col customWidth="1" min="8" max="26" width="8.63"/>
  </cols>
  <sheetData>
    <row r="1" ht="33.75" customHeight="1">
      <c r="A1" s="53" t="s">
        <v>203</v>
      </c>
    </row>
    <row r="2" ht="31.5" customHeight="1">
      <c r="A2" s="54" t="s">
        <v>205</v>
      </c>
    </row>
    <row r="4" ht="30.0" customHeight="1">
      <c r="A4" s="55" t="s">
        <v>206</v>
      </c>
      <c r="B4" s="56" t="s">
        <v>7</v>
      </c>
      <c r="C4" s="56" t="s">
        <v>9</v>
      </c>
      <c r="D4" s="56" t="s">
        <v>211</v>
      </c>
      <c r="E4" s="56" t="s">
        <v>11</v>
      </c>
      <c r="F4" s="56" t="s">
        <v>212</v>
      </c>
      <c r="G4" s="57" t="s">
        <v>214</v>
      </c>
    </row>
    <row r="5">
      <c r="A5" s="58">
        <v>46187.0</v>
      </c>
      <c r="B5" s="8">
        <v>0.0</v>
      </c>
      <c r="C5" s="8">
        <v>0.0</v>
      </c>
      <c r="D5" s="9">
        <v>6.0</v>
      </c>
      <c r="E5" s="10">
        <v>6.0</v>
      </c>
      <c r="F5" s="9">
        <v>0.0</v>
      </c>
      <c r="G5" s="7" t="s">
        <v>218</v>
      </c>
    </row>
    <row r="6">
      <c r="A6" s="59">
        <v>46188.0</v>
      </c>
      <c r="B6" s="13">
        <v>4.0</v>
      </c>
      <c r="C6" s="13">
        <v>23.0</v>
      </c>
      <c r="D6" s="14">
        <v>0.1739</v>
      </c>
      <c r="E6" s="15">
        <v>21.0</v>
      </c>
      <c r="F6" s="14">
        <v>0.17391304347826086</v>
      </c>
      <c r="G6" s="12" t="s">
        <v>224</v>
      </c>
    </row>
    <row r="7">
      <c r="A7" s="60">
        <v>46189.0</v>
      </c>
      <c r="B7" s="18">
        <v>3.0</v>
      </c>
      <c r="C7" s="18">
        <v>51.0</v>
      </c>
      <c r="D7" s="19">
        <v>0.0588</v>
      </c>
      <c r="E7" s="20">
        <v>8.9</v>
      </c>
      <c r="F7" s="19">
        <v>0.058823529411764705</v>
      </c>
      <c r="G7" s="17" t="s">
        <v>224</v>
      </c>
    </row>
    <row r="8">
      <c r="A8" s="59">
        <v>46190.0</v>
      </c>
      <c r="B8" s="13">
        <v>1.0</v>
      </c>
      <c r="C8" s="13">
        <v>50.0</v>
      </c>
      <c r="D8" s="14">
        <v>0.02</v>
      </c>
      <c r="E8" s="15">
        <v>11.7</v>
      </c>
      <c r="F8" s="14">
        <v>0.02</v>
      </c>
      <c r="G8" s="12" t="s">
        <v>224</v>
      </c>
    </row>
    <row r="9">
      <c r="A9" s="60">
        <v>46191.0</v>
      </c>
      <c r="B9" s="18">
        <v>1.0</v>
      </c>
      <c r="C9" s="18">
        <v>39.0</v>
      </c>
      <c r="D9" s="19">
        <v>0.0256</v>
      </c>
      <c r="E9" s="20">
        <v>14.1</v>
      </c>
      <c r="F9" s="19">
        <v>0.02564102564102564</v>
      </c>
      <c r="G9" s="17" t="s">
        <v>224</v>
      </c>
    </row>
    <row r="10">
      <c r="A10" s="59">
        <v>46192.0</v>
      </c>
      <c r="B10" s="13">
        <v>0.0</v>
      </c>
      <c r="C10" s="13">
        <v>25.0</v>
      </c>
      <c r="D10" s="14">
        <v>0.0</v>
      </c>
      <c r="E10" s="15">
        <v>6.1</v>
      </c>
      <c r="F10" s="14">
        <v>0.0</v>
      </c>
      <c r="G10" s="12" t="s">
        <v>224</v>
      </c>
    </row>
    <row r="11">
      <c r="A11" s="60">
        <v>46193.0</v>
      </c>
      <c r="B11" s="18">
        <v>1.0</v>
      </c>
      <c r="C11" s="18">
        <v>46.0</v>
      </c>
      <c r="D11" s="19">
        <v>0.0217</v>
      </c>
      <c r="E11" s="20">
        <v>12.3</v>
      </c>
      <c r="F11" s="19">
        <v>0.021739130434782608</v>
      </c>
      <c r="G11" s="17" t="s">
        <v>224</v>
      </c>
    </row>
    <row r="12">
      <c r="A12" s="59">
        <v>46194.0</v>
      </c>
      <c r="B12" s="13">
        <v>1.0</v>
      </c>
      <c r="C12" s="13">
        <v>39.0</v>
      </c>
      <c r="D12" s="14">
        <v>0.0256</v>
      </c>
      <c r="E12" s="15">
        <v>13.6</v>
      </c>
      <c r="F12" s="14">
        <v>0.02564102564102564</v>
      </c>
      <c r="G12" s="12" t="s">
        <v>224</v>
      </c>
    </row>
    <row r="13">
      <c r="A13" s="60">
        <v>46195.0</v>
      </c>
      <c r="B13" s="18">
        <v>0.0</v>
      </c>
      <c r="C13" s="18">
        <v>39.0</v>
      </c>
      <c r="D13" s="19">
        <v>0.0</v>
      </c>
      <c r="E13" s="20">
        <v>8.1</v>
      </c>
      <c r="F13" s="19">
        <v>0.0</v>
      </c>
      <c r="G13" s="17" t="s">
        <v>224</v>
      </c>
    </row>
    <row r="14">
      <c r="A14" s="59">
        <v>46196.0</v>
      </c>
      <c r="B14" s="13">
        <v>1.0</v>
      </c>
      <c r="C14" s="13">
        <v>29.0</v>
      </c>
      <c r="D14" s="14">
        <v>0.0345</v>
      </c>
      <c r="E14" s="15">
        <v>6.7</v>
      </c>
      <c r="F14" s="14">
        <v>0.034482758620689655</v>
      </c>
      <c r="G14" s="12" t="s">
        <v>224</v>
      </c>
    </row>
    <row r="15">
      <c r="A15" s="60">
        <v>46197.0</v>
      </c>
      <c r="B15" s="18">
        <v>2.0</v>
      </c>
      <c r="C15" s="18">
        <v>45.0</v>
      </c>
      <c r="D15" s="19">
        <v>0.0444</v>
      </c>
      <c r="E15" s="20">
        <v>6.7</v>
      </c>
      <c r="F15" s="19">
        <v>0.044444444444444446</v>
      </c>
      <c r="G15" s="17" t="s">
        <v>224</v>
      </c>
    </row>
    <row r="16">
      <c r="A16" s="59">
        <v>46198.0</v>
      </c>
      <c r="B16" s="13">
        <v>2.0</v>
      </c>
      <c r="C16" s="13">
        <v>36.0</v>
      </c>
      <c r="D16" s="14">
        <v>0.0556</v>
      </c>
      <c r="E16" s="15">
        <v>7.9</v>
      </c>
      <c r="F16" s="14">
        <v>0.05555555555555555</v>
      </c>
      <c r="G16" s="12" t="s">
        <v>224</v>
      </c>
    </row>
    <row r="17">
      <c r="A17" s="60">
        <v>46199.0</v>
      </c>
      <c r="B17" s="18">
        <v>0.0</v>
      </c>
      <c r="C17" s="18">
        <v>30.0</v>
      </c>
      <c r="D17" s="19">
        <v>0.0</v>
      </c>
      <c r="E17" s="20">
        <v>6.8</v>
      </c>
      <c r="F17" s="19">
        <v>0.0</v>
      </c>
      <c r="G17" s="17" t="s">
        <v>224</v>
      </c>
    </row>
    <row r="18">
      <c r="A18" s="59">
        <v>46200.0</v>
      </c>
      <c r="B18" s="13">
        <v>1.0</v>
      </c>
      <c r="C18" s="13">
        <v>66.0</v>
      </c>
      <c r="D18" s="14">
        <v>0.0152</v>
      </c>
      <c r="E18" s="15">
        <v>8.8</v>
      </c>
      <c r="F18" s="14">
        <v>0.015151515151515152</v>
      </c>
      <c r="G18" s="12" t="s">
        <v>224</v>
      </c>
    </row>
    <row r="19">
      <c r="A19" s="60">
        <v>46201.0</v>
      </c>
      <c r="B19" s="18">
        <v>2.0</v>
      </c>
      <c r="C19" s="18">
        <v>149.0</v>
      </c>
      <c r="D19" s="19">
        <v>0.0134</v>
      </c>
      <c r="E19" s="20">
        <v>7.1</v>
      </c>
      <c r="F19" s="19">
        <v>0.013422818791946308</v>
      </c>
      <c r="G19" s="17" t="s">
        <v>224</v>
      </c>
    </row>
    <row r="20">
      <c r="A20" s="59">
        <v>46202.0</v>
      </c>
      <c r="B20" s="13">
        <v>2.0</v>
      </c>
      <c r="C20" s="13">
        <v>109.0</v>
      </c>
      <c r="D20" s="14">
        <v>0.0183</v>
      </c>
      <c r="E20" s="15">
        <v>6.9</v>
      </c>
      <c r="F20" s="14">
        <v>0.01834862385321101</v>
      </c>
      <c r="G20" s="12" t="s">
        <v>224</v>
      </c>
    </row>
    <row r="21" ht="15.75" customHeight="1">
      <c r="A21" s="60">
        <v>46203.0</v>
      </c>
      <c r="B21" s="18">
        <v>1.0</v>
      </c>
      <c r="C21" s="18">
        <v>94.0</v>
      </c>
      <c r="D21" s="19">
        <v>0.0106</v>
      </c>
      <c r="E21" s="20">
        <v>8.2</v>
      </c>
      <c r="F21" s="19">
        <v>0.010638297872340425</v>
      </c>
      <c r="G21" s="17" t="s">
        <v>224</v>
      </c>
    </row>
    <row r="22" ht="15.75" customHeight="1">
      <c r="A22" s="59">
        <v>46204.0</v>
      </c>
      <c r="B22" s="13">
        <v>2.0</v>
      </c>
      <c r="C22" s="13">
        <v>83.0</v>
      </c>
      <c r="D22" s="14">
        <v>0.0241</v>
      </c>
      <c r="E22" s="15">
        <v>6.1</v>
      </c>
      <c r="F22" s="14">
        <v>0.024096385542168676</v>
      </c>
      <c r="G22" s="12" t="s">
        <v>224</v>
      </c>
    </row>
    <row r="23" ht="15.75" customHeight="1">
      <c r="A23" s="60">
        <v>46205.0</v>
      </c>
      <c r="B23" s="18">
        <v>1.0</v>
      </c>
      <c r="C23" s="18">
        <v>104.0</v>
      </c>
      <c r="D23" s="19">
        <v>0.0096</v>
      </c>
      <c r="E23" s="20">
        <v>10.5</v>
      </c>
      <c r="F23" s="19">
        <v>0.009615384615384616</v>
      </c>
      <c r="G23" s="17" t="s">
        <v>224</v>
      </c>
    </row>
    <row r="24" ht="15.75" customHeight="1">
      <c r="A24" s="59">
        <v>46206.0</v>
      </c>
      <c r="B24" s="13">
        <v>2.0</v>
      </c>
      <c r="C24" s="13">
        <v>108.0</v>
      </c>
      <c r="D24" s="14">
        <v>0.018500000000000003</v>
      </c>
      <c r="E24" s="15">
        <v>7.3</v>
      </c>
      <c r="F24" s="14">
        <v>0.018518518518518517</v>
      </c>
      <c r="G24" s="12" t="s">
        <v>224</v>
      </c>
    </row>
    <row r="25" ht="15.75" customHeight="1">
      <c r="A25" s="60">
        <v>46207.0</v>
      </c>
      <c r="B25" s="18">
        <v>1.0</v>
      </c>
      <c r="C25" s="18">
        <v>92.0</v>
      </c>
      <c r="D25" s="19">
        <v>0.0109</v>
      </c>
      <c r="E25" s="20">
        <v>5.7</v>
      </c>
      <c r="F25" s="19">
        <v>0.010869565217391304</v>
      </c>
      <c r="G25" s="17" t="s">
        <v>224</v>
      </c>
    </row>
    <row r="26" ht="15.75" customHeight="1">
      <c r="A26" s="59">
        <v>46208.0</v>
      </c>
      <c r="B26" s="13">
        <v>0.0</v>
      </c>
      <c r="C26" s="13">
        <v>122.0</v>
      </c>
      <c r="D26" s="14">
        <v>0.0</v>
      </c>
      <c r="E26" s="15">
        <v>8.0</v>
      </c>
      <c r="F26" s="14">
        <v>0.0</v>
      </c>
      <c r="G26" s="12" t="s">
        <v>224</v>
      </c>
    </row>
    <row r="27" ht="15.75" customHeight="1">
      <c r="A27" s="60">
        <v>46209.0</v>
      </c>
      <c r="B27" s="18">
        <v>0.0</v>
      </c>
      <c r="C27" s="18">
        <v>107.0</v>
      </c>
      <c r="D27" s="19">
        <v>0.0</v>
      </c>
      <c r="E27" s="20">
        <v>6.1</v>
      </c>
      <c r="F27" s="19">
        <v>0.0</v>
      </c>
      <c r="G27" s="17" t="s">
        <v>224</v>
      </c>
    </row>
    <row r="28" ht="15.75" customHeight="1">
      <c r="A28" s="59">
        <v>46210.0</v>
      </c>
      <c r="B28" s="13">
        <v>1.0</v>
      </c>
      <c r="C28" s="13">
        <v>80.0</v>
      </c>
      <c r="D28" s="14">
        <v>0.0125</v>
      </c>
      <c r="E28" s="15">
        <v>5.7</v>
      </c>
      <c r="F28" s="14">
        <v>0.0125</v>
      </c>
      <c r="G28" s="12" t="s">
        <v>224</v>
      </c>
    </row>
    <row r="29" ht="15.75" customHeight="1">
      <c r="A29" s="60">
        <v>46211.0</v>
      </c>
      <c r="B29" s="18">
        <v>1.0</v>
      </c>
      <c r="C29" s="18">
        <v>123.0</v>
      </c>
      <c r="D29" s="19">
        <v>0.008100000000000001</v>
      </c>
      <c r="E29" s="20">
        <v>6.0</v>
      </c>
      <c r="F29" s="19">
        <v>0.008130081300813009</v>
      </c>
      <c r="G29" s="17" t="s">
        <v>224</v>
      </c>
    </row>
    <row r="30" ht="15.75" customHeight="1">
      <c r="A30" s="59">
        <v>46212.0</v>
      </c>
      <c r="B30" s="13">
        <v>1.0</v>
      </c>
      <c r="C30" s="13">
        <v>117.0</v>
      </c>
      <c r="D30" s="14">
        <v>0.0085</v>
      </c>
      <c r="E30" s="15">
        <v>6.0</v>
      </c>
      <c r="F30" s="14">
        <v>0.008547008547008548</v>
      </c>
      <c r="G30" s="12" t="s">
        <v>224</v>
      </c>
    </row>
    <row r="31" ht="15.75" customHeight="1">
      <c r="A31" s="60">
        <v>46213.0</v>
      </c>
      <c r="B31" s="18">
        <v>4.0</v>
      </c>
      <c r="C31" s="18">
        <v>84.0</v>
      </c>
      <c r="D31" s="19">
        <v>0.047599999999999996</v>
      </c>
      <c r="E31" s="20">
        <v>8.5</v>
      </c>
      <c r="F31" s="19">
        <v>0.047619047619047616</v>
      </c>
      <c r="G31" s="17" t="s">
        <v>224</v>
      </c>
    </row>
    <row r="32" ht="15.75" customHeight="1">
      <c r="A32" s="59">
        <v>46214.0</v>
      </c>
      <c r="B32" s="13">
        <v>3.0</v>
      </c>
      <c r="C32" s="13">
        <v>121.0</v>
      </c>
      <c r="D32" s="14">
        <v>0.0248</v>
      </c>
      <c r="E32" s="15">
        <v>8.8</v>
      </c>
      <c r="F32" s="14">
        <v>0.024793388429752067</v>
      </c>
      <c r="G32" s="12" t="s">
        <v>224</v>
      </c>
    </row>
    <row r="33" ht="15.75" customHeight="1">
      <c r="A33" s="60">
        <v>46215.0</v>
      </c>
      <c r="B33" s="18">
        <v>2.0</v>
      </c>
      <c r="C33" s="18">
        <v>186.0</v>
      </c>
      <c r="D33" s="19">
        <v>0.0108</v>
      </c>
      <c r="E33" s="20">
        <v>11.5</v>
      </c>
      <c r="F33" s="19">
        <v>0.010752688172043012</v>
      </c>
      <c r="G33" s="17" t="s">
        <v>224</v>
      </c>
    </row>
    <row r="34" ht="15.75" customHeight="1">
      <c r="A34" s="59">
        <v>46216.0</v>
      </c>
      <c r="B34" s="13">
        <v>7.0</v>
      </c>
      <c r="C34" s="13">
        <v>122.0</v>
      </c>
      <c r="D34" s="14">
        <v>0.0574</v>
      </c>
      <c r="E34" s="15">
        <v>7.5</v>
      </c>
      <c r="F34" s="14">
        <v>0.05737704918032787</v>
      </c>
      <c r="G34" s="12" t="s">
        <v>224</v>
      </c>
    </row>
    <row r="35" ht="15.75" customHeight="1">
      <c r="A35" s="60">
        <v>46217.0</v>
      </c>
      <c r="B35" s="18">
        <v>2.0</v>
      </c>
      <c r="C35" s="18">
        <v>128.0</v>
      </c>
      <c r="D35" s="19">
        <v>0.015600000000000001</v>
      </c>
      <c r="E35" s="20">
        <v>9.2</v>
      </c>
      <c r="F35" s="19">
        <v>0.015625</v>
      </c>
      <c r="G35" s="17" t="s">
        <v>224</v>
      </c>
    </row>
    <row r="36" ht="15.75" customHeight="1">
      <c r="A36" s="59">
        <v>46218.0</v>
      </c>
      <c r="B36" s="13">
        <v>2.0</v>
      </c>
      <c r="C36" s="13">
        <v>120.0</v>
      </c>
      <c r="D36" s="14">
        <v>0.0167</v>
      </c>
      <c r="E36" s="15">
        <v>9.5</v>
      </c>
      <c r="F36" s="14">
        <v>0.016666666666666666</v>
      </c>
      <c r="G36" s="12" t="s">
        <v>224</v>
      </c>
    </row>
    <row r="37" ht="15.75" customHeight="1">
      <c r="A37" s="60">
        <v>46219.0</v>
      </c>
      <c r="B37" s="18">
        <v>5.0</v>
      </c>
      <c r="C37" s="18">
        <v>111.0</v>
      </c>
      <c r="D37" s="19">
        <v>0.045</v>
      </c>
      <c r="E37" s="20">
        <v>8.6</v>
      </c>
      <c r="F37" s="19">
        <v>0.04504504504504504</v>
      </c>
      <c r="G37" s="17" t="s">
        <v>224</v>
      </c>
    </row>
    <row r="38" ht="15.75" customHeight="1">
      <c r="A38" s="59">
        <v>46220.0</v>
      </c>
      <c r="B38" s="13">
        <v>2.0</v>
      </c>
      <c r="C38" s="13">
        <v>139.0</v>
      </c>
      <c r="D38" s="14">
        <v>0.0144</v>
      </c>
      <c r="E38" s="15">
        <v>11.8</v>
      </c>
      <c r="F38" s="14">
        <v>0.014388489208633094</v>
      </c>
      <c r="G38" s="12" t="s">
        <v>224</v>
      </c>
    </row>
    <row r="39" ht="15.75" customHeight="1">
      <c r="A39" s="60">
        <v>46221.0</v>
      </c>
      <c r="B39" s="18">
        <v>4.0</v>
      </c>
      <c r="C39" s="18">
        <v>155.0</v>
      </c>
      <c r="D39" s="19">
        <v>0.0258</v>
      </c>
      <c r="E39" s="20">
        <v>8.1</v>
      </c>
      <c r="F39" s="19">
        <v>0.025806451612903226</v>
      </c>
      <c r="G39" s="17" t="s">
        <v>224</v>
      </c>
    </row>
    <row r="40" ht="15.75" customHeight="1">
      <c r="A40" s="59">
        <v>46222.0</v>
      </c>
      <c r="B40" s="13">
        <v>10.0</v>
      </c>
      <c r="C40" s="13">
        <v>184.0</v>
      </c>
      <c r="D40" s="14">
        <v>0.054299999999999994</v>
      </c>
      <c r="E40" s="15">
        <v>11.3</v>
      </c>
      <c r="F40" s="14">
        <v>0.05434782608695652</v>
      </c>
      <c r="G40" s="12" t="s">
        <v>224</v>
      </c>
    </row>
    <row r="41" ht="15.75" customHeight="1">
      <c r="A41" s="60">
        <v>46223.0</v>
      </c>
      <c r="B41" s="18">
        <v>9.0</v>
      </c>
      <c r="C41" s="18">
        <v>198.0</v>
      </c>
      <c r="D41" s="19">
        <v>0.0455</v>
      </c>
      <c r="E41" s="20">
        <v>8.5</v>
      </c>
      <c r="F41" s="19">
        <v>0.045454545454545456</v>
      </c>
      <c r="G41" s="17" t="s">
        <v>224</v>
      </c>
    </row>
    <row r="42" ht="15.75" customHeight="1">
      <c r="A42" s="59">
        <v>46224.0</v>
      </c>
      <c r="B42" s="13">
        <v>3.0</v>
      </c>
      <c r="C42" s="13">
        <v>198.0</v>
      </c>
      <c r="D42" s="14">
        <v>0.0152</v>
      </c>
      <c r="E42" s="15">
        <v>9.2</v>
      </c>
      <c r="F42" s="14">
        <v>0.015151515151515152</v>
      </c>
      <c r="G42" s="12" t="s">
        <v>224</v>
      </c>
    </row>
    <row r="43" ht="15.75" customHeight="1">
      <c r="A43" s="60">
        <v>46225.0</v>
      </c>
      <c r="B43" s="18">
        <v>3.0</v>
      </c>
      <c r="C43" s="18">
        <v>183.0</v>
      </c>
      <c r="D43" s="19">
        <v>0.016399999999999998</v>
      </c>
      <c r="E43" s="20">
        <v>11.3</v>
      </c>
      <c r="F43" s="19">
        <v>0.01639344262295082</v>
      </c>
      <c r="G43" s="17" t="s">
        <v>224</v>
      </c>
    </row>
    <row r="44" ht="15.75" customHeight="1">
      <c r="A44" s="59">
        <v>46226.0</v>
      </c>
      <c r="B44" s="13">
        <v>4.0</v>
      </c>
      <c r="C44" s="13">
        <v>187.0</v>
      </c>
      <c r="D44" s="14">
        <v>0.021400000000000002</v>
      </c>
      <c r="E44" s="15">
        <v>8.2</v>
      </c>
      <c r="F44" s="14">
        <v>0.0213903743315508</v>
      </c>
      <c r="G44" s="12" t="s">
        <v>224</v>
      </c>
    </row>
    <row r="45" ht="15.75" customHeight="1">
      <c r="A45" s="60">
        <v>46227.0</v>
      </c>
      <c r="B45" s="18">
        <v>3.0</v>
      </c>
      <c r="C45" s="18">
        <v>178.0</v>
      </c>
      <c r="D45" s="19">
        <v>0.0169</v>
      </c>
      <c r="E45" s="20">
        <v>9.4</v>
      </c>
      <c r="F45" s="19">
        <v>0.016853932584269662</v>
      </c>
      <c r="G45" s="17" t="s">
        <v>224</v>
      </c>
    </row>
    <row r="46" ht="15.75" customHeight="1">
      <c r="A46" s="59">
        <v>46228.0</v>
      </c>
      <c r="B46" s="13">
        <v>1.0</v>
      </c>
      <c r="C46" s="13">
        <v>166.0</v>
      </c>
      <c r="D46" s="14">
        <v>0.006</v>
      </c>
      <c r="E46" s="15">
        <v>7.9</v>
      </c>
      <c r="F46" s="14">
        <v>0.006024096385542169</v>
      </c>
      <c r="G46" s="12" t="s">
        <v>224</v>
      </c>
    </row>
    <row r="47" ht="15.75" customHeight="1">
      <c r="A47" s="60">
        <v>46229.0</v>
      </c>
      <c r="B47" s="18">
        <v>4.0</v>
      </c>
      <c r="C47" s="18">
        <v>204.0</v>
      </c>
      <c r="D47" s="19">
        <v>0.0196</v>
      </c>
      <c r="E47" s="20">
        <v>8.3</v>
      </c>
      <c r="F47" s="19">
        <v>0.0196078431372549</v>
      </c>
      <c r="G47" s="17" t="s">
        <v>224</v>
      </c>
    </row>
    <row r="48" ht="15.75" customHeight="1">
      <c r="A48" s="59">
        <v>46230.0</v>
      </c>
      <c r="B48" s="13">
        <v>10.0</v>
      </c>
      <c r="C48" s="13">
        <v>227.0</v>
      </c>
      <c r="D48" s="14">
        <v>0.0441</v>
      </c>
      <c r="E48" s="15">
        <v>7.9</v>
      </c>
      <c r="F48" s="14">
        <v>0.04405286343612335</v>
      </c>
      <c r="G48" s="12" t="s">
        <v>224</v>
      </c>
    </row>
    <row r="49" ht="15.75" customHeight="1">
      <c r="A49" s="60">
        <v>46231.0</v>
      </c>
      <c r="B49" s="18">
        <v>12.0</v>
      </c>
      <c r="C49" s="18">
        <v>226.0</v>
      </c>
      <c r="D49" s="19">
        <v>0.053099999999999994</v>
      </c>
      <c r="E49" s="20">
        <v>8.0</v>
      </c>
      <c r="F49" s="19">
        <v>0.05309734513274336</v>
      </c>
      <c r="G49" s="17" t="s">
        <v>224</v>
      </c>
    </row>
    <row r="50" ht="15.75" customHeight="1">
      <c r="A50" s="59">
        <v>46232.0</v>
      </c>
      <c r="B50" s="13">
        <v>7.0</v>
      </c>
      <c r="C50" s="13">
        <v>191.0</v>
      </c>
      <c r="D50" s="14">
        <v>0.0366</v>
      </c>
      <c r="E50" s="15">
        <v>8.8</v>
      </c>
      <c r="F50" s="14">
        <v>0.03664921465968586</v>
      </c>
      <c r="G50" s="12" t="s">
        <v>224</v>
      </c>
    </row>
    <row r="51" ht="15.75" customHeight="1">
      <c r="A51" s="60">
        <v>46233.0</v>
      </c>
      <c r="B51" s="18">
        <v>8.0</v>
      </c>
      <c r="C51" s="18">
        <v>226.0</v>
      </c>
      <c r="D51" s="19">
        <v>0.0354</v>
      </c>
      <c r="E51" s="20">
        <v>9.2</v>
      </c>
      <c r="F51" s="19">
        <v>0.035398230088495575</v>
      </c>
      <c r="G51" s="17" t="s">
        <v>224</v>
      </c>
    </row>
    <row r="52" ht="15.75" customHeight="1">
      <c r="A52" s="59">
        <v>46234.0</v>
      </c>
      <c r="B52" s="13">
        <v>8.0</v>
      </c>
      <c r="C52" s="13">
        <v>188.0</v>
      </c>
      <c r="D52" s="14">
        <v>0.0426</v>
      </c>
      <c r="E52" s="15">
        <v>7.8</v>
      </c>
      <c r="F52" s="14">
        <v>0.0425531914893617</v>
      </c>
      <c r="G52" s="12" t="s">
        <v>224</v>
      </c>
    </row>
    <row r="53" ht="15.75" customHeight="1">
      <c r="A53" s="60">
        <v>46235.0</v>
      </c>
      <c r="B53" s="18">
        <v>7.0</v>
      </c>
      <c r="C53" s="18">
        <v>208.0</v>
      </c>
      <c r="D53" s="19">
        <v>0.0337</v>
      </c>
      <c r="E53" s="20">
        <v>10.3</v>
      </c>
      <c r="F53" s="19">
        <v>0.03365384615384615</v>
      </c>
      <c r="G53" s="17" t="s">
        <v>224</v>
      </c>
    </row>
    <row r="54" ht="15.75" customHeight="1">
      <c r="A54" s="59">
        <v>46236.0</v>
      </c>
      <c r="B54" s="13">
        <v>4.0</v>
      </c>
      <c r="C54" s="13">
        <v>199.0</v>
      </c>
      <c r="D54" s="14">
        <v>0.020099999999999996</v>
      </c>
      <c r="E54" s="15">
        <v>7.8</v>
      </c>
      <c r="F54" s="14">
        <v>0.020100502512562814</v>
      </c>
      <c r="G54" s="12" t="s">
        <v>224</v>
      </c>
    </row>
    <row r="55" ht="15.75" customHeight="1">
      <c r="A55" s="60">
        <v>46237.0</v>
      </c>
      <c r="B55" s="18">
        <v>12.0</v>
      </c>
      <c r="C55" s="18">
        <v>222.0</v>
      </c>
      <c r="D55" s="19">
        <v>0.0541</v>
      </c>
      <c r="E55" s="20">
        <v>8.2</v>
      </c>
      <c r="F55" s="19">
        <v>0.05405405405405406</v>
      </c>
      <c r="G55" s="17" t="s">
        <v>224</v>
      </c>
    </row>
    <row r="56" ht="15.75" customHeight="1">
      <c r="A56" s="59">
        <v>46238.0</v>
      </c>
      <c r="B56" s="13">
        <v>5.0</v>
      </c>
      <c r="C56" s="13">
        <v>175.0</v>
      </c>
      <c r="D56" s="14">
        <v>0.0286</v>
      </c>
      <c r="E56" s="15">
        <v>8.7</v>
      </c>
      <c r="F56" s="14">
        <v>0.02857142857142857</v>
      </c>
      <c r="G56" s="12" t="s">
        <v>224</v>
      </c>
    </row>
    <row r="57" ht="15.75" customHeight="1">
      <c r="A57" s="60">
        <v>46239.0</v>
      </c>
      <c r="B57" s="18">
        <v>5.0</v>
      </c>
      <c r="C57" s="18">
        <v>250.0</v>
      </c>
      <c r="D57" s="19">
        <v>0.02</v>
      </c>
      <c r="E57" s="20">
        <v>8.8</v>
      </c>
      <c r="F57" s="19">
        <v>0.02</v>
      </c>
      <c r="G57" s="17" t="s">
        <v>224</v>
      </c>
    </row>
    <row r="58" ht="15.75" customHeight="1">
      <c r="A58" s="59">
        <v>46240.0</v>
      </c>
      <c r="B58" s="13">
        <v>4.0</v>
      </c>
      <c r="C58" s="13">
        <v>188.0</v>
      </c>
      <c r="D58" s="14">
        <v>0.0213</v>
      </c>
      <c r="E58" s="15">
        <v>8.8</v>
      </c>
      <c r="F58" s="14">
        <v>0.02127659574468085</v>
      </c>
      <c r="G58" s="12" t="s">
        <v>224</v>
      </c>
    </row>
    <row r="59" ht="15.75" customHeight="1">
      <c r="A59" s="60">
        <v>46241.0</v>
      </c>
      <c r="B59" s="18">
        <v>7.0</v>
      </c>
      <c r="C59" s="18">
        <v>163.0</v>
      </c>
      <c r="D59" s="19">
        <v>0.0429</v>
      </c>
      <c r="E59" s="20">
        <v>7.8</v>
      </c>
      <c r="F59" s="19">
        <v>0.04294478527607362</v>
      </c>
      <c r="G59" s="17" t="s">
        <v>224</v>
      </c>
    </row>
    <row r="60" ht="15.75" customHeight="1">
      <c r="A60" s="59">
        <v>46242.0</v>
      </c>
      <c r="B60" s="13">
        <v>5.0</v>
      </c>
      <c r="C60" s="13">
        <v>260.0</v>
      </c>
      <c r="D60" s="14">
        <v>0.0192</v>
      </c>
      <c r="E60" s="15">
        <v>7.3</v>
      </c>
      <c r="F60" s="14">
        <v>0.019230769230769232</v>
      </c>
      <c r="G60" s="12" t="s">
        <v>224</v>
      </c>
    </row>
    <row r="61" ht="15.75" customHeight="1">
      <c r="A61" s="60">
        <v>46243.0</v>
      </c>
      <c r="B61" s="18">
        <v>6.0</v>
      </c>
      <c r="C61" s="18">
        <v>347.0</v>
      </c>
      <c r="D61" s="19">
        <v>0.0173</v>
      </c>
      <c r="E61" s="20">
        <v>8.2</v>
      </c>
      <c r="F61" s="19">
        <v>0.01729106628242075</v>
      </c>
      <c r="G61" s="17" t="s">
        <v>224</v>
      </c>
    </row>
    <row r="62" ht="15.75" customHeight="1">
      <c r="A62" s="59">
        <v>46244.0</v>
      </c>
      <c r="B62" s="13">
        <v>6.0</v>
      </c>
      <c r="C62" s="13">
        <v>328.0</v>
      </c>
      <c r="D62" s="14">
        <v>0.0183</v>
      </c>
      <c r="E62" s="15">
        <v>6.3</v>
      </c>
      <c r="F62" s="14">
        <v>0.018292682926829267</v>
      </c>
      <c r="G62" s="12" t="s">
        <v>224</v>
      </c>
    </row>
    <row r="63" ht="15.75" customHeight="1">
      <c r="A63" s="60">
        <v>46245.0</v>
      </c>
      <c r="B63" s="18">
        <v>7.0</v>
      </c>
      <c r="C63" s="18">
        <v>382.0</v>
      </c>
      <c r="D63" s="19">
        <v>0.0183</v>
      </c>
      <c r="E63" s="20">
        <v>10.0</v>
      </c>
      <c r="F63" s="19">
        <v>0.01832460732984293</v>
      </c>
      <c r="G63" s="17" t="s">
        <v>224</v>
      </c>
    </row>
    <row r="64" ht="15.75" customHeight="1">
      <c r="A64" s="59">
        <v>46246.0</v>
      </c>
      <c r="B64" s="13">
        <v>4.0</v>
      </c>
      <c r="C64" s="13">
        <v>257.0</v>
      </c>
      <c r="D64" s="14">
        <v>0.015600000000000001</v>
      </c>
      <c r="E64" s="15">
        <v>8.5</v>
      </c>
      <c r="F64" s="14">
        <v>0.01556420233463035</v>
      </c>
      <c r="G64" s="12" t="s">
        <v>224</v>
      </c>
    </row>
    <row r="65" ht="15.75" customHeight="1">
      <c r="A65" s="60">
        <v>46247.0</v>
      </c>
      <c r="B65" s="18">
        <v>7.0</v>
      </c>
      <c r="C65" s="18">
        <v>238.0</v>
      </c>
      <c r="D65" s="19">
        <v>0.0294</v>
      </c>
      <c r="E65" s="20">
        <v>7.8</v>
      </c>
      <c r="F65" s="19">
        <v>0.029411764705882353</v>
      </c>
      <c r="G65" s="17" t="s">
        <v>224</v>
      </c>
    </row>
    <row r="66" ht="15.75" customHeight="1">
      <c r="A66" s="59">
        <v>46248.0</v>
      </c>
      <c r="B66" s="13">
        <v>5.0</v>
      </c>
      <c r="C66" s="13">
        <v>193.0</v>
      </c>
      <c r="D66" s="14">
        <v>0.0259</v>
      </c>
      <c r="E66" s="15">
        <v>6.9</v>
      </c>
      <c r="F66" s="14">
        <v>0.025906735751295335</v>
      </c>
      <c r="G66" s="12" t="s">
        <v>224</v>
      </c>
    </row>
    <row r="67" ht="15.75" customHeight="1">
      <c r="A67" s="60">
        <v>46249.0</v>
      </c>
      <c r="B67" s="18">
        <v>2.0</v>
      </c>
      <c r="C67" s="18">
        <v>225.0</v>
      </c>
      <c r="D67" s="19">
        <v>0.0089</v>
      </c>
      <c r="E67" s="20">
        <v>8.1</v>
      </c>
      <c r="F67" s="19">
        <v>0.008888888888888889</v>
      </c>
      <c r="G67" s="17" t="s">
        <v>224</v>
      </c>
    </row>
    <row r="68" ht="15.75" customHeight="1">
      <c r="A68" s="59">
        <v>46250.0</v>
      </c>
      <c r="B68" s="13">
        <v>2.0</v>
      </c>
      <c r="C68" s="13">
        <v>266.0</v>
      </c>
      <c r="D68" s="14">
        <v>0.0075</v>
      </c>
      <c r="E68" s="15">
        <v>7.6</v>
      </c>
      <c r="F68" s="14">
        <v>0.007518796992481203</v>
      </c>
      <c r="G68" s="12" t="s">
        <v>224</v>
      </c>
    </row>
    <row r="69" ht="15.75" customHeight="1">
      <c r="A69" s="60">
        <v>46251.0</v>
      </c>
      <c r="B69" s="18">
        <v>6.0</v>
      </c>
      <c r="C69" s="18">
        <v>189.0</v>
      </c>
      <c r="D69" s="19">
        <v>0.0317</v>
      </c>
      <c r="E69" s="20">
        <v>7.3</v>
      </c>
      <c r="F69" s="19">
        <v>0.031746031746031744</v>
      </c>
      <c r="G69" s="17" t="s">
        <v>224</v>
      </c>
    </row>
    <row r="70" ht="15.75" customHeight="1">
      <c r="A70" s="59">
        <v>46252.0</v>
      </c>
      <c r="B70" s="13">
        <v>4.0</v>
      </c>
      <c r="C70" s="13">
        <v>169.0</v>
      </c>
      <c r="D70" s="14">
        <v>0.023700000000000002</v>
      </c>
      <c r="E70" s="15">
        <v>7.6</v>
      </c>
      <c r="F70" s="14">
        <v>0.023668639053254437</v>
      </c>
      <c r="G70" s="12" t="s">
        <v>224</v>
      </c>
    </row>
    <row r="71" ht="15.75" customHeight="1">
      <c r="A71" s="60">
        <v>46253.0</v>
      </c>
      <c r="B71" s="18">
        <v>4.0</v>
      </c>
      <c r="C71" s="18">
        <v>128.0</v>
      </c>
      <c r="D71" s="19">
        <v>0.031200000000000002</v>
      </c>
      <c r="E71" s="20">
        <v>8.4</v>
      </c>
      <c r="F71" s="19">
        <v>0.03125</v>
      </c>
      <c r="G71" s="17" t="s">
        <v>224</v>
      </c>
    </row>
    <row r="72" ht="15.75" customHeight="1">
      <c r="A72" s="67">
        <v>46254.0</v>
      </c>
      <c r="B72" s="62">
        <v>7.0</v>
      </c>
      <c r="C72" s="62">
        <v>117.0</v>
      </c>
      <c r="D72" s="63">
        <v>0.059800000000000006</v>
      </c>
      <c r="E72" s="64">
        <v>8.8</v>
      </c>
      <c r="F72" s="63">
        <v>0.05982905982905983</v>
      </c>
      <c r="G72" s="61" t="s">
        <v>224</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G5:G72">
    <cfRule type="containsText" dxfId="6" priority="1" operator="containsText" text="anomaly">
      <formula>NOT(ISERROR(SEARCH(("anomaly"),(G5))))</formula>
    </cfRule>
  </conditionalFormatting>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2.0"/>
    <col customWidth="1" min="2" max="2" width="14.0"/>
    <col customWidth="1" min="3" max="3" width="24.0"/>
    <col customWidth="1" min="4" max="4" width="10.0"/>
    <col customWidth="1" min="5" max="5" width="12.0"/>
    <col customWidth="1" min="6" max="7" width="10.0"/>
    <col customWidth="1" min="8" max="8" width="14.0"/>
    <col customWidth="1" min="9" max="9" width="18.0"/>
    <col customWidth="1" min="10" max="26" width="8.63"/>
  </cols>
  <sheetData>
    <row r="1" ht="33.75" customHeight="1">
      <c r="A1" s="1" t="s">
        <v>1</v>
      </c>
    </row>
    <row r="2" ht="31.5" customHeight="1">
      <c r="A2" s="2" t="s">
        <v>3</v>
      </c>
    </row>
    <row r="3">
      <c r="A3" s="3"/>
      <c r="B3" s="3"/>
      <c r="C3" s="3"/>
      <c r="D3" s="3"/>
      <c r="E3" s="3"/>
      <c r="F3" s="3"/>
      <c r="G3" s="3"/>
      <c r="H3" s="3"/>
      <c r="I3" s="3"/>
    </row>
    <row r="4" ht="30.0" customHeight="1">
      <c r="A4" s="4" t="s">
        <v>5</v>
      </c>
      <c r="B4" s="5" t="s">
        <v>6</v>
      </c>
      <c r="C4" s="5" t="s">
        <v>8</v>
      </c>
      <c r="D4" s="5" t="s">
        <v>7</v>
      </c>
      <c r="E4" s="5" t="s">
        <v>9</v>
      </c>
      <c r="F4" s="5" t="s">
        <v>10</v>
      </c>
      <c r="G4" s="5" t="s">
        <v>11</v>
      </c>
      <c r="H4" s="5" t="s">
        <v>17</v>
      </c>
      <c r="I4" s="6" t="s">
        <v>19</v>
      </c>
    </row>
    <row r="5">
      <c r="A5" s="7" t="s">
        <v>20</v>
      </c>
      <c r="B5" s="7" t="s">
        <v>21</v>
      </c>
      <c r="C5" s="7" t="s">
        <v>22</v>
      </c>
      <c r="D5" s="8">
        <v>9.0</v>
      </c>
      <c r="E5" s="8">
        <v>335.0</v>
      </c>
      <c r="F5" s="9">
        <v>0.0269</v>
      </c>
      <c r="G5" s="10">
        <v>5.2</v>
      </c>
      <c r="H5" s="7" t="s">
        <v>23</v>
      </c>
      <c r="I5" s="11">
        <v>7.75</v>
      </c>
    </row>
    <row r="6">
      <c r="A6" s="12" t="s">
        <v>25</v>
      </c>
      <c r="B6" s="12" t="s">
        <v>21</v>
      </c>
      <c r="C6" s="12" t="s">
        <v>27</v>
      </c>
      <c r="D6" s="13">
        <v>4.0</v>
      </c>
      <c r="E6" s="13">
        <v>97.0</v>
      </c>
      <c r="F6" s="14">
        <v>0.0412</v>
      </c>
      <c r="G6" s="15">
        <v>13.11</v>
      </c>
      <c r="H6" s="12" t="s">
        <v>23</v>
      </c>
      <c r="I6" s="16">
        <v>0.8500000000000005</v>
      </c>
    </row>
    <row r="7">
      <c r="A7" s="17" t="s">
        <v>30</v>
      </c>
      <c r="B7" s="17" t="s">
        <v>21</v>
      </c>
      <c r="C7" s="17" t="s">
        <v>32</v>
      </c>
      <c r="D7" s="18">
        <v>2.0</v>
      </c>
      <c r="E7" s="18">
        <v>260.0</v>
      </c>
      <c r="F7" s="19">
        <v>0.0077</v>
      </c>
      <c r="G7" s="20">
        <v>7.8</v>
      </c>
      <c r="H7" s="17" t="s">
        <v>23</v>
      </c>
      <c r="I7" s="21">
        <v>11.0</v>
      </c>
    </row>
    <row r="8">
      <c r="A8" s="12" t="s">
        <v>33</v>
      </c>
      <c r="B8" s="12" t="s">
        <v>21</v>
      </c>
      <c r="C8" s="12" t="s">
        <v>34</v>
      </c>
      <c r="D8" s="13">
        <v>2.0</v>
      </c>
      <c r="E8" s="13">
        <v>65.0</v>
      </c>
      <c r="F8" s="14">
        <v>0.0308</v>
      </c>
      <c r="G8" s="15">
        <v>9.92</v>
      </c>
      <c r="H8" s="12" t="s">
        <v>23</v>
      </c>
      <c r="I8" s="16">
        <v>1.25</v>
      </c>
    </row>
    <row r="9">
      <c r="A9" s="17" t="s">
        <v>37</v>
      </c>
      <c r="B9" s="17" t="s">
        <v>21</v>
      </c>
      <c r="C9" s="17" t="s">
        <v>27</v>
      </c>
      <c r="D9" s="18">
        <v>2.0</v>
      </c>
      <c r="E9" s="18">
        <v>52.0</v>
      </c>
      <c r="F9" s="19">
        <v>0.0385</v>
      </c>
      <c r="G9" s="20">
        <v>18.29</v>
      </c>
      <c r="H9" s="17" t="s">
        <v>23</v>
      </c>
      <c r="I9" s="21">
        <v>0.6000000000000001</v>
      </c>
    </row>
    <row r="10">
      <c r="A10" s="12" t="s">
        <v>42</v>
      </c>
      <c r="B10" s="12" t="s">
        <v>43</v>
      </c>
      <c r="C10" s="12" t="s">
        <v>45</v>
      </c>
      <c r="D10" s="13">
        <v>1.0</v>
      </c>
      <c r="E10" s="13">
        <v>51.0</v>
      </c>
      <c r="F10" s="14">
        <v>0.0196</v>
      </c>
      <c r="G10" s="15">
        <v>15.86</v>
      </c>
      <c r="H10" s="12" t="s">
        <v>23</v>
      </c>
      <c r="I10" s="16">
        <v>1.5500000000000003</v>
      </c>
    </row>
    <row r="11">
      <c r="A11" s="17" t="s">
        <v>47</v>
      </c>
      <c r="B11" s="17" t="s">
        <v>21</v>
      </c>
      <c r="C11" s="17" t="s">
        <v>27</v>
      </c>
      <c r="D11" s="18">
        <v>1.0</v>
      </c>
      <c r="E11" s="18">
        <v>33.0</v>
      </c>
      <c r="F11" s="19">
        <v>0.030299999999999997</v>
      </c>
      <c r="G11" s="20">
        <v>15.09</v>
      </c>
      <c r="H11" s="17" t="s">
        <v>23</v>
      </c>
      <c r="I11" s="21">
        <v>0.6500000000000001</v>
      </c>
    </row>
    <row r="12">
      <c r="A12" s="12" t="s">
        <v>54</v>
      </c>
      <c r="B12" s="12" t="s">
        <v>21</v>
      </c>
      <c r="C12" s="12" t="s">
        <v>27</v>
      </c>
      <c r="D12" s="13">
        <v>1.0</v>
      </c>
      <c r="E12" s="13">
        <v>23.0</v>
      </c>
      <c r="F12" s="14">
        <v>0.0435</v>
      </c>
      <c r="G12" s="15">
        <v>14.09</v>
      </c>
      <c r="H12" s="12" t="s">
        <v>23</v>
      </c>
      <c r="I12" s="16">
        <v>0.15000000000000013</v>
      </c>
    </row>
    <row r="13">
      <c r="A13" s="17" t="s">
        <v>58</v>
      </c>
      <c r="B13" s="17" t="s">
        <v>21</v>
      </c>
      <c r="C13" s="17" t="s">
        <v>32</v>
      </c>
      <c r="D13" s="18">
        <v>1.0</v>
      </c>
      <c r="E13" s="18">
        <v>22.0</v>
      </c>
      <c r="F13" s="19">
        <v>0.0455</v>
      </c>
      <c r="G13" s="20">
        <v>8.09</v>
      </c>
      <c r="H13" s="17" t="s">
        <v>23</v>
      </c>
      <c r="I13" s="21">
        <v>0.10000000000000009</v>
      </c>
    </row>
    <row r="14">
      <c r="A14" s="12" t="s">
        <v>63</v>
      </c>
      <c r="B14" s="12" t="s">
        <v>21</v>
      </c>
      <c r="C14" s="12" t="s">
        <v>27</v>
      </c>
      <c r="D14" s="13">
        <v>1.0</v>
      </c>
      <c r="E14" s="13">
        <v>19.0</v>
      </c>
      <c r="F14" s="14">
        <v>0.0526</v>
      </c>
      <c r="G14" s="15">
        <v>13.95</v>
      </c>
      <c r="H14" s="12" t="s">
        <v>23</v>
      </c>
      <c r="I14" s="16">
        <v>0.0</v>
      </c>
    </row>
    <row r="15">
      <c r="A15" s="17" t="s">
        <v>68</v>
      </c>
      <c r="B15" s="17" t="s">
        <v>21</v>
      </c>
      <c r="C15" s="17" t="s">
        <v>34</v>
      </c>
      <c r="D15" s="18">
        <v>1.0</v>
      </c>
      <c r="E15" s="18">
        <v>15.0</v>
      </c>
      <c r="F15" s="19">
        <v>0.0667</v>
      </c>
      <c r="G15" s="20">
        <v>7.2</v>
      </c>
      <c r="H15" s="17" t="s">
        <v>23</v>
      </c>
      <c r="I15" s="21">
        <v>0.0</v>
      </c>
    </row>
    <row r="16">
      <c r="A16" s="12" t="s">
        <v>75</v>
      </c>
      <c r="B16" s="12" t="s">
        <v>76</v>
      </c>
      <c r="C16" s="12" t="s">
        <v>27</v>
      </c>
      <c r="D16" s="13">
        <v>1.0</v>
      </c>
      <c r="E16" s="13">
        <v>9.0</v>
      </c>
      <c r="F16" s="14">
        <v>0.11109999999999999</v>
      </c>
      <c r="G16" s="15">
        <v>24.33</v>
      </c>
      <c r="H16" s="12" t="s">
        <v>81</v>
      </c>
      <c r="I16" s="16">
        <v>0.0</v>
      </c>
    </row>
    <row r="17">
      <c r="A17" s="17" t="s">
        <v>83</v>
      </c>
      <c r="B17" s="17" t="s">
        <v>76</v>
      </c>
      <c r="C17" s="17" t="s">
        <v>27</v>
      </c>
      <c r="D17" s="18">
        <v>1.0</v>
      </c>
      <c r="E17" s="18">
        <v>3.0</v>
      </c>
      <c r="F17" s="19">
        <v>0.3333</v>
      </c>
      <c r="G17" s="20">
        <v>33.33</v>
      </c>
      <c r="H17" s="17" t="s">
        <v>81</v>
      </c>
      <c r="I17" s="21">
        <v>0.0</v>
      </c>
    </row>
    <row r="18">
      <c r="A18" s="12" t="s">
        <v>84</v>
      </c>
      <c r="B18" s="12" t="s">
        <v>21</v>
      </c>
      <c r="C18" s="12" t="s">
        <v>85</v>
      </c>
      <c r="D18" s="13">
        <v>1.0</v>
      </c>
      <c r="E18" s="13">
        <v>3.0</v>
      </c>
      <c r="F18" s="14">
        <v>0.3333</v>
      </c>
      <c r="G18" s="15">
        <v>36.0</v>
      </c>
      <c r="H18" s="12" t="s">
        <v>81</v>
      </c>
      <c r="I18" s="16">
        <v>0.0</v>
      </c>
    </row>
    <row r="19">
      <c r="A19" s="17" t="s">
        <v>87</v>
      </c>
      <c r="B19" s="17" t="s">
        <v>76</v>
      </c>
      <c r="C19" s="17" t="s">
        <v>27</v>
      </c>
      <c r="D19" s="18">
        <v>1.0</v>
      </c>
      <c r="E19" s="18">
        <v>2.0</v>
      </c>
      <c r="F19" s="19">
        <v>0.5</v>
      </c>
      <c r="G19" s="20">
        <v>29.5</v>
      </c>
      <c r="H19" s="17" t="s">
        <v>81</v>
      </c>
      <c r="I19" s="21">
        <v>0.0</v>
      </c>
    </row>
    <row r="20">
      <c r="A20" s="12" t="s">
        <v>91</v>
      </c>
      <c r="B20" s="12" t="s">
        <v>21</v>
      </c>
      <c r="C20" s="12" t="s">
        <v>92</v>
      </c>
      <c r="D20" s="13">
        <v>1.0</v>
      </c>
      <c r="E20" s="13">
        <v>1.0</v>
      </c>
      <c r="F20" s="14">
        <v>1.0</v>
      </c>
      <c r="G20" s="15">
        <v>8.0</v>
      </c>
      <c r="H20" s="12" t="s">
        <v>81</v>
      </c>
      <c r="I20" s="16">
        <v>0.0</v>
      </c>
    </row>
    <row r="21" ht="15.75" customHeight="1">
      <c r="A21" s="17" t="s">
        <v>95</v>
      </c>
      <c r="B21" s="17" t="s">
        <v>21</v>
      </c>
      <c r="C21" s="17" t="s">
        <v>27</v>
      </c>
      <c r="D21" s="18">
        <v>0.0</v>
      </c>
      <c r="E21" s="18">
        <v>37.0</v>
      </c>
      <c r="F21" s="19">
        <v>0.0</v>
      </c>
      <c r="G21" s="20">
        <v>11.68</v>
      </c>
      <c r="H21" s="17" t="s">
        <v>23</v>
      </c>
      <c r="I21" s="21">
        <v>1.85</v>
      </c>
    </row>
    <row r="22" ht="15.75" customHeight="1">
      <c r="A22" s="12" t="s">
        <v>100</v>
      </c>
      <c r="B22" s="12" t="s">
        <v>21</v>
      </c>
      <c r="C22" s="12" t="s">
        <v>32</v>
      </c>
      <c r="D22" s="13">
        <v>0.0</v>
      </c>
      <c r="E22" s="13">
        <v>30.0</v>
      </c>
      <c r="F22" s="14">
        <v>0.0</v>
      </c>
      <c r="G22" s="15">
        <v>55.63</v>
      </c>
      <c r="H22" s="12" t="s">
        <v>81</v>
      </c>
      <c r="I22" s="16">
        <v>1.5</v>
      </c>
    </row>
    <row r="23" ht="15.75" customHeight="1">
      <c r="A23" s="17" t="s">
        <v>108</v>
      </c>
      <c r="B23" s="17" t="s">
        <v>21</v>
      </c>
      <c r="C23" s="17" t="s">
        <v>27</v>
      </c>
      <c r="D23" s="18">
        <v>0.0</v>
      </c>
      <c r="E23" s="18">
        <v>28.0</v>
      </c>
      <c r="F23" s="19">
        <v>0.0</v>
      </c>
      <c r="G23" s="20">
        <v>13.18</v>
      </c>
      <c r="H23" s="17" t="s">
        <v>23</v>
      </c>
      <c r="I23" s="21">
        <v>1.4000000000000001</v>
      </c>
    </row>
    <row r="24" ht="15.75" customHeight="1">
      <c r="A24" s="12" t="s">
        <v>117</v>
      </c>
      <c r="B24" s="12" t="s">
        <v>21</v>
      </c>
      <c r="C24" s="12" t="s">
        <v>27</v>
      </c>
      <c r="D24" s="13">
        <v>0.0</v>
      </c>
      <c r="E24" s="13">
        <v>25.0</v>
      </c>
      <c r="F24" s="14">
        <v>0.0</v>
      </c>
      <c r="G24" s="15">
        <v>16.72</v>
      </c>
      <c r="H24" s="12" t="s">
        <v>23</v>
      </c>
      <c r="I24" s="16">
        <v>1.25</v>
      </c>
    </row>
    <row r="25" ht="15.75" customHeight="1">
      <c r="A25" s="17" t="s">
        <v>129</v>
      </c>
      <c r="B25" s="17" t="s">
        <v>132</v>
      </c>
      <c r="C25" s="17" t="s">
        <v>27</v>
      </c>
      <c r="D25" s="18">
        <v>0.0</v>
      </c>
      <c r="E25" s="18">
        <v>24.0</v>
      </c>
      <c r="F25" s="19">
        <v>0.0</v>
      </c>
      <c r="G25" s="20">
        <v>11.54</v>
      </c>
      <c r="H25" s="17" t="s">
        <v>23</v>
      </c>
      <c r="I25" s="21">
        <v>1.2000000000000002</v>
      </c>
    </row>
    <row r="26" ht="15.75" customHeight="1">
      <c r="A26" s="12" t="s">
        <v>144</v>
      </c>
      <c r="B26" s="12" t="s">
        <v>21</v>
      </c>
      <c r="C26" s="12" t="s">
        <v>150</v>
      </c>
      <c r="D26" s="13">
        <v>0.0</v>
      </c>
      <c r="E26" s="13">
        <v>22.0</v>
      </c>
      <c r="F26" s="14">
        <v>0.0</v>
      </c>
      <c r="G26" s="15">
        <v>70.73</v>
      </c>
      <c r="H26" s="12" t="s">
        <v>81</v>
      </c>
      <c r="I26" s="16">
        <v>1.1</v>
      </c>
    </row>
    <row r="27" ht="15.75" customHeight="1">
      <c r="A27" s="17" t="s">
        <v>167</v>
      </c>
      <c r="B27" s="17" t="s">
        <v>21</v>
      </c>
      <c r="C27" s="17" t="s">
        <v>34</v>
      </c>
      <c r="D27" s="18">
        <v>0.0</v>
      </c>
      <c r="E27" s="18">
        <v>21.0</v>
      </c>
      <c r="F27" s="19">
        <v>0.0</v>
      </c>
      <c r="G27" s="20">
        <v>9.1</v>
      </c>
      <c r="H27" s="17" t="s">
        <v>23</v>
      </c>
      <c r="I27" s="21">
        <v>1.05</v>
      </c>
    </row>
    <row r="28" ht="15.75" customHeight="1">
      <c r="A28" s="12" t="s">
        <v>170</v>
      </c>
      <c r="B28" s="12" t="s">
        <v>21</v>
      </c>
      <c r="C28" s="12" t="s">
        <v>34</v>
      </c>
      <c r="D28" s="13">
        <v>0.0</v>
      </c>
      <c r="E28" s="13">
        <v>20.0</v>
      </c>
      <c r="F28" s="14">
        <v>0.0</v>
      </c>
      <c r="G28" s="15">
        <v>5.75</v>
      </c>
      <c r="H28" s="12" t="s">
        <v>23</v>
      </c>
      <c r="I28" s="16">
        <v>1.0</v>
      </c>
    </row>
    <row r="29" ht="15.75" customHeight="1">
      <c r="A29" s="17" t="s">
        <v>173</v>
      </c>
      <c r="B29" s="17" t="s">
        <v>132</v>
      </c>
      <c r="C29" s="17" t="s">
        <v>92</v>
      </c>
      <c r="D29" s="18">
        <v>0.0</v>
      </c>
      <c r="E29" s="18">
        <v>19.0</v>
      </c>
      <c r="F29" s="19">
        <v>0.0</v>
      </c>
      <c r="G29" s="20">
        <v>13.11</v>
      </c>
      <c r="H29" s="17" t="s">
        <v>23</v>
      </c>
      <c r="I29" s="21">
        <v>0.9500000000000001</v>
      </c>
    </row>
    <row r="30" ht="15.75" customHeight="1">
      <c r="A30" s="12" t="s">
        <v>179</v>
      </c>
      <c r="B30" s="12" t="s">
        <v>21</v>
      </c>
      <c r="C30" s="12" t="s">
        <v>32</v>
      </c>
      <c r="D30" s="13">
        <v>0.0</v>
      </c>
      <c r="E30" s="13">
        <v>17.0</v>
      </c>
      <c r="F30" s="14">
        <v>0.0</v>
      </c>
      <c r="G30" s="15">
        <v>21.59</v>
      </c>
      <c r="H30" s="12" t="s">
        <v>81</v>
      </c>
      <c r="I30" s="16">
        <v>0.8500000000000001</v>
      </c>
    </row>
    <row r="31" ht="15.75" customHeight="1">
      <c r="A31" s="17" t="s">
        <v>182</v>
      </c>
      <c r="B31" s="17" t="s">
        <v>21</v>
      </c>
      <c r="C31" s="17" t="s">
        <v>34</v>
      </c>
      <c r="D31" s="18">
        <v>0.0</v>
      </c>
      <c r="E31" s="18">
        <v>16.0</v>
      </c>
      <c r="F31" s="19">
        <v>0.0</v>
      </c>
      <c r="G31" s="20">
        <v>7.75</v>
      </c>
      <c r="H31" s="17" t="s">
        <v>23</v>
      </c>
      <c r="I31" s="21">
        <v>0.8</v>
      </c>
    </row>
    <row r="32" ht="15.75" customHeight="1">
      <c r="A32" s="12" t="s">
        <v>186</v>
      </c>
      <c r="B32" s="12" t="s">
        <v>21</v>
      </c>
      <c r="C32" s="12" t="s">
        <v>32</v>
      </c>
      <c r="D32" s="13">
        <v>0.0</v>
      </c>
      <c r="E32" s="13">
        <v>16.0</v>
      </c>
      <c r="F32" s="14">
        <v>0.0</v>
      </c>
      <c r="G32" s="15">
        <v>20.06</v>
      </c>
      <c r="H32" s="12" t="s">
        <v>81</v>
      </c>
      <c r="I32" s="16">
        <v>0.8</v>
      </c>
    </row>
    <row r="33" ht="15.75" customHeight="1">
      <c r="A33" s="17" t="s">
        <v>188</v>
      </c>
      <c r="B33" s="17" t="s">
        <v>21</v>
      </c>
      <c r="C33" s="17" t="s">
        <v>34</v>
      </c>
      <c r="D33" s="18">
        <v>0.0</v>
      </c>
      <c r="E33" s="18">
        <v>15.0</v>
      </c>
      <c r="F33" s="19">
        <v>0.0</v>
      </c>
      <c r="G33" s="20">
        <v>9.67</v>
      </c>
      <c r="H33" s="17" t="s">
        <v>23</v>
      </c>
      <c r="I33" s="21">
        <v>0.75</v>
      </c>
    </row>
    <row r="34" ht="15.75" customHeight="1">
      <c r="A34" s="12" t="s">
        <v>190</v>
      </c>
      <c r="B34" s="12" t="s">
        <v>21</v>
      </c>
      <c r="C34" s="12" t="s">
        <v>27</v>
      </c>
      <c r="D34" s="13">
        <v>0.0</v>
      </c>
      <c r="E34" s="13">
        <v>14.0</v>
      </c>
      <c r="F34" s="14">
        <v>0.0</v>
      </c>
      <c r="G34" s="15">
        <v>11.29</v>
      </c>
      <c r="H34" s="12" t="s">
        <v>23</v>
      </c>
      <c r="I34" s="16">
        <v>0.7000000000000001</v>
      </c>
    </row>
    <row r="35" ht="15.75" customHeight="1">
      <c r="A35" s="17" t="s">
        <v>193</v>
      </c>
      <c r="B35" s="17" t="s">
        <v>21</v>
      </c>
      <c r="C35" s="17" t="s">
        <v>27</v>
      </c>
      <c r="D35" s="18">
        <v>0.0</v>
      </c>
      <c r="E35" s="18">
        <v>14.0</v>
      </c>
      <c r="F35" s="19">
        <v>0.0</v>
      </c>
      <c r="G35" s="20">
        <v>12.86</v>
      </c>
      <c r="H35" s="17" t="s">
        <v>23</v>
      </c>
      <c r="I35" s="21">
        <v>0.7000000000000001</v>
      </c>
    </row>
    <row r="36" ht="15.75" customHeight="1">
      <c r="A36" s="12" t="s">
        <v>196</v>
      </c>
      <c r="B36" s="12" t="s">
        <v>21</v>
      </c>
      <c r="C36" s="12" t="s">
        <v>27</v>
      </c>
      <c r="D36" s="13">
        <v>0.0</v>
      </c>
      <c r="E36" s="13">
        <v>13.0</v>
      </c>
      <c r="F36" s="14">
        <v>0.0</v>
      </c>
      <c r="G36" s="15">
        <v>11.92</v>
      </c>
      <c r="H36" s="12" t="s">
        <v>23</v>
      </c>
      <c r="I36" s="16">
        <v>0.65</v>
      </c>
    </row>
    <row r="37" ht="15.75" customHeight="1">
      <c r="A37" s="17" t="s">
        <v>199</v>
      </c>
      <c r="B37" s="17" t="s">
        <v>21</v>
      </c>
      <c r="C37" s="17" t="s">
        <v>27</v>
      </c>
      <c r="D37" s="18">
        <v>0.0</v>
      </c>
      <c r="E37" s="18">
        <v>13.0</v>
      </c>
      <c r="F37" s="19">
        <v>0.0</v>
      </c>
      <c r="G37" s="20">
        <v>12.15</v>
      </c>
      <c r="H37" s="17" t="s">
        <v>23</v>
      </c>
      <c r="I37" s="21">
        <v>0.65</v>
      </c>
    </row>
    <row r="38" ht="15.75" customHeight="1">
      <c r="A38" s="12" t="s">
        <v>204</v>
      </c>
      <c r="B38" s="12" t="s">
        <v>21</v>
      </c>
      <c r="C38" s="12" t="s">
        <v>27</v>
      </c>
      <c r="D38" s="13">
        <v>0.0</v>
      </c>
      <c r="E38" s="13">
        <v>13.0</v>
      </c>
      <c r="F38" s="14">
        <v>0.0</v>
      </c>
      <c r="G38" s="15">
        <v>12.69</v>
      </c>
      <c r="H38" s="12" t="s">
        <v>23</v>
      </c>
      <c r="I38" s="16">
        <v>0.65</v>
      </c>
    </row>
    <row r="39" ht="15.75" customHeight="1">
      <c r="A39" s="17" t="s">
        <v>209</v>
      </c>
      <c r="B39" s="17" t="s">
        <v>21</v>
      </c>
      <c r="C39" s="17" t="s">
        <v>210</v>
      </c>
      <c r="D39" s="18">
        <v>0.0</v>
      </c>
      <c r="E39" s="18">
        <v>12.0</v>
      </c>
      <c r="F39" s="19">
        <v>0.0</v>
      </c>
      <c r="G39" s="20">
        <v>9.58</v>
      </c>
      <c r="H39" s="17" t="s">
        <v>23</v>
      </c>
      <c r="I39" s="21">
        <v>0.6000000000000001</v>
      </c>
    </row>
    <row r="40" ht="15.75" customHeight="1">
      <c r="A40" s="12" t="s">
        <v>216</v>
      </c>
      <c r="B40" s="12" t="s">
        <v>21</v>
      </c>
      <c r="C40" s="12" t="s">
        <v>27</v>
      </c>
      <c r="D40" s="13">
        <v>0.0</v>
      </c>
      <c r="E40" s="13">
        <v>11.0</v>
      </c>
      <c r="F40" s="14">
        <v>0.0</v>
      </c>
      <c r="G40" s="15">
        <v>13.64</v>
      </c>
      <c r="H40" s="12" t="s">
        <v>23</v>
      </c>
      <c r="I40" s="16">
        <v>0.55</v>
      </c>
    </row>
    <row r="41" ht="15.75" customHeight="1">
      <c r="A41" s="17" t="s">
        <v>219</v>
      </c>
      <c r="B41" s="17" t="s">
        <v>21</v>
      </c>
      <c r="C41" s="17" t="s">
        <v>210</v>
      </c>
      <c r="D41" s="18">
        <v>0.0</v>
      </c>
      <c r="E41" s="18">
        <v>11.0</v>
      </c>
      <c r="F41" s="19">
        <v>0.0</v>
      </c>
      <c r="G41" s="20">
        <v>19.09</v>
      </c>
      <c r="H41" s="17" t="s">
        <v>23</v>
      </c>
      <c r="I41" s="21">
        <v>0.55</v>
      </c>
    </row>
    <row r="42" ht="15.75" customHeight="1">
      <c r="A42" s="12" t="s">
        <v>223</v>
      </c>
      <c r="B42" s="12" t="s">
        <v>21</v>
      </c>
      <c r="C42" s="12" t="s">
        <v>27</v>
      </c>
      <c r="D42" s="13">
        <v>0.0</v>
      </c>
      <c r="E42" s="13">
        <v>11.0</v>
      </c>
      <c r="F42" s="14">
        <v>0.0</v>
      </c>
      <c r="G42" s="15">
        <v>21.27</v>
      </c>
      <c r="H42" s="12" t="s">
        <v>81</v>
      </c>
      <c r="I42" s="16">
        <v>0.55</v>
      </c>
    </row>
    <row r="43" ht="15.75" customHeight="1">
      <c r="A43" s="17" t="s">
        <v>227</v>
      </c>
      <c r="B43" s="17" t="s">
        <v>132</v>
      </c>
      <c r="C43" s="17" t="s">
        <v>32</v>
      </c>
      <c r="D43" s="18">
        <v>0.0</v>
      </c>
      <c r="E43" s="18">
        <v>11.0</v>
      </c>
      <c r="F43" s="19">
        <v>0.0</v>
      </c>
      <c r="G43" s="20">
        <v>46.73</v>
      </c>
      <c r="H43" s="17" t="s">
        <v>81</v>
      </c>
      <c r="I43" s="21">
        <v>0.55</v>
      </c>
    </row>
    <row r="44" ht="15.75" customHeight="1">
      <c r="A44" s="12" t="s">
        <v>230</v>
      </c>
      <c r="B44" s="12" t="s">
        <v>21</v>
      </c>
      <c r="C44" s="12" t="s">
        <v>32</v>
      </c>
      <c r="D44" s="13">
        <v>0.0</v>
      </c>
      <c r="E44" s="13">
        <v>10.0</v>
      </c>
      <c r="F44" s="14">
        <v>0.0</v>
      </c>
      <c r="G44" s="15">
        <v>5.5</v>
      </c>
      <c r="H44" s="12" t="s">
        <v>23</v>
      </c>
      <c r="I44" s="16">
        <v>0.5</v>
      </c>
    </row>
    <row r="45" ht="15.75" customHeight="1">
      <c r="A45" s="17" t="s">
        <v>233</v>
      </c>
      <c r="B45" s="17" t="s">
        <v>21</v>
      </c>
      <c r="C45" s="17" t="s">
        <v>27</v>
      </c>
      <c r="D45" s="18">
        <v>0.0</v>
      </c>
      <c r="E45" s="18">
        <v>10.0</v>
      </c>
      <c r="F45" s="19">
        <v>0.0</v>
      </c>
      <c r="G45" s="20">
        <v>15.0</v>
      </c>
      <c r="H45" s="17" t="s">
        <v>23</v>
      </c>
      <c r="I45" s="21">
        <v>0.5</v>
      </c>
    </row>
    <row r="46" ht="15.75" customHeight="1">
      <c r="A46" s="12" t="s">
        <v>237</v>
      </c>
      <c r="B46" s="12" t="s">
        <v>21</v>
      </c>
      <c r="C46" s="12" t="s">
        <v>27</v>
      </c>
      <c r="D46" s="13">
        <v>0.0</v>
      </c>
      <c r="E46" s="13">
        <v>10.0</v>
      </c>
      <c r="F46" s="14">
        <v>0.0</v>
      </c>
      <c r="G46" s="15">
        <v>22.6</v>
      </c>
      <c r="H46" s="12" t="s">
        <v>81</v>
      </c>
      <c r="I46" s="16">
        <v>0.5</v>
      </c>
    </row>
    <row r="47" ht="15.75" customHeight="1">
      <c r="A47" s="17" t="s">
        <v>241</v>
      </c>
      <c r="B47" s="17" t="s">
        <v>21</v>
      </c>
      <c r="C47" s="17" t="s">
        <v>27</v>
      </c>
      <c r="D47" s="18">
        <v>0.0</v>
      </c>
      <c r="E47" s="18">
        <v>9.0</v>
      </c>
      <c r="F47" s="19">
        <v>0.0</v>
      </c>
      <c r="G47" s="20">
        <v>11.67</v>
      </c>
      <c r="H47" s="17" t="s">
        <v>23</v>
      </c>
      <c r="I47" s="21">
        <v>0.45</v>
      </c>
    </row>
    <row r="48" ht="15.75" customHeight="1">
      <c r="A48" s="12" t="s">
        <v>245</v>
      </c>
      <c r="B48" s="12" t="s">
        <v>76</v>
      </c>
      <c r="C48" s="12" t="s">
        <v>32</v>
      </c>
      <c r="D48" s="13">
        <v>0.0</v>
      </c>
      <c r="E48" s="13">
        <v>9.0</v>
      </c>
      <c r="F48" s="14">
        <v>0.0</v>
      </c>
      <c r="G48" s="15">
        <v>44.44</v>
      </c>
      <c r="H48" s="12" t="s">
        <v>81</v>
      </c>
      <c r="I48" s="16">
        <v>0.45</v>
      </c>
    </row>
    <row r="49" ht="15.75" customHeight="1">
      <c r="A49" s="17" t="s">
        <v>247</v>
      </c>
      <c r="B49" s="17" t="s">
        <v>21</v>
      </c>
      <c r="C49" s="17" t="s">
        <v>22</v>
      </c>
      <c r="D49" s="18">
        <v>0.0</v>
      </c>
      <c r="E49" s="18">
        <v>9.0</v>
      </c>
      <c r="F49" s="19">
        <v>0.0</v>
      </c>
      <c r="G49" s="20">
        <v>46.78</v>
      </c>
      <c r="H49" s="17" t="s">
        <v>81</v>
      </c>
      <c r="I49" s="21">
        <v>0.45</v>
      </c>
    </row>
    <row r="50" ht="15.75" customHeight="1">
      <c r="A50" s="12" t="s">
        <v>250</v>
      </c>
      <c r="B50" s="12" t="s">
        <v>21</v>
      </c>
      <c r="C50" s="12" t="s">
        <v>34</v>
      </c>
      <c r="D50" s="13">
        <v>0.0</v>
      </c>
      <c r="E50" s="13">
        <v>8.0</v>
      </c>
      <c r="F50" s="14">
        <v>0.0</v>
      </c>
      <c r="G50" s="15">
        <v>9.0</v>
      </c>
      <c r="H50" s="12" t="s">
        <v>23</v>
      </c>
      <c r="I50" s="16">
        <v>0.4</v>
      </c>
    </row>
    <row r="51" ht="15.75" customHeight="1">
      <c r="A51" s="17" t="s">
        <v>252</v>
      </c>
      <c r="B51" s="17" t="s">
        <v>21</v>
      </c>
      <c r="C51" s="17" t="s">
        <v>27</v>
      </c>
      <c r="D51" s="18">
        <v>0.0</v>
      </c>
      <c r="E51" s="18">
        <v>8.0</v>
      </c>
      <c r="F51" s="19">
        <v>0.0</v>
      </c>
      <c r="G51" s="20">
        <v>23.5</v>
      </c>
      <c r="H51" s="17" t="s">
        <v>81</v>
      </c>
      <c r="I51" s="21">
        <v>0.4</v>
      </c>
    </row>
    <row r="52" ht="15.75" customHeight="1">
      <c r="A52" s="12" t="s">
        <v>253</v>
      </c>
      <c r="B52" s="12" t="s">
        <v>21</v>
      </c>
      <c r="C52" s="12" t="s">
        <v>34</v>
      </c>
      <c r="D52" s="13">
        <v>0.0</v>
      </c>
      <c r="E52" s="13">
        <v>7.0</v>
      </c>
      <c r="F52" s="14">
        <v>0.0</v>
      </c>
      <c r="G52" s="15">
        <v>9.14</v>
      </c>
      <c r="H52" s="12" t="s">
        <v>23</v>
      </c>
      <c r="I52" s="16">
        <v>0.35000000000000003</v>
      </c>
    </row>
    <row r="53" ht="15.75" customHeight="1">
      <c r="A53" s="17" t="s">
        <v>255</v>
      </c>
      <c r="B53" s="17" t="s">
        <v>76</v>
      </c>
      <c r="C53" s="17" t="s">
        <v>27</v>
      </c>
      <c r="D53" s="18">
        <v>0.0</v>
      </c>
      <c r="E53" s="18">
        <v>7.0</v>
      </c>
      <c r="F53" s="19">
        <v>0.0</v>
      </c>
      <c r="G53" s="20">
        <v>29.14</v>
      </c>
      <c r="H53" s="17" t="s">
        <v>81</v>
      </c>
      <c r="I53" s="21">
        <v>0.35000000000000003</v>
      </c>
    </row>
    <row r="54" ht="15.75" customHeight="1">
      <c r="A54" s="12" t="s">
        <v>256</v>
      </c>
      <c r="B54" s="12" t="s">
        <v>21</v>
      </c>
      <c r="C54" s="12" t="s">
        <v>32</v>
      </c>
      <c r="D54" s="13">
        <v>0.0</v>
      </c>
      <c r="E54" s="13">
        <v>6.0</v>
      </c>
      <c r="F54" s="14">
        <v>0.0</v>
      </c>
      <c r="G54" s="15">
        <v>1.83</v>
      </c>
      <c r="H54" s="12" t="s">
        <v>259</v>
      </c>
      <c r="I54" s="16">
        <v>0.30000000000000004</v>
      </c>
    </row>
    <row r="55" ht="15.75" customHeight="1">
      <c r="A55" s="17" t="s">
        <v>261</v>
      </c>
      <c r="B55" s="17" t="s">
        <v>21</v>
      </c>
      <c r="C55" s="17" t="s">
        <v>32</v>
      </c>
      <c r="D55" s="18">
        <v>0.0</v>
      </c>
      <c r="E55" s="18">
        <v>6.0</v>
      </c>
      <c r="F55" s="19">
        <v>0.0</v>
      </c>
      <c r="G55" s="20">
        <v>8.17</v>
      </c>
      <c r="H55" s="17" t="s">
        <v>23</v>
      </c>
      <c r="I55" s="21">
        <v>0.30000000000000004</v>
      </c>
    </row>
    <row r="56" ht="15.75" customHeight="1">
      <c r="A56" s="12" t="s">
        <v>266</v>
      </c>
      <c r="B56" s="12" t="s">
        <v>21</v>
      </c>
      <c r="C56" s="12" t="s">
        <v>22</v>
      </c>
      <c r="D56" s="13">
        <v>0.0</v>
      </c>
      <c r="E56" s="13">
        <v>6.0</v>
      </c>
      <c r="F56" s="14">
        <v>0.0</v>
      </c>
      <c r="G56" s="15">
        <v>8.5</v>
      </c>
      <c r="H56" s="12" t="s">
        <v>23</v>
      </c>
      <c r="I56" s="16">
        <v>0.30000000000000004</v>
      </c>
    </row>
    <row r="57" ht="15.75" customHeight="1">
      <c r="A57" s="17" t="s">
        <v>272</v>
      </c>
      <c r="B57" s="17" t="s">
        <v>21</v>
      </c>
      <c r="C57" s="17" t="s">
        <v>27</v>
      </c>
      <c r="D57" s="18">
        <v>0.0</v>
      </c>
      <c r="E57" s="18">
        <v>6.0</v>
      </c>
      <c r="F57" s="19">
        <v>0.0</v>
      </c>
      <c r="G57" s="20">
        <v>9.83</v>
      </c>
      <c r="H57" s="17" t="s">
        <v>23</v>
      </c>
      <c r="I57" s="21">
        <v>0.30000000000000004</v>
      </c>
    </row>
    <row r="58" ht="15.75" customHeight="1">
      <c r="A58" s="12" t="s">
        <v>281</v>
      </c>
      <c r="B58" s="12" t="s">
        <v>21</v>
      </c>
      <c r="C58" s="12" t="s">
        <v>34</v>
      </c>
      <c r="D58" s="13">
        <v>0.0</v>
      </c>
      <c r="E58" s="13">
        <v>6.0</v>
      </c>
      <c r="F58" s="14">
        <v>0.0</v>
      </c>
      <c r="G58" s="15">
        <v>10.17</v>
      </c>
      <c r="H58" s="12" t="s">
        <v>23</v>
      </c>
      <c r="I58" s="16">
        <v>0.30000000000000004</v>
      </c>
    </row>
    <row r="59" ht="15.75" customHeight="1">
      <c r="A59" s="17" t="s">
        <v>290</v>
      </c>
      <c r="B59" s="17" t="s">
        <v>43</v>
      </c>
      <c r="C59" s="17" t="s">
        <v>32</v>
      </c>
      <c r="D59" s="18">
        <v>0.0</v>
      </c>
      <c r="E59" s="18">
        <v>6.0</v>
      </c>
      <c r="F59" s="19">
        <v>0.0</v>
      </c>
      <c r="G59" s="20">
        <v>11.33</v>
      </c>
      <c r="H59" s="17" t="s">
        <v>23</v>
      </c>
      <c r="I59" s="21">
        <v>0.30000000000000004</v>
      </c>
    </row>
    <row r="60" ht="15.75" customHeight="1">
      <c r="A60" s="12" t="s">
        <v>297</v>
      </c>
      <c r="B60" s="12" t="s">
        <v>21</v>
      </c>
      <c r="C60" s="12" t="s">
        <v>27</v>
      </c>
      <c r="D60" s="13">
        <v>0.0</v>
      </c>
      <c r="E60" s="13">
        <v>6.0</v>
      </c>
      <c r="F60" s="14">
        <v>0.0</v>
      </c>
      <c r="G60" s="15">
        <v>14.83</v>
      </c>
      <c r="H60" s="12" t="s">
        <v>23</v>
      </c>
      <c r="I60" s="16">
        <v>0.30000000000000004</v>
      </c>
    </row>
    <row r="61" ht="15.75" customHeight="1">
      <c r="A61" s="17" t="s">
        <v>301</v>
      </c>
      <c r="B61" s="17" t="s">
        <v>21</v>
      </c>
      <c r="C61" s="17" t="s">
        <v>27</v>
      </c>
      <c r="D61" s="18">
        <v>0.0</v>
      </c>
      <c r="E61" s="18">
        <v>6.0</v>
      </c>
      <c r="F61" s="19">
        <v>0.0</v>
      </c>
      <c r="G61" s="20">
        <v>22.67</v>
      </c>
      <c r="H61" s="17" t="s">
        <v>81</v>
      </c>
      <c r="I61" s="21">
        <v>0.30000000000000004</v>
      </c>
    </row>
    <row r="62" ht="15.75" customHeight="1">
      <c r="A62" s="12" t="s">
        <v>305</v>
      </c>
      <c r="B62" s="12" t="s">
        <v>21</v>
      </c>
      <c r="C62" s="12" t="s">
        <v>27</v>
      </c>
      <c r="D62" s="13">
        <v>0.0</v>
      </c>
      <c r="E62" s="13">
        <v>6.0</v>
      </c>
      <c r="F62" s="14">
        <v>0.0</v>
      </c>
      <c r="G62" s="15">
        <v>27.5</v>
      </c>
      <c r="H62" s="12" t="s">
        <v>81</v>
      </c>
      <c r="I62" s="16">
        <v>0.30000000000000004</v>
      </c>
    </row>
    <row r="63" ht="15.75" customHeight="1">
      <c r="A63" s="17" t="s">
        <v>310</v>
      </c>
      <c r="B63" s="17" t="s">
        <v>21</v>
      </c>
      <c r="C63" s="17" t="s">
        <v>34</v>
      </c>
      <c r="D63" s="18">
        <v>0.0</v>
      </c>
      <c r="E63" s="18">
        <v>5.0</v>
      </c>
      <c r="F63" s="19">
        <v>0.0</v>
      </c>
      <c r="G63" s="20">
        <v>10.8</v>
      </c>
      <c r="H63" s="17" t="s">
        <v>23</v>
      </c>
      <c r="I63" s="21">
        <v>0.25</v>
      </c>
    </row>
    <row r="64" ht="15.75" customHeight="1">
      <c r="A64" s="12" t="s">
        <v>313</v>
      </c>
      <c r="B64" s="12" t="s">
        <v>132</v>
      </c>
      <c r="C64" s="12" t="s">
        <v>27</v>
      </c>
      <c r="D64" s="13">
        <v>0.0</v>
      </c>
      <c r="E64" s="13">
        <v>5.0</v>
      </c>
      <c r="F64" s="14">
        <v>0.0</v>
      </c>
      <c r="G64" s="15">
        <v>11.6</v>
      </c>
      <c r="H64" s="12" t="s">
        <v>23</v>
      </c>
      <c r="I64" s="16">
        <v>0.25</v>
      </c>
    </row>
    <row r="65" ht="15.75" customHeight="1">
      <c r="A65" s="17" t="s">
        <v>318</v>
      </c>
      <c r="B65" s="17" t="s">
        <v>21</v>
      </c>
      <c r="C65" s="17" t="s">
        <v>210</v>
      </c>
      <c r="D65" s="18">
        <v>0.0</v>
      </c>
      <c r="E65" s="18">
        <v>5.0</v>
      </c>
      <c r="F65" s="19">
        <v>0.0</v>
      </c>
      <c r="G65" s="20">
        <v>12.0</v>
      </c>
      <c r="H65" s="17" t="s">
        <v>23</v>
      </c>
      <c r="I65" s="21">
        <v>0.25</v>
      </c>
    </row>
    <row r="66" ht="15.75" customHeight="1">
      <c r="A66" s="12" t="s">
        <v>323</v>
      </c>
      <c r="B66" s="12" t="s">
        <v>43</v>
      </c>
      <c r="C66" s="12" t="s">
        <v>324</v>
      </c>
      <c r="D66" s="13">
        <v>0.0</v>
      </c>
      <c r="E66" s="13">
        <v>5.0</v>
      </c>
      <c r="F66" s="14">
        <v>0.0</v>
      </c>
      <c r="G66" s="15">
        <v>17.6</v>
      </c>
      <c r="H66" s="12" t="s">
        <v>23</v>
      </c>
      <c r="I66" s="16">
        <v>0.25</v>
      </c>
    </row>
    <row r="67" ht="15.75" customHeight="1">
      <c r="A67" s="17" t="s">
        <v>328</v>
      </c>
      <c r="B67" s="17" t="s">
        <v>21</v>
      </c>
      <c r="C67" s="17" t="s">
        <v>32</v>
      </c>
      <c r="D67" s="18">
        <v>0.0</v>
      </c>
      <c r="E67" s="18">
        <v>5.0</v>
      </c>
      <c r="F67" s="19">
        <v>0.0</v>
      </c>
      <c r="G67" s="20">
        <v>19.2</v>
      </c>
      <c r="H67" s="17" t="s">
        <v>23</v>
      </c>
      <c r="I67" s="21">
        <v>0.25</v>
      </c>
    </row>
    <row r="68" ht="15.75" customHeight="1">
      <c r="A68" s="12" t="s">
        <v>331</v>
      </c>
      <c r="B68" s="12" t="s">
        <v>21</v>
      </c>
      <c r="C68" s="12" t="s">
        <v>85</v>
      </c>
      <c r="D68" s="13">
        <v>0.0</v>
      </c>
      <c r="E68" s="13">
        <v>5.0</v>
      </c>
      <c r="F68" s="14">
        <v>0.0</v>
      </c>
      <c r="G68" s="15">
        <v>22.4</v>
      </c>
      <c r="H68" s="12" t="s">
        <v>81</v>
      </c>
      <c r="I68" s="16">
        <v>0.25</v>
      </c>
    </row>
    <row r="69" ht="15.75" customHeight="1">
      <c r="A69" s="17" t="s">
        <v>333</v>
      </c>
      <c r="B69" s="17" t="s">
        <v>43</v>
      </c>
      <c r="C69" s="17" t="s">
        <v>32</v>
      </c>
      <c r="D69" s="18">
        <v>0.0</v>
      </c>
      <c r="E69" s="18">
        <v>5.0</v>
      </c>
      <c r="F69" s="19">
        <v>0.0</v>
      </c>
      <c r="G69" s="20">
        <v>23.6</v>
      </c>
      <c r="H69" s="17" t="s">
        <v>81</v>
      </c>
      <c r="I69" s="21">
        <v>0.25</v>
      </c>
    </row>
    <row r="70" ht="15.75" customHeight="1">
      <c r="A70" s="12" t="s">
        <v>336</v>
      </c>
      <c r="B70" s="12" t="s">
        <v>21</v>
      </c>
      <c r="C70" s="12" t="s">
        <v>27</v>
      </c>
      <c r="D70" s="13">
        <v>0.0</v>
      </c>
      <c r="E70" s="13">
        <v>5.0</v>
      </c>
      <c r="F70" s="14">
        <v>0.0</v>
      </c>
      <c r="G70" s="15">
        <v>26.2</v>
      </c>
      <c r="H70" s="12" t="s">
        <v>81</v>
      </c>
      <c r="I70" s="16">
        <v>0.25</v>
      </c>
    </row>
    <row r="71" ht="15.75" customHeight="1">
      <c r="A71" s="17" t="s">
        <v>341</v>
      </c>
      <c r="B71" s="17" t="s">
        <v>43</v>
      </c>
      <c r="C71" s="17" t="s">
        <v>32</v>
      </c>
      <c r="D71" s="18">
        <v>0.0</v>
      </c>
      <c r="E71" s="18">
        <v>5.0</v>
      </c>
      <c r="F71" s="19">
        <v>0.0</v>
      </c>
      <c r="G71" s="20">
        <v>29.4</v>
      </c>
      <c r="H71" s="17" t="s">
        <v>81</v>
      </c>
      <c r="I71" s="21">
        <v>0.25</v>
      </c>
    </row>
    <row r="72" ht="15.75" customHeight="1">
      <c r="A72" s="12" t="s">
        <v>344</v>
      </c>
      <c r="B72" s="12" t="s">
        <v>21</v>
      </c>
      <c r="C72" s="12" t="s">
        <v>92</v>
      </c>
      <c r="D72" s="13">
        <v>0.0</v>
      </c>
      <c r="E72" s="13">
        <v>4.0</v>
      </c>
      <c r="F72" s="14">
        <v>0.0</v>
      </c>
      <c r="G72" s="15">
        <v>2.25</v>
      </c>
      <c r="H72" s="12" t="s">
        <v>259</v>
      </c>
      <c r="I72" s="16">
        <v>0.2</v>
      </c>
    </row>
    <row r="73" ht="15.75" customHeight="1">
      <c r="A73" s="17" t="s">
        <v>346</v>
      </c>
      <c r="B73" s="17" t="s">
        <v>21</v>
      </c>
      <c r="C73" s="17" t="s">
        <v>34</v>
      </c>
      <c r="D73" s="18">
        <v>0.0</v>
      </c>
      <c r="E73" s="18">
        <v>4.0</v>
      </c>
      <c r="F73" s="19">
        <v>0.0</v>
      </c>
      <c r="G73" s="20">
        <v>9.5</v>
      </c>
      <c r="H73" s="17" t="s">
        <v>81</v>
      </c>
      <c r="I73" s="21">
        <v>0.2</v>
      </c>
    </row>
    <row r="74" ht="15.75" customHeight="1">
      <c r="A74" s="12" t="s">
        <v>350</v>
      </c>
      <c r="B74" s="12" t="s">
        <v>21</v>
      </c>
      <c r="C74" s="12" t="s">
        <v>27</v>
      </c>
      <c r="D74" s="13">
        <v>0.0</v>
      </c>
      <c r="E74" s="13">
        <v>4.0</v>
      </c>
      <c r="F74" s="14">
        <v>0.0</v>
      </c>
      <c r="G74" s="15">
        <v>11.5</v>
      </c>
      <c r="H74" s="12" t="s">
        <v>81</v>
      </c>
      <c r="I74" s="16">
        <v>0.2</v>
      </c>
    </row>
    <row r="75" ht="15.75" customHeight="1">
      <c r="A75" s="17" t="s">
        <v>353</v>
      </c>
      <c r="B75" s="17" t="s">
        <v>76</v>
      </c>
      <c r="C75" s="17" t="s">
        <v>34</v>
      </c>
      <c r="D75" s="18">
        <v>0.0</v>
      </c>
      <c r="E75" s="18">
        <v>4.0</v>
      </c>
      <c r="F75" s="19">
        <v>0.0</v>
      </c>
      <c r="G75" s="20">
        <v>14.75</v>
      </c>
      <c r="H75" s="17" t="s">
        <v>81</v>
      </c>
      <c r="I75" s="21">
        <v>0.2</v>
      </c>
    </row>
    <row r="76" ht="15.75" customHeight="1">
      <c r="A76" s="12" t="s">
        <v>355</v>
      </c>
      <c r="B76" s="12" t="s">
        <v>43</v>
      </c>
      <c r="C76" s="12" t="s">
        <v>324</v>
      </c>
      <c r="D76" s="13">
        <v>0.0</v>
      </c>
      <c r="E76" s="13">
        <v>4.0</v>
      </c>
      <c r="F76" s="14">
        <v>0.0</v>
      </c>
      <c r="G76" s="15">
        <v>17.0</v>
      </c>
      <c r="H76" s="12" t="s">
        <v>81</v>
      </c>
      <c r="I76" s="16">
        <v>0.2</v>
      </c>
    </row>
    <row r="77" ht="15.75" customHeight="1">
      <c r="A77" s="17" t="s">
        <v>360</v>
      </c>
      <c r="B77" s="17" t="s">
        <v>43</v>
      </c>
      <c r="C77" s="17" t="s">
        <v>32</v>
      </c>
      <c r="D77" s="18">
        <v>0.0</v>
      </c>
      <c r="E77" s="18">
        <v>4.0</v>
      </c>
      <c r="F77" s="19">
        <v>0.0</v>
      </c>
      <c r="G77" s="20">
        <v>18.5</v>
      </c>
      <c r="H77" s="17" t="s">
        <v>81</v>
      </c>
      <c r="I77" s="21">
        <v>0.2</v>
      </c>
    </row>
    <row r="78" ht="15.75" customHeight="1">
      <c r="A78" s="12" t="s">
        <v>364</v>
      </c>
      <c r="B78" s="12" t="s">
        <v>76</v>
      </c>
      <c r="C78" s="12" t="s">
        <v>22</v>
      </c>
      <c r="D78" s="13">
        <v>0.0</v>
      </c>
      <c r="E78" s="13">
        <v>4.0</v>
      </c>
      <c r="F78" s="14">
        <v>0.0</v>
      </c>
      <c r="G78" s="15">
        <v>22.0</v>
      </c>
      <c r="H78" s="12" t="s">
        <v>81</v>
      </c>
      <c r="I78" s="16">
        <v>0.2</v>
      </c>
    </row>
    <row r="79" ht="15.75" customHeight="1">
      <c r="A79" s="17" t="s">
        <v>366</v>
      </c>
      <c r="B79" s="17" t="s">
        <v>76</v>
      </c>
      <c r="C79" s="17" t="s">
        <v>22</v>
      </c>
      <c r="D79" s="18">
        <v>0.0</v>
      </c>
      <c r="E79" s="18">
        <v>4.0</v>
      </c>
      <c r="F79" s="19">
        <v>0.0</v>
      </c>
      <c r="G79" s="20">
        <v>27.25</v>
      </c>
      <c r="H79" s="17" t="s">
        <v>81</v>
      </c>
      <c r="I79" s="21">
        <v>0.2</v>
      </c>
    </row>
    <row r="80" ht="15.75" customHeight="1">
      <c r="A80" s="12" t="s">
        <v>367</v>
      </c>
      <c r="B80" s="12" t="s">
        <v>43</v>
      </c>
      <c r="C80" s="12" t="s">
        <v>27</v>
      </c>
      <c r="D80" s="13">
        <v>0.0</v>
      </c>
      <c r="E80" s="13">
        <v>4.0</v>
      </c>
      <c r="F80" s="14">
        <v>0.0</v>
      </c>
      <c r="G80" s="15">
        <v>27.75</v>
      </c>
      <c r="H80" s="12" t="s">
        <v>81</v>
      </c>
      <c r="I80" s="16">
        <v>0.2</v>
      </c>
    </row>
    <row r="81" ht="15.75" customHeight="1">
      <c r="A81" s="17" t="s">
        <v>370</v>
      </c>
      <c r="B81" s="17" t="s">
        <v>21</v>
      </c>
      <c r="C81" s="17" t="s">
        <v>85</v>
      </c>
      <c r="D81" s="18">
        <v>0.0</v>
      </c>
      <c r="E81" s="18">
        <v>4.0</v>
      </c>
      <c r="F81" s="19">
        <v>0.0</v>
      </c>
      <c r="G81" s="20">
        <v>30.25</v>
      </c>
      <c r="H81" s="17" t="s">
        <v>81</v>
      </c>
      <c r="I81" s="21">
        <v>0.2</v>
      </c>
    </row>
    <row r="82" ht="15.75" customHeight="1">
      <c r="A82" s="12" t="s">
        <v>372</v>
      </c>
      <c r="B82" s="12" t="s">
        <v>76</v>
      </c>
      <c r="C82" s="12" t="s">
        <v>85</v>
      </c>
      <c r="D82" s="13">
        <v>0.0</v>
      </c>
      <c r="E82" s="13">
        <v>4.0</v>
      </c>
      <c r="F82" s="14">
        <v>0.0</v>
      </c>
      <c r="G82" s="15">
        <v>32.5</v>
      </c>
      <c r="H82" s="12" t="s">
        <v>81</v>
      </c>
      <c r="I82" s="16">
        <v>0.2</v>
      </c>
    </row>
    <row r="83" ht="15.75" customHeight="1">
      <c r="A83" s="17" t="s">
        <v>376</v>
      </c>
      <c r="B83" s="17" t="s">
        <v>21</v>
      </c>
      <c r="C83" s="17" t="s">
        <v>85</v>
      </c>
      <c r="D83" s="18">
        <v>0.0</v>
      </c>
      <c r="E83" s="18">
        <v>4.0</v>
      </c>
      <c r="F83" s="19">
        <v>0.0</v>
      </c>
      <c r="G83" s="20">
        <v>37.25</v>
      </c>
      <c r="H83" s="17" t="s">
        <v>81</v>
      </c>
      <c r="I83" s="21">
        <v>0.2</v>
      </c>
    </row>
    <row r="84" ht="15.75" customHeight="1">
      <c r="A84" s="12" t="s">
        <v>378</v>
      </c>
      <c r="B84" s="12" t="s">
        <v>21</v>
      </c>
      <c r="C84" s="12" t="s">
        <v>32</v>
      </c>
      <c r="D84" s="13">
        <v>0.0</v>
      </c>
      <c r="E84" s="13">
        <v>4.0</v>
      </c>
      <c r="F84" s="14">
        <v>0.0</v>
      </c>
      <c r="G84" s="15">
        <v>87.5</v>
      </c>
      <c r="H84" s="12" t="s">
        <v>81</v>
      </c>
      <c r="I84" s="16">
        <v>0.2</v>
      </c>
    </row>
    <row r="85" ht="15.75" customHeight="1">
      <c r="A85" s="17" t="s">
        <v>380</v>
      </c>
      <c r="B85" s="17" t="s">
        <v>21</v>
      </c>
      <c r="C85" s="17" t="s">
        <v>32</v>
      </c>
      <c r="D85" s="18">
        <v>0.0</v>
      </c>
      <c r="E85" s="18">
        <v>3.0</v>
      </c>
      <c r="F85" s="19">
        <v>0.0</v>
      </c>
      <c r="G85" s="20">
        <v>2.0</v>
      </c>
      <c r="H85" s="17" t="s">
        <v>259</v>
      </c>
      <c r="I85" s="21">
        <v>0.15000000000000002</v>
      </c>
    </row>
    <row r="86" ht="15.75" customHeight="1">
      <c r="A86" s="12" t="s">
        <v>382</v>
      </c>
      <c r="B86" s="12" t="s">
        <v>21</v>
      </c>
      <c r="C86" s="12" t="s">
        <v>34</v>
      </c>
      <c r="D86" s="13">
        <v>0.0</v>
      </c>
      <c r="E86" s="13">
        <v>3.0</v>
      </c>
      <c r="F86" s="14">
        <v>0.0</v>
      </c>
      <c r="G86" s="15">
        <v>6.67</v>
      </c>
      <c r="H86" s="12" t="s">
        <v>81</v>
      </c>
      <c r="I86" s="16">
        <v>0.15000000000000002</v>
      </c>
    </row>
    <row r="87" ht="15.75" customHeight="1">
      <c r="A87" s="17" t="s">
        <v>386</v>
      </c>
      <c r="B87" s="17" t="s">
        <v>21</v>
      </c>
      <c r="C87" s="17" t="s">
        <v>210</v>
      </c>
      <c r="D87" s="18">
        <v>0.0</v>
      </c>
      <c r="E87" s="18">
        <v>3.0</v>
      </c>
      <c r="F87" s="19">
        <v>0.0</v>
      </c>
      <c r="G87" s="20">
        <v>7.0</v>
      </c>
      <c r="H87" s="17" t="s">
        <v>81</v>
      </c>
      <c r="I87" s="21">
        <v>0.15000000000000002</v>
      </c>
    </row>
    <row r="88" ht="15.75" customHeight="1">
      <c r="A88" s="12" t="s">
        <v>389</v>
      </c>
      <c r="B88" s="12" t="s">
        <v>43</v>
      </c>
      <c r="C88" s="12" t="s">
        <v>32</v>
      </c>
      <c r="D88" s="13">
        <v>0.0</v>
      </c>
      <c r="E88" s="13">
        <v>3.0</v>
      </c>
      <c r="F88" s="14">
        <v>0.0</v>
      </c>
      <c r="G88" s="15">
        <v>7.33</v>
      </c>
      <c r="H88" s="12" t="s">
        <v>81</v>
      </c>
      <c r="I88" s="16">
        <v>0.15000000000000002</v>
      </c>
    </row>
    <row r="89" ht="15.75" customHeight="1">
      <c r="A89" s="17" t="s">
        <v>393</v>
      </c>
      <c r="B89" s="17" t="s">
        <v>21</v>
      </c>
      <c r="C89" s="17" t="s">
        <v>210</v>
      </c>
      <c r="D89" s="18">
        <v>0.0</v>
      </c>
      <c r="E89" s="18">
        <v>3.0</v>
      </c>
      <c r="F89" s="19">
        <v>0.0</v>
      </c>
      <c r="G89" s="20">
        <v>9.0</v>
      </c>
      <c r="H89" s="17" t="s">
        <v>81</v>
      </c>
      <c r="I89" s="21">
        <v>0.15000000000000002</v>
      </c>
    </row>
    <row r="90" ht="15.75" customHeight="1">
      <c r="A90" s="12" t="s">
        <v>395</v>
      </c>
      <c r="B90" s="12" t="s">
        <v>21</v>
      </c>
      <c r="C90" s="12" t="s">
        <v>210</v>
      </c>
      <c r="D90" s="13">
        <v>0.0</v>
      </c>
      <c r="E90" s="13">
        <v>3.0</v>
      </c>
      <c r="F90" s="14">
        <v>0.0</v>
      </c>
      <c r="G90" s="15">
        <v>13.33</v>
      </c>
      <c r="H90" s="12" t="s">
        <v>81</v>
      </c>
      <c r="I90" s="16">
        <v>0.15000000000000002</v>
      </c>
    </row>
    <row r="91" ht="15.75" customHeight="1">
      <c r="A91" s="17" t="s">
        <v>396</v>
      </c>
      <c r="B91" s="17" t="s">
        <v>43</v>
      </c>
      <c r="C91" s="17" t="s">
        <v>32</v>
      </c>
      <c r="D91" s="18">
        <v>0.0</v>
      </c>
      <c r="E91" s="18">
        <v>3.0</v>
      </c>
      <c r="F91" s="19">
        <v>0.0</v>
      </c>
      <c r="G91" s="20">
        <v>15.67</v>
      </c>
      <c r="H91" s="17" t="s">
        <v>81</v>
      </c>
      <c r="I91" s="21">
        <v>0.15000000000000002</v>
      </c>
    </row>
    <row r="92" ht="15.75" customHeight="1">
      <c r="A92" s="12" t="s">
        <v>398</v>
      </c>
      <c r="B92" s="12" t="s">
        <v>21</v>
      </c>
      <c r="C92" s="12" t="s">
        <v>22</v>
      </c>
      <c r="D92" s="13">
        <v>0.0</v>
      </c>
      <c r="E92" s="13">
        <v>3.0</v>
      </c>
      <c r="F92" s="14">
        <v>0.0</v>
      </c>
      <c r="G92" s="15">
        <v>17.0</v>
      </c>
      <c r="H92" s="12" t="s">
        <v>81</v>
      </c>
      <c r="I92" s="16">
        <v>0.15000000000000002</v>
      </c>
    </row>
    <row r="93" ht="15.75" customHeight="1">
      <c r="A93" s="17" t="s">
        <v>401</v>
      </c>
      <c r="B93" s="17" t="s">
        <v>21</v>
      </c>
      <c r="C93" s="17" t="s">
        <v>27</v>
      </c>
      <c r="D93" s="18">
        <v>0.0</v>
      </c>
      <c r="E93" s="18">
        <v>3.0</v>
      </c>
      <c r="F93" s="19">
        <v>0.0</v>
      </c>
      <c r="G93" s="20">
        <v>17.67</v>
      </c>
      <c r="H93" s="17" t="s">
        <v>81</v>
      </c>
      <c r="I93" s="21">
        <v>0.15000000000000002</v>
      </c>
    </row>
    <row r="94" ht="15.75" customHeight="1">
      <c r="A94" s="12" t="s">
        <v>403</v>
      </c>
      <c r="B94" s="12" t="s">
        <v>43</v>
      </c>
      <c r="C94" s="12" t="s">
        <v>32</v>
      </c>
      <c r="D94" s="13">
        <v>0.0</v>
      </c>
      <c r="E94" s="13">
        <v>3.0</v>
      </c>
      <c r="F94" s="14">
        <v>0.0</v>
      </c>
      <c r="G94" s="15">
        <v>18.33</v>
      </c>
      <c r="H94" s="12" t="s">
        <v>81</v>
      </c>
      <c r="I94" s="16">
        <v>0.15000000000000002</v>
      </c>
    </row>
    <row r="95" ht="15.75" customHeight="1">
      <c r="A95" s="17" t="s">
        <v>405</v>
      </c>
      <c r="B95" s="17" t="s">
        <v>21</v>
      </c>
      <c r="C95" s="17" t="s">
        <v>27</v>
      </c>
      <c r="D95" s="18">
        <v>0.0</v>
      </c>
      <c r="E95" s="18">
        <v>3.0</v>
      </c>
      <c r="F95" s="19">
        <v>0.0</v>
      </c>
      <c r="G95" s="20">
        <v>21.67</v>
      </c>
      <c r="H95" s="17" t="s">
        <v>81</v>
      </c>
      <c r="I95" s="21">
        <v>0.15000000000000002</v>
      </c>
    </row>
    <row r="96" ht="15.75" customHeight="1">
      <c r="A96" s="12" t="s">
        <v>407</v>
      </c>
      <c r="B96" s="12" t="s">
        <v>76</v>
      </c>
      <c r="C96" s="12" t="s">
        <v>22</v>
      </c>
      <c r="D96" s="13">
        <v>0.0</v>
      </c>
      <c r="E96" s="13">
        <v>3.0</v>
      </c>
      <c r="F96" s="14">
        <v>0.0</v>
      </c>
      <c r="G96" s="15">
        <v>22.33</v>
      </c>
      <c r="H96" s="12" t="s">
        <v>81</v>
      </c>
      <c r="I96" s="16">
        <v>0.15000000000000002</v>
      </c>
    </row>
    <row r="97" ht="15.75" customHeight="1">
      <c r="A97" s="17" t="s">
        <v>409</v>
      </c>
      <c r="B97" s="17" t="s">
        <v>21</v>
      </c>
      <c r="C97" s="17" t="s">
        <v>85</v>
      </c>
      <c r="D97" s="18">
        <v>0.0</v>
      </c>
      <c r="E97" s="18">
        <v>3.0</v>
      </c>
      <c r="F97" s="19">
        <v>0.0</v>
      </c>
      <c r="G97" s="20">
        <v>26.67</v>
      </c>
      <c r="H97" s="17" t="s">
        <v>81</v>
      </c>
      <c r="I97" s="21">
        <v>0.15000000000000002</v>
      </c>
    </row>
    <row r="98" ht="15.75" customHeight="1">
      <c r="A98" s="12" t="s">
        <v>410</v>
      </c>
      <c r="B98" s="12" t="s">
        <v>43</v>
      </c>
      <c r="C98" s="12" t="s">
        <v>92</v>
      </c>
      <c r="D98" s="13">
        <v>0.0</v>
      </c>
      <c r="E98" s="13">
        <v>3.0</v>
      </c>
      <c r="F98" s="14">
        <v>0.0</v>
      </c>
      <c r="G98" s="15">
        <v>29.0</v>
      </c>
      <c r="H98" s="12" t="s">
        <v>81</v>
      </c>
      <c r="I98" s="16">
        <v>0.15000000000000002</v>
      </c>
    </row>
    <row r="99" ht="15.75" customHeight="1">
      <c r="A99" s="17" t="s">
        <v>412</v>
      </c>
      <c r="B99" s="17" t="s">
        <v>413</v>
      </c>
      <c r="C99" s="17" t="s">
        <v>27</v>
      </c>
      <c r="D99" s="18">
        <v>0.0</v>
      </c>
      <c r="E99" s="18">
        <v>3.0</v>
      </c>
      <c r="F99" s="19">
        <v>0.0</v>
      </c>
      <c r="G99" s="20">
        <v>30.67</v>
      </c>
      <c r="H99" s="17" t="s">
        <v>81</v>
      </c>
      <c r="I99" s="21">
        <v>0.15000000000000002</v>
      </c>
    </row>
    <row r="100" ht="15.75" customHeight="1">
      <c r="A100" s="12" t="s">
        <v>414</v>
      </c>
      <c r="B100" s="12" t="s">
        <v>21</v>
      </c>
      <c r="C100" s="12" t="s">
        <v>85</v>
      </c>
      <c r="D100" s="13">
        <v>0.0</v>
      </c>
      <c r="E100" s="13">
        <v>3.0</v>
      </c>
      <c r="F100" s="14">
        <v>0.0</v>
      </c>
      <c r="G100" s="15">
        <v>32.67</v>
      </c>
      <c r="H100" s="12" t="s">
        <v>81</v>
      </c>
      <c r="I100" s="16">
        <v>0.15000000000000002</v>
      </c>
    </row>
    <row r="101" ht="15.75" customHeight="1">
      <c r="A101" s="17" t="s">
        <v>415</v>
      </c>
      <c r="B101" s="17" t="s">
        <v>21</v>
      </c>
      <c r="C101" s="17" t="s">
        <v>22</v>
      </c>
      <c r="D101" s="18">
        <v>0.0</v>
      </c>
      <c r="E101" s="18">
        <v>3.0</v>
      </c>
      <c r="F101" s="19">
        <v>0.0</v>
      </c>
      <c r="G101" s="20">
        <v>36.33</v>
      </c>
      <c r="H101" s="17" t="s">
        <v>81</v>
      </c>
      <c r="I101" s="21">
        <v>0.15000000000000002</v>
      </c>
    </row>
    <row r="102" ht="15.75" customHeight="1">
      <c r="A102" s="12" t="s">
        <v>417</v>
      </c>
      <c r="B102" s="12" t="s">
        <v>21</v>
      </c>
      <c r="C102" s="12" t="s">
        <v>22</v>
      </c>
      <c r="D102" s="13">
        <v>0.0</v>
      </c>
      <c r="E102" s="13">
        <v>3.0</v>
      </c>
      <c r="F102" s="14">
        <v>0.0</v>
      </c>
      <c r="G102" s="15">
        <v>37.0</v>
      </c>
      <c r="H102" s="12" t="s">
        <v>81</v>
      </c>
      <c r="I102" s="16">
        <v>0.15000000000000002</v>
      </c>
    </row>
    <row r="103" ht="15.75" customHeight="1">
      <c r="A103" s="17" t="s">
        <v>418</v>
      </c>
      <c r="B103" s="17" t="s">
        <v>419</v>
      </c>
      <c r="C103" s="17" t="s">
        <v>22</v>
      </c>
      <c r="D103" s="18">
        <v>0.0</v>
      </c>
      <c r="E103" s="18">
        <v>2.0</v>
      </c>
      <c r="F103" s="19">
        <v>0.0</v>
      </c>
      <c r="G103" s="20">
        <v>1.0</v>
      </c>
      <c r="H103" s="17" t="s">
        <v>259</v>
      </c>
      <c r="I103" s="21">
        <v>0.1</v>
      </c>
    </row>
    <row r="104" ht="15.75" customHeight="1">
      <c r="A104" s="12" t="s">
        <v>420</v>
      </c>
      <c r="B104" s="12" t="s">
        <v>76</v>
      </c>
      <c r="C104" s="12" t="s">
        <v>210</v>
      </c>
      <c r="D104" s="13">
        <v>0.0</v>
      </c>
      <c r="E104" s="13">
        <v>2.0</v>
      </c>
      <c r="F104" s="14">
        <v>0.0</v>
      </c>
      <c r="G104" s="15">
        <v>1.0</v>
      </c>
      <c r="H104" s="12" t="s">
        <v>259</v>
      </c>
      <c r="I104" s="16">
        <v>0.1</v>
      </c>
    </row>
    <row r="105" ht="15.75" customHeight="1">
      <c r="A105" s="17" t="s">
        <v>421</v>
      </c>
      <c r="B105" s="17" t="s">
        <v>76</v>
      </c>
      <c r="C105" s="17" t="s">
        <v>32</v>
      </c>
      <c r="D105" s="18">
        <v>0.0</v>
      </c>
      <c r="E105" s="18">
        <v>2.0</v>
      </c>
      <c r="F105" s="19">
        <v>0.0</v>
      </c>
      <c r="G105" s="20">
        <v>1.5</v>
      </c>
      <c r="H105" s="17" t="s">
        <v>259</v>
      </c>
      <c r="I105" s="21">
        <v>0.1</v>
      </c>
    </row>
    <row r="106" ht="15.75" customHeight="1">
      <c r="A106" s="12" t="s">
        <v>423</v>
      </c>
      <c r="B106" s="12" t="s">
        <v>21</v>
      </c>
      <c r="C106" s="12" t="s">
        <v>32</v>
      </c>
      <c r="D106" s="13">
        <v>0.0</v>
      </c>
      <c r="E106" s="13">
        <v>2.0</v>
      </c>
      <c r="F106" s="14">
        <v>0.0</v>
      </c>
      <c r="G106" s="15">
        <v>2.0</v>
      </c>
      <c r="H106" s="12" t="s">
        <v>259</v>
      </c>
      <c r="I106" s="16">
        <v>0.1</v>
      </c>
    </row>
    <row r="107" ht="15.75" customHeight="1">
      <c r="A107" s="17" t="s">
        <v>424</v>
      </c>
      <c r="B107" s="17" t="s">
        <v>21</v>
      </c>
      <c r="C107" s="17" t="s">
        <v>210</v>
      </c>
      <c r="D107" s="18">
        <v>0.0</v>
      </c>
      <c r="E107" s="18">
        <v>2.0</v>
      </c>
      <c r="F107" s="19">
        <v>0.0</v>
      </c>
      <c r="G107" s="20">
        <v>3.5</v>
      </c>
      <c r="H107" s="17" t="s">
        <v>259</v>
      </c>
      <c r="I107" s="21">
        <v>0.1</v>
      </c>
    </row>
    <row r="108" ht="15.75" customHeight="1">
      <c r="A108" s="12" t="s">
        <v>426</v>
      </c>
      <c r="B108" s="12" t="s">
        <v>21</v>
      </c>
      <c r="C108" s="12" t="s">
        <v>22</v>
      </c>
      <c r="D108" s="13">
        <v>0.0</v>
      </c>
      <c r="E108" s="13">
        <v>2.0</v>
      </c>
      <c r="F108" s="14">
        <v>0.0</v>
      </c>
      <c r="G108" s="15">
        <v>4.0</v>
      </c>
      <c r="H108" s="12" t="s">
        <v>81</v>
      </c>
      <c r="I108" s="16">
        <v>0.1</v>
      </c>
    </row>
    <row r="109" ht="15.75" customHeight="1">
      <c r="A109" s="17" t="s">
        <v>427</v>
      </c>
      <c r="B109" s="17" t="s">
        <v>21</v>
      </c>
      <c r="C109" s="17" t="s">
        <v>22</v>
      </c>
      <c r="D109" s="18">
        <v>0.0</v>
      </c>
      <c r="E109" s="18">
        <v>2.0</v>
      </c>
      <c r="F109" s="19">
        <v>0.0</v>
      </c>
      <c r="G109" s="20">
        <v>6.0</v>
      </c>
      <c r="H109" s="17" t="s">
        <v>81</v>
      </c>
      <c r="I109" s="21">
        <v>0.1</v>
      </c>
    </row>
    <row r="110" ht="15.75" customHeight="1">
      <c r="A110" s="12" t="s">
        <v>429</v>
      </c>
      <c r="B110" s="12" t="s">
        <v>21</v>
      </c>
      <c r="C110" s="12" t="s">
        <v>32</v>
      </c>
      <c r="D110" s="13">
        <v>0.0</v>
      </c>
      <c r="E110" s="13">
        <v>2.0</v>
      </c>
      <c r="F110" s="14">
        <v>0.0</v>
      </c>
      <c r="G110" s="15">
        <v>6.0</v>
      </c>
      <c r="H110" s="12" t="s">
        <v>81</v>
      </c>
      <c r="I110" s="16">
        <v>0.1</v>
      </c>
    </row>
    <row r="111" ht="15.75" customHeight="1">
      <c r="A111" s="17" t="s">
        <v>430</v>
      </c>
      <c r="B111" s="17" t="s">
        <v>21</v>
      </c>
      <c r="C111" s="17" t="s">
        <v>32</v>
      </c>
      <c r="D111" s="18">
        <v>0.0</v>
      </c>
      <c r="E111" s="18">
        <v>2.0</v>
      </c>
      <c r="F111" s="19">
        <v>0.0</v>
      </c>
      <c r="G111" s="20">
        <v>7.0</v>
      </c>
      <c r="H111" s="17" t="s">
        <v>81</v>
      </c>
      <c r="I111" s="21">
        <v>0.1</v>
      </c>
    </row>
    <row r="112" ht="15.75" customHeight="1">
      <c r="A112" s="12" t="s">
        <v>432</v>
      </c>
      <c r="B112" s="12" t="s">
        <v>21</v>
      </c>
      <c r="C112" s="12" t="s">
        <v>22</v>
      </c>
      <c r="D112" s="13">
        <v>0.0</v>
      </c>
      <c r="E112" s="13">
        <v>2.0</v>
      </c>
      <c r="F112" s="14">
        <v>0.0</v>
      </c>
      <c r="G112" s="15">
        <v>7.5</v>
      </c>
      <c r="H112" s="12" t="s">
        <v>81</v>
      </c>
      <c r="I112" s="16">
        <v>0.1</v>
      </c>
    </row>
    <row r="113" ht="15.75" customHeight="1">
      <c r="A113" s="66" t="s">
        <v>433</v>
      </c>
      <c r="B113" s="17" t="s">
        <v>21</v>
      </c>
      <c r="C113" s="17" t="s">
        <v>92</v>
      </c>
      <c r="D113" s="18">
        <v>0.0</v>
      </c>
      <c r="E113" s="18">
        <v>2.0</v>
      </c>
      <c r="F113" s="19">
        <v>0.0</v>
      </c>
      <c r="G113" s="20">
        <v>7.5</v>
      </c>
      <c r="H113" s="17" t="s">
        <v>81</v>
      </c>
      <c r="I113" s="21">
        <v>0.1</v>
      </c>
    </row>
    <row r="114" ht="15.75" customHeight="1">
      <c r="A114" s="12" t="s">
        <v>435</v>
      </c>
      <c r="B114" s="12" t="s">
        <v>21</v>
      </c>
      <c r="C114" s="12" t="s">
        <v>27</v>
      </c>
      <c r="D114" s="13">
        <v>0.0</v>
      </c>
      <c r="E114" s="13">
        <v>2.0</v>
      </c>
      <c r="F114" s="14">
        <v>0.0</v>
      </c>
      <c r="G114" s="15">
        <v>8.0</v>
      </c>
      <c r="H114" s="12" t="s">
        <v>81</v>
      </c>
      <c r="I114" s="16">
        <v>0.1</v>
      </c>
    </row>
    <row r="115" ht="15.75" customHeight="1">
      <c r="A115" s="17" t="s">
        <v>436</v>
      </c>
      <c r="B115" s="17" t="s">
        <v>21</v>
      </c>
      <c r="C115" s="17" t="s">
        <v>92</v>
      </c>
      <c r="D115" s="18">
        <v>0.0</v>
      </c>
      <c r="E115" s="18">
        <v>2.0</v>
      </c>
      <c r="F115" s="19">
        <v>0.0</v>
      </c>
      <c r="G115" s="20">
        <v>8.5</v>
      </c>
      <c r="H115" s="17" t="s">
        <v>81</v>
      </c>
      <c r="I115" s="21">
        <v>0.1</v>
      </c>
    </row>
    <row r="116" ht="15.75" customHeight="1">
      <c r="A116" s="12" t="s">
        <v>437</v>
      </c>
      <c r="B116" s="12" t="s">
        <v>21</v>
      </c>
      <c r="C116" s="12" t="s">
        <v>210</v>
      </c>
      <c r="D116" s="13">
        <v>0.0</v>
      </c>
      <c r="E116" s="13">
        <v>2.0</v>
      </c>
      <c r="F116" s="14">
        <v>0.0</v>
      </c>
      <c r="G116" s="15">
        <v>9.5</v>
      </c>
      <c r="H116" s="12" t="s">
        <v>81</v>
      </c>
      <c r="I116" s="16">
        <v>0.1</v>
      </c>
    </row>
    <row r="117" ht="15.75" customHeight="1">
      <c r="A117" s="17" t="s">
        <v>439</v>
      </c>
      <c r="B117" s="17" t="s">
        <v>21</v>
      </c>
      <c r="C117" s="17" t="s">
        <v>92</v>
      </c>
      <c r="D117" s="18">
        <v>0.0</v>
      </c>
      <c r="E117" s="18">
        <v>2.0</v>
      </c>
      <c r="F117" s="19">
        <v>0.0</v>
      </c>
      <c r="G117" s="20">
        <v>10.0</v>
      </c>
      <c r="H117" s="17" t="s">
        <v>81</v>
      </c>
      <c r="I117" s="21">
        <v>0.1</v>
      </c>
    </row>
    <row r="118" ht="15.75" customHeight="1">
      <c r="A118" s="12" t="s">
        <v>440</v>
      </c>
      <c r="B118" s="12" t="s">
        <v>21</v>
      </c>
      <c r="C118" s="12" t="s">
        <v>32</v>
      </c>
      <c r="D118" s="13">
        <v>0.0</v>
      </c>
      <c r="E118" s="13">
        <v>2.0</v>
      </c>
      <c r="F118" s="14">
        <v>0.0</v>
      </c>
      <c r="G118" s="15">
        <v>10.0</v>
      </c>
      <c r="H118" s="12" t="s">
        <v>81</v>
      </c>
      <c r="I118" s="16">
        <v>0.1</v>
      </c>
    </row>
    <row r="119" ht="15.75" customHeight="1">
      <c r="A119" s="17" t="s">
        <v>443</v>
      </c>
      <c r="B119" s="17" t="s">
        <v>413</v>
      </c>
      <c r="C119" s="17" t="s">
        <v>210</v>
      </c>
      <c r="D119" s="18">
        <v>0.0</v>
      </c>
      <c r="E119" s="18">
        <v>2.0</v>
      </c>
      <c r="F119" s="19">
        <v>0.0</v>
      </c>
      <c r="G119" s="20">
        <v>10.0</v>
      </c>
      <c r="H119" s="17" t="s">
        <v>81</v>
      </c>
      <c r="I119" s="21">
        <v>0.1</v>
      </c>
    </row>
    <row r="120" ht="15.75" customHeight="1">
      <c r="A120" s="12" t="s">
        <v>446</v>
      </c>
      <c r="B120" s="12" t="s">
        <v>21</v>
      </c>
      <c r="C120" s="12" t="s">
        <v>22</v>
      </c>
      <c r="D120" s="13">
        <v>0.0</v>
      </c>
      <c r="E120" s="13">
        <v>2.0</v>
      </c>
      <c r="F120" s="14">
        <v>0.0</v>
      </c>
      <c r="G120" s="15">
        <v>10.0</v>
      </c>
      <c r="H120" s="12" t="s">
        <v>81</v>
      </c>
      <c r="I120" s="16">
        <v>0.1</v>
      </c>
    </row>
    <row r="121" ht="15.75" customHeight="1">
      <c r="A121" s="17" t="s">
        <v>448</v>
      </c>
      <c r="B121" s="17" t="s">
        <v>21</v>
      </c>
      <c r="C121" s="17" t="s">
        <v>34</v>
      </c>
      <c r="D121" s="18">
        <v>0.0</v>
      </c>
      <c r="E121" s="18">
        <v>2.0</v>
      </c>
      <c r="F121" s="19">
        <v>0.0</v>
      </c>
      <c r="G121" s="20">
        <v>11.0</v>
      </c>
      <c r="H121" s="17" t="s">
        <v>81</v>
      </c>
      <c r="I121" s="21">
        <v>0.1</v>
      </c>
    </row>
    <row r="122" ht="15.75" customHeight="1">
      <c r="A122" s="12" t="s">
        <v>451</v>
      </c>
      <c r="B122" s="12" t="s">
        <v>21</v>
      </c>
      <c r="C122" s="12" t="s">
        <v>210</v>
      </c>
      <c r="D122" s="13">
        <v>0.0</v>
      </c>
      <c r="E122" s="13">
        <v>2.0</v>
      </c>
      <c r="F122" s="14">
        <v>0.0</v>
      </c>
      <c r="G122" s="15">
        <v>12.0</v>
      </c>
      <c r="H122" s="12" t="s">
        <v>81</v>
      </c>
      <c r="I122" s="16">
        <v>0.1</v>
      </c>
    </row>
    <row r="123" ht="15.75" customHeight="1">
      <c r="A123" s="17" t="s">
        <v>456</v>
      </c>
      <c r="B123" s="17" t="s">
        <v>43</v>
      </c>
      <c r="C123" s="17" t="s">
        <v>324</v>
      </c>
      <c r="D123" s="18">
        <v>0.0</v>
      </c>
      <c r="E123" s="18">
        <v>2.0</v>
      </c>
      <c r="F123" s="19">
        <v>0.0</v>
      </c>
      <c r="G123" s="20">
        <v>12.5</v>
      </c>
      <c r="H123" s="17" t="s">
        <v>81</v>
      </c>
      <c r="I123" s="21">
        <v>0.1</v>
      </c>
    </row>
    <row r="124" ht="15.75" customHeight="1">
      <c r="A124" s="12" t="s">
        <v>459</v>
      </c>
      <c r="B124" s="12" t="s">
        <v>21</v>
      </c>
      <c r="C124" s="12" t="s">
        <v>210</v>
      </c>
      <c r="D124" s="13">
        <v>0.0</v>
      </c>
      <c r="E124" s="13">
        <v>2.0</v>
      </c>
      <c r="F124" s="14">
        <v>0.0</v>
      </c>
      <c r="G124" s="15">
        <v>13.0</v>
      </c>
      <c r="H124" s="12" t="s">
        <v>81</v>
      </c>
      <c r="I124" s="16">
        <v>0.1</v>
      </c>
    </row>
    <row r="125" ht="15.75" customHeight="1">
      <c r="A125" s="17" t="s">
        <v>461</v>
      </c>
      <c r="B125" s="17" t="s">
        <v>21</v>
      </c>
      <c r="C125" s="17" t="s">
        <v>27</v>
      </c>
      <c r="D125" s="18">
        <v>0.0</v>
      </c>
      <c r="E125" s="18">
        <v>2.0</v>
      </c>
      <c r="F125" s="19">
        <v>0.0</v>
      </c>
      <c r="G125" s="20">
        <v>13.5</v>
      </c>
      <c r="H125" s="17" t="s">
        <v>81</v>
      </c>
      <c r="I125" s="21">
        <v>0.1</v>
      </c>
    </row>
    <row r="126" ht="15.75" customHeight="1">
      <c r="A126" s="12" t="s">
        <v>465</v>
      </c>
      <c r="B126" s="12" t="s">
        <v>43</v>
      </c>
      <c r="C126" s="12" t="s">
        <v>324</v>
      </c>
      <c r="D126" s="13">
        <v>0.0</v>
      </c>
      <c r="E126" s="13">
        <v>2.0</v>
      </c>
      <c r="F126" s="14">
        <v>0.0</v>
      </c>
      <c r="G126" s="15">
        <v>14.5</v>
      </c>
      <c r="H126" s="12" t="s">
        <v>81</v>
      </c>
      <c r="I126" s="16">
        <v>0.1</v>
      </c>
    </row>
    <row r="127" ht="15.75" customHeight="1">
      <c r="A127" s="17" t="s">
        <v>466</v>
      </c>
      <c r="B127" s="17" t="s">
        <v>21</v>
      </c>
      <c r="C127" s="17" t="s">
        <v>22</v>
      </c>
      <c r="D127" s="18">
        <v>0.0</v>
      </c>
      <c r="E127" s="18">
        <v>2.0</v>
      </c>
      <c r="F127" s="19">
        <v>0.0</v>
      </c>
      <c r="G127" s="20">
        <v>16.5</v>
      </c>
      <c r="H127" s="17" t="s">
        <v>81</v>
      </c>
      <c r="I127" s="21">
        <v>0.1</v>
      </c>
    </row>
    <row r="128" ht="15.75" customHeight="1">
      <c r="A128" s="12" t="s">
        <v>468</v>
      </c>
      <c r="B128" s="12" t="s">
        <v>413</v>
      </c>
      <c r="C128" s="12" t="s">
        <v>210</v>
      </c>
      <c r="D128" s="13">
        <v>0.0</v>
      </c>
      <c r="E128" s="13">
        <v>2.0</v>
      </c>
      <c r="F128" s="14">
        <v>0.0</v>
      </c>
      <c r="G128" s="15">
        <v>19.0</v>
      </c>
      <c r="H128" s="12" t="s">
        <v>81</v>
      </c>
      <c r="I128" s="16">
        <v>0.1</v>
      </c>
    </row>
    <row r="129" ht="15.75" customHeight="1">
      <c r="A129" s="17" t="s">
        <v>469</v>
      </c>
      <c r="B129" s="17" t="s">
        <v>21</v>
      </c>
      <c r="C129" s="17" t="s">
        <v>27</v>
      </c>
      <c r="D129" s="18">
        <v>0.0</v>
      </c>
      <c r="E129" s="18">
        <v>2.0</v>
      </c>
      <c r="F129" s="19">
        <v>0.0</v>
      </c>
      <c r="G129" s="20">
        <v>20.0</v>
      </c>
      <c r="H129" s="17" t="s">
        <v>81</v>
      </c>
      <c r="I129" s="21">
        <v>0.1</v>
      </c>
    </row>
    <row r="130" ht="15.75" customHeight="1">
      <c r="A130" s="12" t="s">
        <v>471</v>
      </c>
      <c r="B130" s="12" t="s">
        <v>21</v>
      </c>
      <c r="C130" s="12" t="s">
        <v>32</v>
      </c>
      <c r="D130" s="13">
        <v>0.0</v>
      </c>
      <c r="E130" s="13">
        <v>2.0</v>
      </c>
      <c r="F130" s="14">
        <v>0.0</v>
      </c>
      <c r="G130" s="15">
        <v>20.5</v>
      </c>
      <c r="H130" s="12" t="s">
        <v>81</v>
      </c>
      <c r="I130" s="16">
        <v>0.1</v>
      </c>
    </row>
    <row r="131" ht="15.75" customHeight="1">
      <c r="A131" s="17" t="s">
        <v>474</v>
      </c>
      <c r="B131" s="17" t="s">
        <v>21</v>
      </c>
      <c r="C131" s="17" t="s">
        <v>27</v>
      </c>
      <c r="D131" s="18">
        <v>0.0</v>
      </c>
      <c r="E131" s="18">
        <v>2.0</v>
      </c>
      <c r="F131" s="19">
        <v>0.0</v>
      </c>
      <c r="G131" s="20">
        <v>23.5</v>
      </c>
      <c r="H131" s="17" t="s">
        <v>81</v>
      </c>
      <c r="I131" s="21">
        <v>0.1</v>
      </c>
    </row>
    <row r="132" ht="15.75" customHeight="1">
      <c r="A132" s="12" t="s">
        <v>478</v>
      </c>
      <c r="B132" s="12" t="s">
        <v>132</v>
      </c>
      <c r="C132" s="12" t="s">
        <v>210</v>
      </c>
      <c r="D132" s="13">
        <v>0.0</v>
      </c>
      <c r="E132" s="13">
        <v>2.0</v>
      </c>
      <c r="F132" s="14">
        <v>0.0</v>
      </c>
      <c r="G132" s="15">
        <v>24.5</v>
      </c>
      <c r="H132" s="12" t="s">
        <v>81</v>
      </c>
      <c r="I132" s="16">
        <v>0.1</v>
      </c>
    </row>
    <row r="133" ht="15.75" customHeight="1">
      <c r="A133" s="17" t="s">
        <v>479</v>
      </c>
      <c r="B133" s="17" t="s">
        <v>21</v>
      </c>
      <c r="C133" s="17" t="s">
        <v>85</v>
      </c>
      <c r="D133" s="18">
        <v>0.0</v>
      </c>
      <c r="E133" s="18">
        <v>2.0</v>
      </c>
      <c r="F133" s="19">
        <v>0.0</v>
      </c>
      <c r="G133" s="20">
        <v>24.5</v>
      </c>
      <c r="H133" s="17" t="s">
        <v>81</v>
      </c>
      <c r="I133" s="21">
        <v>0.1</v>
      </c>
    </row>
    <row r="134" ht="15.75" customHeight="1">
      <c r="A134" s="12" t="s">
        <v>481</v>
      </c>
      <c r="B134" s="12" t="s">
        <v>21</v>
      </c>
      <c r="C134" s="12" t="s">
        <v>324</v>
      </c>
      <c r="D134" s="13">
        <v>0.0</v>
      </c>
      <c r="E134" s="13">
        <v>2.0</v>
      </c>
      <c r="F134" s="14">
        <v>0.0</v>
      </c>
      <c r="G134" s="15">
        <v>29.5</v>
      </c>
      <c r="H134" s="12" t="s">
        <v>81</v>
      </c>
      <c r="I134" s="16">
        <v>0.1</v>
      </c>
    </row>
    <row r="135" ht="15.75" customHeight="1">
      <c r="A135" s="17" t="s">
        <v>485</v>
      </c>
      <c r="B135" s="17" t="s">
        <v>21</v>
      </c>
      <c r="C135" s="17" t="s">
        <v>85</v>
      </c>
      <c r="D135" s="18">
        <v>0.0</v>
      </c>
      <c r="E135" s="18">
        <v>2.0</v>
      </c>
      <c r="F135" s="19">
        <v>0.0</v>
      </c>
      <c r="G135" s="20">
        <v>33.0</v>
      </c>
      <c r="H135" s="17" t="s">
        <v>81</v>
      </c>
      <c r="I135" s="21">
        <v>0.1</v>
      </c>
    </row>
    <row r="136" ht="15.75" customHeight="1">
      <c r="A136" s="12" t="s">
        <v>486</v>
      </c>
      <c r="B136" s="12" t="s">
        <v>21</v>
      </c>
      <c r="C136" s="12" t="s">
        <v>22</v>
      </c>
      <c r="D136" s="13">
        <v>0.0</v>
      </c>
      <c r="E136" s="13">
        <v>2.0</v>
      </c>
      <c r="F136" s="14">
        <v>0.0</v>
      </c>
      <c r="G136" s="15">
        <v>34.0</v>
      </c>
      <c r="H136" s="12" t="s">
        <v>81</v>
      </c>
      <c r="I136" s="16">
        <v>0.1</v>
      </c>
    </row>
    <row r="137" ht="15.75" customHeight="1">
      <c r="A137" s="17" t="s">
        <v>487</v>
      </c>
      <c r="B137" s="17" t="s">
        <v>21</v>
      </c>
      <c r="C137" s="17" t="s">
        <v>85</v>
      </c>
      <c r="D137" s="18">
        <v>0.0</v>
      </c>
      <c r="E137" s="18">
        <v>2.0</v>
      </c>
      <c r="F137" s="19">
        <v>0.0</v>
      </c>
      <c r="G137" s="20">
        <v>35.0</v>
      </c>
      <c r="H137" s="17" t="s">
        <v>81</v>
      </c>
      <c r="I137" s="21">
        <v>0.1</v>
      </c>
    </row>
    <row r="138" ht="15.75" customHeight="1">
      <c r="A138" s="12" t="s">
        <v>490</v>
      </c>
      <c r="B138" s="12" t="s">
        <v>21</v>
      </c>
      <c r="C138" s="12" t="s">
        <v>85</v>
      </c>
      <c r="D138" s="13">
        <v>0.0</v>
      </c>
      <c r="E138" s="13">
        <v>2.0</v>
      </c>
      <c r="F138" s="14">
        <v>0.0</v>
      </c>
      <c r="G138" s="15">
        <v>35.5</v>
      </c>
      <c r="H138" s="12" t="s">
        <v>81</v>
      </c>
      <c r="I138" s="16">
        <v>0.1</v>
      </c>
    </row>
    <row r="139" ht="15.75" customHeight="1">
      <c r="A139" s="17" t="s">
        <v>493</v>
      </c>
      <c r="B139" s="17" t="s">
        <v>43</v>
      </c>
      <c r="C139" s="17" t="s">
        <v>32</v>
      </c>
      <c r="D139" s="18">
        <v>0.0</v>
      </c>
      <c r="E139" s="18">
        <v>2.0</v>
      </c>
      <c r="F139" s="19">
        <v>0.0</v>
      </c>
      <c r="G139" s="20">
        <v>36.5</v>
      </c>
      <c r="H139" s="17" t="s">
        <v>81</v>
      </c>
      <c r="I139" s="21">
        <v>0.1</v>
      </c>
    </row>
    <row r="140" ht="15.75" customHeight="1">
      <c r="A140" s="12" t="s">
        <v>495</v>
      </c>
      <c r="B140" s="12" t="s">
        <v>413</v>
      </c>
      <c r="C140" s="12" t="s">
        <v>32</v>
      </c>
      <c r="D140" s="13">
        <v>0.0</v>
      </c>
      <c r="E140" s="13">
        <v>2.0</v>
      </c>
      <c r="F140" s="14">
        <v>0.0</v>
      </c>
      <c r="G140" s="15">
        <v>39.5</v>
      </c>
      <c r="H140" s="12" t="s">
        <v>81</v>
      </c>
      <c r="I140" s="16">
        <v>0.1</v>
      </c>
    </row>
    <row r="141" ht="15.75" customHeight="1">
      <c r="A141" s="17" t="s">
        <v>496</v>
      </c>
      <c r="B141" s="17" t="s">
        <v>43</v>
      </c>
      <c r="C141" s="17" t="s">
        <v>32</v>
      </c>
      <c r="D141" s="18">
        <v>0.0</v>
      </c>
      <c r="E141" s="18">
        <v>2.0</v>
      </c>
      <c r="F141" s="19">
        <v>0.0</v>
      </c>
      <c r="G141" s="20">
        <v>40.0</v>
      </c>
      <c r="H141" s="17" t="s">
        <v>81</v>
      </c>
      <c r="I141" s="21">
        <v>0.1</v>
      </c>
    </row>
    <row r="142" ht="15.75" customHeight="1">
      <c r="A142" s="12" t="s">
        <v>497</v>
      </c>
      <c r="B142" s="12" t="s">
        <v>76</v>
      </c>
      <c r="C142" s="12" t="s">
        <v>22</v>
      </c>
      <c r="D142" s="13">
        <v>0.0</v>
      </c>
      <c r="E142" s="13">
        <v>2.0</v>
      </c>
      <c r="F142" s="14">
        <v>0.0</v>
      </c>
      <c r="G142" s="15">
        <v>49.0</v>
      </c>
      <c r="H142" s="12" t="s">
        <v>81</v>
      </c>
      <c r="I142" s="16">
        <v>0.1</v>
      </c>
    </row>
    <row r="143" ht="15.75" customHeight="1">
      <c r="A143" s="17" t="s">
        <v>500</v>
      </c>
      <c r="B143" s="17" t="s">
        <v>76</v>
      </c>
      <c r="C143" s="17" t="s">
        <v>32</v>
      </c>
      <c r="D143" s="18">
        <v>0.0</v>
      </c>
      <c r="E143" s="18">
        <v>2.0</v>
      </c>
      <c r="F143" s="19">
        <v>0.0</v>
      </c>
      <c r="G143" s="20">
        <v>65.0</v>
      </c>
      <c r="H143" s="17" t="s">
        <v>81</v>
      </c>
      <c r="I143" s="21">
        <v>0.1</v>
      </c>
    </row>
    <row r="144" ht="15.75" customHeight="1">
      <c r="A144" s="12" t="s">
        <v>502</v>
      </c>
      <c r="B144" s="12" t="s">
        <v>21</v>
      </c>
      <c r="C144" s="12" t="s">
        <v>32</v>
      </c>
      <c r="D144" s="13">
        <v>0.0</v>
      </c>
      <c r="E144" s="13">
        <v>2.0</v>
      </c>
      <c r="F144" s="14">
        <v>0.0</v>
      </c>
      <c r="G144" s="15">
        <v>85.0</v>
      </c>
      <c r="H144" s="12" t="s">
        <v>81</v>
      </c>
      <c r="I144" s="16">
        <v>0.1</v>
      </c>
    </row>
    <row r="145" ht="15.75" customHeight="1">
      <c r="A145" s="17" t="s">
        <v>503</v>
      </c>
      <c r="B145" s="17" t="s">
        <v>21</v>
      </c>
      <c r="C145" s="17" t="s">
        <v>150</v>
      </c>
      <c r="D145" s="18">
        <v>0.0</v>
      </c>
      <c r="E145" s="18">
        <v>2.0</v>
      </c>
      <c r="F145" s="19">
        <v>0.0</v>
      </c>
      <c r="G145" s="20">
        <v>92.0</v>
      </c>
      <c r="H145" s="17" t="s">
        <v>81</v>
      </c>
      <c r="I145" s="21">
        <v>0.1</v>
      </c>
    </row>
    <row r="146" ht="15.75" customHeight="1">
      <c r="A146" s="12" t="s">
        <v>506</v>
      </c>
      <c r="B146" s="12" t="s">
        <v>21</v>
      </c>
      <c r="C146" s="12" t="s">
        <v>92</v>
      </c>
      <c r="D146" s="13">
        <v>0.0</v>
      </c>
      <c r="E146" s="13">
        <v>1.0</v>
      </c>
      <c r="F146" s="14">
        <v>0.0</v>
      </c>
      <c r="G146" s="15">
        <v>1.0</v>
      </c>
      <c r="H146" s="12" t="s">
        <v>259</v>
      </c>
      <c r="I146" s="16">
        <v>0.05</v>
      </c>
    </row>
    <row r="147" ht="15.75" customHeight="1">
      <c r="A147" s="17" t="s">
        <v>509</v>
      </c>
      <c r="B147" s="17" t="s">
        <v>76</v>
      </c>
      <c r="C147" s="17" t="s">
        <v>22</v>
      </c>
      <c r="D147" s="18">
        <v>0.0</v>
      </c>
      <c r="E147" s="18">
        <v>1.0</v>
      </c>
      <c r="F147" s="19">
        <v>0.0</v>
      </c>
      <c r="G147" s="20">
        <v>1.0</v>
      </c>
      <c r="H147" s="17" t="s">
        <v>259</v>
      </c>
      <c r="I147" s="21">
        <v>0.05</v>
      </c>
    </row>
    <row r="148" ht="15.75" customHeight="1">
      <c r="A148" s="12" t="s">
        <v>515</v>
      </c>
      <c r="B148" s="12" t="s">
        <v>21</v>
      </c>
      <c r="C148" s="12" t="s">
        <v>32</v>
      </c>
      <c r="D148" s="13">
        <v>0.0</v>
      </c>
      <c r="E148" s="13">
        <v>1.0</v>
      </c>
      <c r="F148" s="14">
        <v>0.0</v>
      </c>
      <c r="G148" s="15">
        <v>1.0</v>
      </c>
      <c r="H148" s="12" t="s">
        <v>259</v>
      </c>
      <c r="I148" s="16">
        <v>0.05</v>
      </c>
    </row>
    <row r="149" ht="15.75" customHeight="1">
      <c r="A149" s="17" t="s">
        <v>529</v>
      </c>
      <c r="B149" s="17" t="s">
        <v>21</v>
      </c>
      <c r="C149" s="17" t="s">
        <v>92</v>
      </c>
      <c r="D149" s="18">
        <v>0.0</v>
      </c>
      <c r="E149" s="18">
        <v>1.0</v>
      </c>
      <c r="F149" s="19">
        <v>0.0</v>
      </c>
      <c r="G149" s="20">
        <v>1.0</v>
      </c>
      <c r="H149" s="17" t="s">
        <v>259</v>
      </c>
      <c r="I149" s="21">
        <v>0.05</v>
      </c>
    </row>
    <row r="150" ht="15.75" customHeight="1">
      <c r="A150" s="12" t="s">
        <v>537</v>
      </c>
      <c r="B150" s="12" t="s">
        <v>419</v>
      </c>
      <c r="C150" s="12" t="s">
        <v>92</v>
      </c>
      <c r="D150" s="13">
        <v>0.0</v>
      </c>
      <c r="E150" s="13">
        <v>1.0</v>
      </c>
      <c r="F150" s="14">
        <v>0.0</v>
      </c>
      <c r="G150" s="15">
        <v>1.0</v>
      </c>
      <c r="H150" s="12" t="s">
        <v>259</v>
      </c>
      <c r="I150" s="16">
        <v>0.05</v>
      </c>
    </row>
    <row r="151" ht="15.75" customHeight="1">
      <c r="A151" s="17" t="s">
        <v>542</v>
      </c>
      <c r="B151" s="17" t="s">
        <v>21</v>
      </c>
      <c r="C151" s="17" t="s">
        <v>150</v>
      </c>
      <c r="D151" s="18">
        <v>0.0</v>
      </c>
      <c r="E151" s="18">
        <v>1.0</v>
      </c>
      <c r="F151" s="19">
        <v>0.0</v>
      </c>
      <c r="G151" s="20">
        <v>1.0</v>
      </c>
      <c r="H151" s="17" t="s">
        <v>259</v>
      </c>
      <c r="I151" s="21">
        <v>0.05</v>
      </c>
    </row>
    <row r="152" ht="15.75" customHeight="1">
      <c r="A152" s="12" t="s">
        <v>547</v>
      </c>
      <c r="B152" s="12" t="s">
        <v>419</v>
      </c>
      <c r="C152" s="12" t="s">
        <v>92</v>
      </c>
      <c r="D152" s="13">
        <v>0.0</v>
      </c>
      <c r="E152" s="13">
        <v>1.0</v>
      </c>
      <c r="F152" s="14">
        <v>0.0</v>
      </c>
      <c r="G152" s="15">
        <v>1.0</v>
      </c>
      <c r="H152" s="12" t="s">
        <v>259</v>
      </c>
      <c r="I152" s="16">
        <v>0.05</v>
      </c>
    </row>
    <row r="153" ht="15.75" customHeight="1">
      <c r="A153" s="17" t="s">
        <v>552</v>
      </c>
      <c r="B153" s="17" t="s">
        <v>21</v>
      </c>
      <c r="C153" s="17" t="s">
        <v>22</v>
      </c>
      <c r="D153" s="18">
        <v>0.0</v>
      </c>
      <c r="E153" s="18">
        <v>1.0</v>
      </c>
      <c r="F153" s="19">
        <v>0.0</v>
      </c>
      <c r="G153" s="20">
        <v>1.0</v>
      </c>
      <c r="H153" s="17" t="s">
        <v>259</v>
      </c>
      <c r="I153" s="21">
        <v>0.05</v>
      </c>
    </row>
    <row r="154" ht="15.75" customHeight="1">
      <c r="A154" s="12" t="s">
        <v>558</v>
      </c>
      <c r="B154" s="12" t="s">
        <v>21</v>
      </c>
      <c r="C154" s="12" t="s">
        <v>92</v>
      </c>
      <c r="D154" s="13">
        <v>0.0</v>
      </c>
      <c r="E154" s="13">
        <v>1.0</v>
      </c>
      <c r="F154" s="14">
        <v>0.0</v>
      </c>
      <c r="G154" s="15">
        <v>1.0</v>
      </c>
      <c r="H154" s="12" t="s">
        <v>259</v>
      </c>
      <c r="I154" s="16">
        <v>0.05</v>
      </c>
    </row>
    <row r="155" ht="15.75" customHeight="1">
      <c r="A155" s="17" t="s">
        <v>565</v>
      </c>
      <c r="B155" s="17" t="s">
        <v>76</v>
      </c>
      <c r="C155" s="17" t="s">
        <v>22</v>
      </c>
      <c r="D155" s="18">
        <v>0.0</v>
      </c>
      <c r="E155" s="18">
        <v>1.0</v>
      </c>
      <c r="F155" s="19">
        <v>0.0</v>
      </c>
      <c r="G155" s="20">
        <v>1.0</v>
      </c>
      <c r="H155" s="17" t="s">
        <v>259</v>
      </c>
      <c r="I155" s="21">
        <v>0.05</v>
      </c>
    </row>
    <row r="156" ht="15.75" customHeight="1">
      <c r="A156" s="12" t="s">
        <v>573</v>
      </c>
      <c r="B156" s="12" t="s">
        <v>21</v>
      </c>
      <c r="C156" s="12" t="s">
        <v>32</v>
      </c>
      <c r="D156" s="13">
        <v>0.0</v>
      </c>
      <c r="E156" s="13">
        <v>1.0</v>
      </c>
      <c r="F156" s="14">
        <v>0.0</v>
      </c>
      <c r="G156" s="15">
        <v>1.0</v>
      </c>
      <c r="H156" s="12" t="s">
        <v>259</v>
      </c>
      <c r="I156" s="16">
        <v>0.05</v>
      </c>
    </row>
    <row r="157" ht="15.75" customHeight="1">
      <c r="A157" s="17" t="s">
        <v>578</v>
      </c>
      <c r="B157" s="17" t="s">
        <v>21</v>
      </c>
      <c r="C157" s="17" t="s">
        <v>22</v>
      </c>
      <c r="D157" s="18">
        <v>0.0</v>
      </c>
      <c r="E157" s="18">
        <v>1.0</v>
      </c>
      <c r="F157" s="19">
        <v>0.0</v>
      </c>
      <c r="G157" s="20">
        <v>1.0</v>
      </c>
      <c r="H157" s="17" t="s">
        <v>259</v>
      </c>
      <c r="I157" s="21">
        <v>0.05</v>
      </c>
    </row>
    <row r="158" ht="15.75" customHeight="1">
      <c r="A158" s="12" t="s">
        <v>584</v>
      </c>
      <c r="B158" s="12" t="s">
        <v>76</v>
      </c>
      <c r="C158" s="12" t="s">
        <v>32</v>
      </c>
      <c r="D158" s="13">
        <v>0.0</v>
      </c>
      <c r="E158" s="13">
        <v>1.0</v>
      </c>
      <c r="F158" s="14">
        <v>0.0</v>
      </c>
      <c r="G158" s="15">
        <v>1.0</v>
      </c>
      <c r="H158" s="12" t="s">
        <v>259</v>
      </c>
      <c r="I158" s="16">
        <v>0.05</v>
      </c>
    </row>
    <row r="159" ht="15.75" customHeight="1">
      <c r="A159" s="17" t="s">
        <v>590</v>
      </c>
      <c r="B159" s="17" t="s">
        <v>21</v>
      </c>
      <c r="C159" s="17" t="s">
        <v>32</v>
      </c>
      <c r="D159" s="18">
        <v>0.0</v>
      </c>
      <c r="E159" s="18">
        <v>1.0</v>
      </c>
      <c r="F159" s="19">
        <v>0.0</v>
      </c>
      <c r="G159" s="20">
        <v>1.0</v>
      </c>
      <c r="H159" s="17" t="s">
        <v>259</v>
      </c>
      <c r="I159" s="21">
        <v>0.05</v>
      </c>
    </row>
    <row r="160" ht="15.75" customHeight="1">
      <c r="A160" s="12" t="s">
        <v>596</v>
      </c>
      <c r="B160" s="12" t="s">
        <v>21</v>
      </c>
      <c r="C160" s="12" t="s">
        <v>32</v>
      </c>
      <c r="D160" s="13">
        <v>0.0</v>
      </c>
      <c r="E160" s="13">
        <v>1.0</v>
      </c>
      <c r="F160" s="14">
        <v>0.0</v>
      </c>
      <c r="G160" s="15">
        <v>1.0</v>
      </c>
      <c r="H160" s="12" t="s">
        <v>259</v>
      </c>
      <c r="I160" s="16">
        <v>0.05</v>
      </c>
    </row>
    <row r="161" ht="15.75" customHeight="1">
      <c r="A161" s="17" t="s">
        <v>602</v>
      </c>
      <c r="B161" s="17" t="s">
        <v>21</v>
      </c>
      <c r="C161" s="17" t="s">
        <v>32</v>
      </c>
      <c r="D161" s="18">
        <v>0.0</v>
      </c>
      <c r="E161" s="18">
        <v>1.0</v>
      </c>
      <c r="F161" s="19">
        <v>0.0</v>
      </c>
      <c r="G161" s="20">
        <v>1.0</v>
      </c>
      <c r="H161" s="17" t="s">
        <v>259</v>
      </c>
      <c r="I161" s="21">
        <v>0.05</v>
      </c>
    </row>
    <row r="162" ht="15.75" customHeight="1">
      <c r="A162" s="12" t="s">
        <v>608</v>
      </c>
      <c r="B162" s="12" t="s">
        <v>21</v>
      </c>
      <c r="C162" s="12" t="s">
        <v>32</v>
      </c>
      <c r="D162" s="13">
        <v>0.0</v>
      </c>
      <c r="E162" s="13">
        <v>1.0</v>
      </c>
      <c r="F162" s="14">
        <v>0.0</v>
      </c>
      <c r="G162" s="15">
        <v>1.0</v>
      </c>
      <c r="H162" s="12" t="s">
        <v>259</v>
      </c>
      <c r="I162" s="16">
        <v>0.05</v>
      </c>
    </row>
    <row r="163" ht="15.75" customHeight="1">
      <c r="A163" s="17" t="s">
        <v>615</v>
      </c>
      <c r="B163" s="17" t="s">
        <v>21</v>
      </c>
      <c r="C163" s="17" t="s">
        <v>92</v>
      </c>
      <c r="D163" s="18">
        <v>0.0</v>
      </c>
      <c r="E163" s="18">
        <v>1.0</v>
      </c>
      <c r="F163" s="19">
        <v>0.0</v>
      </c>
      <c r="G163" s="20">
        <v>1.0</v>
      </c>
      <c r="H163" s="17" t="s">
        <v>259</v>
      </c>
      <c r="I163" s="21">
        <v>0.05</v>
      </c>
    </row>
    <row r="164" ht="15.75" customHeight="1">
      <c r="A164" s="12" t="s">
        <v>619</v>
      </c>
      <c r="B164" s="12" t="s">
        <v>21</v>
      </c>
      <c r="C164" s="12" t="s">
        <v>92</v>
      </c>
      <c r="D164" s="13">
        <v>0.0</v>
      </c>
      <c r="E164" s="13">
        <v>1.0</v>
      </c>
      <c r="F164" s="14">
        <v>0.0</v>
      </c>
      <c r="G164" s="15">
        <v>1.0</v>
      </c>
      <c r="H164" s="12" t="s">
        <v>259</v>
      </c>
      <c r="I164" s="16">
        <v>0.05</v>
      </c>
    </row>
    <row r="165" ht="15.75" customHeight="1">
      <c r="A165" s="17" t="s">
        <v>623</v>
      </c>
      <c r="B165" s="17" t="s">
        <v>43</v>
      </c>
      <c r="C165" s="17" t="s">
        <v>92</v>
      </c>
      <c r="D165" s="18">
        <v>0.0</v>
      </c>
      <c r="E165" s="18">
        <v>1.0</v>
      </c>
      <c r="F165" s="19">
        <v>0.0</v>
      </c>
      <c r="G165" s="20">
        <v>1.0</v>
      </c>
      <c r="H165" s="17" t="s">
        <v>259</v>
      </c>
      <c r="I165" s="21">
        <v>0.05</v>
      </c>
    </row>
    <row r="166" ht="15.75" customHeight="1">
      <c r="A166" s="12" t="s">
        <v>625</v>
      </c>
      <c r="B166" s="12" t="s">
        <v>43</v>
      </c>
      <c r="C166" s="12" t="s">
        <v>27</v>
      </c>
      <c r="D166" s="13">
        <v>0.0</v>
      </c>
      <c r="E166" s="13">
        <v>1.0</v>
      </c>
      <c r="F166" s="14">
        <v>0.0</v>
      </c>
      <c r="G166" s="15">
        <v>1.0</v>
      </c>
      <c r="H166" s="12" t="s">
        <v>259</v>
      </c>
      <c r="I166" s="16">
        <v>0.05</v>
      </c>
    </row>
    <row r="167" ht="15.75" customHeight="1">
      <c r="A167" s="17" t="s">
        <v>627</v>
      </c>
      <c r="B167" s="17" t="s">
        <v>21</v>
      </c>
      <c r="C167" s="17" t="s">
        <v>324</v>
      </c>
      <c r="D167" s="18">
        <v>0.0</v>
      </c>
      <c r="E167" s="18">
        <v>1.0</v>
      </c>
      <c r="F167" s="19">
        <v>0.0</v>
      </c>
      <c r="G167" s="20">
        <v>2.0</v>
      </c>
      <c r="H167" s="17" t="s">
        <v>259</v>
      </c>
      <c r="I167" s="21">
        <v>0.05</v>
      </c>
    </row>
    <row r="168" ht="15.75" customHeight="1">
      <c r="A168" s="12" t="s">
        <v>630</v>
      </c>
      <c r="B168" s="12" t="s">
        <v>21</v>
      </c>
      <c r="C168" s="12" t="s">
        <v>92</v>
      </c>
      <c r="D168" s="13">
        <v>0.0</v>
      </c>
      <c r="E168" s="13">
        <v>1.0</v>
      </c>
      <c r="F168" s="14">
        <v>0.0</v>
      </c>
      <c r="G168" s="15">
        <v>2.0</v>
      </c>
      <c r="H168" s="12" t="s">
        <v>259</v>
      </c>
      <c r="I168" s="16">
        <v>0.05</v>
      </c>
    </row>
    <row r="169" ht="15.75" customHeight="1">
      <c r="A169" s="17" t="s">
        <v>632</v>
      </c>
      <c r="B169" s="17" t="s">
        <v>21</v>
      </c>
      <c r="C169" s="17" t="s">
        <v>92</v>
      </c>
      <c r="D169" s="18">
        <v>0.0</v>
      </c>
      <c r="E169" s="18">
        <v>1.0</v>
      </c>
      <c r="F169" s="19">
        <v>0.0</v>
      </c>
      <c r="G169" s="20">
        <v>2.0</v>
      </c>
      <c r="H169" s="17" t="s">
        <v>259</v>
      </c>
      <c r="I169" s="21">
        <v>0.05</v>
      </c>
    </row>
    <row r="170" ht="15.75" customHeight="1">
      <c r="A170" s="12" t="s">
        <v>633</v>
      </c>
      <c r="B170" s="12" t="s">
        <v>21</v>
      </c>
      <c r="C170" s="12" t="s">
        <v>22</v>
      </c>
      <c r="D170" s="13">
        <v>0.0</v>
      </c>
      <c r="E170" s="13">
        <v>1.0</v>
      </c>
      <c r="F170" s="14">
        <v>0.0</v>
      </c>
      <c r="G170" s="15">
        <v>2.0</v>
      </c>
      <c r="H170" s="12" t="s">
        <v>259</v>
      </c>
      <c r="I170" s="16">
        <v>0.05</v>
      </c>
    </row>
    <row r="171" ht="15.75" customHeight="1">
      <c r="A171" s="17" t="s">
        <v>634</v>
      </c>
      <c r="B171" s="17" t="s">
        <v>76</v>
      </c>
      <c r="C171" s="17" t="s">
        <v>32</v>
      </c>
      <c r="D171" s="18">
        <v>0.0</v>
      </c>
      <c r="E171" s="18">
        <v>1.0</v>
      </c>
      <c r="F171" s="19">
        <v>0.0</v>
      </c>
      <c r="G171" s="20">
        <v>2.0</v>
      </c>
      <c r="H171" s="17" t="s">
        <v>259</v>
      </c>
      <c r="I171" s="21">
        <v>0.05</v>
      </c>
    </row>
    <row r="172" ht="15.75" customHeight="1">
      <c r="A172" s="12" t="s">
        <v>636</v>
      </c>
      <c r="B172" s="12" t="s">
        <v>21</v>
      </c>
      <c r="C172" s="12" t="s">
        <v>92</v>
      </c>
      <c r="D172" s="13">
        <v>0.0</v>
      </c>
      <c r="E172" s="13">
        <v>1.0</v>
      </c>
      <c r="F172" s="14">
        <v>0.0</v>
      </c>
      <c r="G172" s="15">
        <v>2.0</v>
      </c>
      <c r="H172" s="12" t="s">
        <v>259</v>
      </c>
      <c r="I172" s="16">
        <v>0.05</v>
      </c>
    </row>
    <row r="173" ht="15.75" customHeight="1">
      <c r="A173" s="17" t="s">
        <v>637</v>
      </c>
      <c r="B173" s="17" t="s">
        <v>43</v>
      </c>
      <c r="C173" s="17" t="s">
        <v>32</v>
      </c>
      <c r="D173" s="18">
        <v>0.0</v>
      </c>
      <c r="E173" s="18">
        <v>1.0</v>
      </c>
      <c r="F173" s="19">
        <v>0.0</v>
      </c>
      <c r="G173" s="20">
        <v>2.0</v>
      </c>
      <c r="H173" s="17" t="s">
        <v>259</v>
      </c>
      <c r="I173" s="21">
        <v>0.05</v>
      </c>
    </row>
    <row r="174" ht="15.75" customHeight="1">
      <c r="A174" s="12" t="s">
        <v>638</v>
      </c>
      <c r="B174" s="12" t="s">
        <v>419</v>
      </c>
      <c r="C174" s="12" t="s">
        <v>92</v>
      </c>
      <c r="D174" s="13">
        <v>0.0</v>
      </c>
      <c r="E174" s="13">
        <v>1.0</v>
      </c>
      <c r="F174" s="14">
        <v>0.0</v>
      </c>
      <c r="G174" s="15">
        <v>3.0</v>
      </c>
      <c r="H174" s="12" t="s">
        <v>259</v>
      </c>
      <c r="I174" s="16">
        <v>0.05</v>
      </c>
    </row>
    <row r="175" ht="15.75" customHeight="1">
      <c r="A175" s="17" t="s">
        <v>639</v>
      </c>
      <c r="B175" s="17" t="s">
        <v>21</v>
      </c>
      <c r="C175" s="17" t="s">
        <v>92</v>
      </c>
      <c r="D175" s="18">
        <v>0.0</v>
      </c>
      <c r="E175" s="18">
        <v>1.0</v>
      </c>
      <c r="F175" s="19">
        <v>0.0</v>
      </c>
      <c r="G175" s="20">
        <v>3.0</v>
      </c>
      <c r="H175" s="17" t="s">
        <v>259</v>
      </c>
      <c r="I175" s="21">
        <v>0.05</v>
      </c>
    </row>
    <row r="176" ht="15.75" customHeight="1">
      <c r="A176" s="12" t="s">
        <v>640</v>
      </c>
      <c r="B176" s="12" t="s">
        <v>21</v>
      </c>
      <c r="C176" s="12" t="s">
        <v>324</v>
      </c>
      <c r="D176" s="13">
        <v>0.0</v>
      </c>
      <c r="E176" s="13">
        <v>1.0</v>
      </c>
      <c r="F176" s="14">
        <v>0.0</v>
      </c>
      <c r="G176" s="15">
        <v>3.0</v>
      </c>
      <c r="H176" s="12" t="s">
        <v>259</v>
      </c>
      <c r="I176" s="16">
        <v>0.05</v>
      </c>
    </row>
    <row r="177" ht="15.75" customHeight="1">
      <c r="A177" s="17" t="s">
        <v>643</v>
      </c>
      <c r="B177" s="17" t="s">
        <v>132</v>
      </c>
      <c r="C177" s="17" t="s">
        <v>85</v>
      </c>
      <c r="D177" s="18">
        <v>0.0</v>
      </c>
      <c r="E177" s="18">
        <v>1.0</v>
      </c>
      <c r="F177" s="19">
        <v>0.0</v>
      </c>
      <c r="G177" s="20">
        <v>3.0</v>
      </c>
      <c r="H177" s="17" t="s">
        <v>259</v>
      </c>
      <c r="I177" s="21">
        <v>0.05</v>
      </c>
    </row>
    <row r="178" ht="15.75" customHeight="1">
      <c r="A178" s="12" t="s">
        <v>644</v>
      </c>
      <c r="B178" s="12" t="s">
        <v>21</v>
      </c>
      <c r="C178" s="12" t="s">
        <v>324</v>
      </c>
      <c r="D178" s="13">
        <v>0.0</v>
      </c>
      <c r="E178" s="13">
        <v>1.0</v>
      </c>
      <c r="F178" s="14">
        <v>0.0</v>
      </c>
      <c r="G178" s="15">
        <v>3.0</v>
      </c>
      <c r="H178" s="12" t="s">
        <v>259</v>
      </c>
      <c r="I178" s="16">
        <v>0.05</v>
      </c>
    </row>
    <row r="179" ht="15.75" customHeight="1">
      <c r="A179" s="17" t="s">
        <v>646</v>
      </c>
      <c r="B179" s="17" t="s">
        <v>76</v>
      </c>
      <c r="C179" s="17" t="s">
        <v>34</v>
      </c>
      <c r="D179" s="18">
        <v>0.0</v>
      </c>
      <c r="E179" s="18">
        <v>1.0</v>
      </c>
      <c r="F179" s="19">
        <v>0.0</v>
      </c>
      <c r="G179" s="20">
        <v>3.0</v>
      </c>
      <c r="H179" s="17" t="s">
        <v>259</v>
      </c>
      <c r="I179" s="21">
        <v>0.05</v>
      </c>
    </row>
    <row r="180" ht="15.75" customHeight="1">
      <c r="A180" s="12" t="s">
        <v>648</v>
      </c>
      <c r="B180" s="12" t="s">
        <v>21</v>
      </c>
      <c r="C180" s="12" t="s">
        <v>22</v>
      </c>
      <c r="D180" s="13">
        <v>0.0</v>
      </c>
      <c r="E180" s="13">
        <v>1.0</v>
      </c>
      <c r="F180" s="14">
        <v>0.0</v>
      </c>
      <c r="G180" s="15">
        <v>3.0</v>
      </c>
      <c r="H180" s="12" t="s">
        <v>259</v>
      </c>
      <c r="I180" s="16">
        <v>0.05</v>
      </c>
    </row>
    <row r="181" ht="15.75" customHeight="1">
      <c r="A181" s="17" t="s">
        <v>649</v>
      </c>
      <c r="B181" s="17" t="s">
        <v>21</v>
      </c>
      <c r="C181" s="17" t="s">
        <v>22</v>
      </c>
      <c r="D181" s="18">
        <v>0.0</v>
      </c>
      <c r="E181" s="18">
        <v>1.0</v>
      </c>
      <c r="F181" s="19">
        <v>0.0</v>
      </c>
      <c r="G181" s="20">
        <v>3.0</v>
      </c>
      <c r="H181" s="17" t="s">
        <v>259</v>
      </c>
      <c r="I181" s="21">
        <v>0.05</v>
      </c>
    </row>
    <row r="182" ht="15.75" customHeight="1">
      <c r="A182" s="12" t="s">
        <v>650</v>
      </c>
      <c r="B182" s="12" t="s">
        <v>21</v>
      </c>
      <c r="C182" s="12" t="s">
        <v>92</v>
      </c>
      <c r="D182" s="13">
        <v>0.0</v>
      </c>
      <c r="E182" s="13">
        <v>1.0</v>
      </c>
      <c r="F182" s="14">
        <v>0.0</v>
      </c>
      <c r="G182" s="15">
        <v>4.0</v>
      </c>
      <c r="H182" s="12" t="s">
        <v>81</v>
      </c>
      <c r="I182" s="16">
        <v>0.05</v>
      </c>
    </row>
    <row r="183" ht="15.75" customHeight="1">
      <c r="A183" s="17" t="s">
        <v>653</v>
      </c>
      <c r="B183" s="17" t="s">
        <v>21</v>
      </c>
      <c r="C183" s="17" t="s">
        <v>150</v>
      </c>
      <c r="D183" s="18">
        <v>0.0</v>
      </c>
      <c r="E183" s="18">
        <v>1.0</v>
      </c>
      <c r="F183" s="19">
        <v>0.0</v>
      </c>
      <c r="G183" s="20">
        <v>4.0</v>
      </c>
      <c r="H183" s="17" t="s">
        <v>81</v>
      </c>
      <c r="I183" s="21">
        <v>0.05</v>
      </c>
    </row>
    <row r="184" ht="15.75" customHeight="1">
      <c r="A184" s="12" t="s">
        <v>654</v>
      </c>
      <c r="B184" s="12" t="s">
        <v>21</v>
      </c>
      <c r="C184" s="12" t="s">
        <v>92</v>
      </c>
      <c r="D184" s="13">
        <v>0.0</v>
      </c>
      <c r="E184" s="13">
        <v>1.0</v>
      </c>
      <c r="F184" s="14">
        <v>0.0</v>
      </c>
      <c r="G184" s="15">
        <v>4.0</v>
      </c>
      <c r="H184" s="12" t="s">
        <v>81</v>
      </c>
      <c r="I184" s="16">
        <v>0.05</v>
      </c>
    </row>
    <row r="185" ht="15.75" customHeight="1">
      <c r="A185" s="17" t="s">
        <v>657</v>
      </c>
      <c r="B185" s="17" t="s">
        <v>21</v>
      </c>
      <c r="C185" s="17" t="s">
        <v>92</v>
      </c>
      <c r="D185" s="18">
        <v>0.0</v>
      </c>
      <c r="E185" s="18">
        <v>1.0</v>
      </c>
      <c r="F185" s="19">
        <v>0.0</v>
      </c>
      <c r="G185" s="20">
        <v>4.0</v>
      </c>
      <c r="H185" s="17" t="s">
        <v>81</v>
      </c>
      <c r="I185" s="21">
        <v>0.05</v>
      </c>
    </row>
    <row r="186" ht="15.75" customHeight="1">
      <c r="A186" s="12" t="s">
        <v>659</v>
      </c>
      <c r="B186" s="12" t="s">
        <v>21</v>
      </c>
      <c r="C186" s="12" t="s">
        <v>92</v>
      </c>
      <c r="D186" s="13">
        <v>0.0</v>
      </c>
      <c r="E186" s="13">
        <v>1.0</v>
      </c>
      <c r="F186" s="14">
        <v>0.0</v>
      </c>
      <c r="G186" s="15">
        <v>4.0</v>
      </c>
      <c r="H186" s="12" t="s">
        <v>81</v>
      </c>
      <c r="I186" s="16">
        <v>0.05</v>
      </c>
    </row>
    <row r="187" ht="15.75" customHeight="1">
      <c r="A187" s="17" t="s">
        <v>664</v>
      </c>
      <c r="B187" s="17" t="s">
        <v>21</v>
      </c>
      <c r="C187" s="17" t="s">
        <v>22</v>
      </c>
      <c r="D187" s="18">
        <v>0.0</v>
      </c>
      <c r="E187" s="18">
        <v>1.0</v>
      </c>
      <c r="F187" s="19">
        <v>0.0</v>
      </c>
      <c r="G187" s="20">
        <v>4.0</v>
      </c>
      <c r="H187" s="17" t="s">
        <v>81</v>
      </c>
      <c r="I187" s="21">
        <v>0.05</v>
      </c>
    </row>
    <row r="188" ht="15.75" customHeight="1">
      <c r="A188" s="12" t="s">
        <v>668</v>
      </c>
      <c r="B188" s="12" t="s">
        <v>21</v>
      </c>
      <c r="C188" s="12" t="s">
        <v>27</v>
      </c>
      <c r="D188" s="13">
        <v>0.0</v>
      </c>
      <c r="E188" s="13">
        <v>1.0</v>
      </c>
      <c r="F188" s="14">
        <v>0.0</v>
      </c>
      <c r="G188" s="15">
        <v>5.0</v>
      </c>
      <c r="H188" s="12" t="s">
        <v>81</v>
      </c>
      <c r="I188" s="16">
        <v>0.05</v>
      </c>
    </row>
    <row r="189" ht="15.75" customHeight="1">
      <c r="A189" s="17" t="s">
        <v>673</v>
      </c>
      <c r="B189" s="17" t="s">
        <v>21</v>
      </c>
      <c r="C189" s="17" t="s">
        <v>92</v>
      </c>
      <c r="D189" s="18">
        <v>0.0</v>
      </c>
      <c r="E189" s="18">
        <v>1.0</v>
      </c>
      <c r="F189" s="19">
        <v>0.0</v>
      </c>
      <c r="G189" s="20">
        <v>5.0</v>
      </c>
      <c r="H189" s="17" t="s">
        <v>81</v>
      </c>
      <c r="I189" s="21">
        <v>0.05</v>
      </c>
    </row>
    <row r="190" ht="15.75" customHeight="1">
      <c r="A190" s="12" t="s">
        <v>676</v>
      </c>
      <c r="B190" s="12" t="s">
        <v>21</v>
      </c>
      <c r="C190" s="12" t="s">
        <v>150</v>
      </c>
      <c r="D190" s="13">
        <v>0.0</v>
      </c>
      <c r="E190" s="13">
        <v>1.0</v>
      </c>
      <c r="F190" s="14">
        <v>0.0</v>
      </c>
      <c r="G190" s="15">
        <v>5.0</v>
      </c>
      <c r="H190" s="12" t="s">
        <v>81</v>
      </c>
      <c r="I190" s="16">
        <v>0.05</v>
      </c>
    </row>
    <row r="191" ht="15.75" customHeight="1">
      <c r="A191" s="17" t="s">
        <v>678</v>
      </c>
      <c r="B191" s="17" t="s">
        <v>413</v>
      </c>
      <c r="C191" s="17" t="s">
        <v>27</v>
      </c>
      <c r="D191" s="18">
        <v>0.0</v>
      </c>
      <c r="E191" s="18">
        <v>1.0</v>
      </c>
      <c r="F191" s="19">
        <v>0.0</v>
      </c>
      <c r="G191" s="20">
        <v>5.0</v>
      </c>
      <c r="H191" s="17" t="s">
        <v>81</v>
      </c>
      <c r="I191" s="21">
        <v>0.05</v>
      </c>
    </row>
    <row r="192" ht="15.75" customHeight="1">
      <c r="A192" s="12" t="s">
        <v>679</v>
      </c>
      <c r="B192" s="12" t="s">
        <v>21</v>
      </c>
      <c r="C192" s="12" t="s">
        <v>32</v>
      </c>
      <c r="D192" s="13">
        <v>0.0</v>
      </c>
      <c r="E192" s="13">
        <v>1.0</v>
      </c>
      <c r="F192" s="14">
        <v>0.0</v>
      </c>
      <c r="G192" s="15">
        <v>5.0</v>
      </c>
      <c r="H192" s="12" t="s">
        <v>81</v>
      </c>
      <c r="I192" s="16">
        <v>0.05</v>
      </c>
    </row>
    <row r="193" ht="15.75" customHeight="1">
      <c r="A193" s="17" t="s">
        <v>681</v>
      </c>
      <c r="B193" s="17" t="s">
        <v>413</v>
      </c>
      <c r="C193" s="17" t="s">
        <v>210</v>
      </c>
      <c r="D193" s="18">
        <v>0.0</v>
      </c>
      <c r="E193" s="18">
        <v>1.0</v>
      </c>
      <c r="F193" s="19">
        <v>0.0</v>
      </c>
      <c r="G193" s="20">
        <v>5.0</v>
      </c>
      <c r="H193" s="17" t="s">
        <v>81</v>
      </c>
      <c r="I193" s="21">
        <v>0.05</v>
      </c>
    </row>
    <row r="194" ht="15.75" customHeight="1">
      <c r="A194" s="12" t="s">
        <v>682</v>
      </c>
      <c r="B194" s="12" t="s">
        <v>21</v>
      </c>
      <c r="C194" s="12" t="s">
        <v>92</v>
      </c>
      <c r="D194" s="13">
        <v>0.0</v>
      </c>
      <c r="E194" s="13">
        <v>1.0</v>
      </c>
      <c r="F194" s="14">
        <v>0.0</v>
      </c>
      <c r="G194" s="15">
        <v>5.0</v>
      </c>
      <c r="H194" s="12" t="s">
        <v>81</v>
      </c>
      <c r="I194" s="16">
        <v>0.05</v>
      </c>
    </row>
    <row r="195" ht="15.75" customHeight="1">
      <c r="A195" s="17" t="s">
        <v>683</v>
      </c>
      <c r="B195" s="17" t="s">
        <v>21</v>
      </c>
      <c r="C195" s="17" t="s">
        <v>92</v>
      </c>
      <c r="D195" s="18">
        <v>0.0</v>
      </c>
      <c r="E195" s="18">
        <v>1.0</v>
      </c>
      <c r="F195" s="19">
        <v>0.0</v>
      </c>
      <c r="G195" s="20">
        <v>6.0</v>
      </c>
      <c r="H195" s="17" t="s">
        <v>81</v>
      </c>
      <c r="I195" s="21">
        <v>0.05</v>
      </c>
    </row>
    <row r="196" ht="15.75" customHeight="1">
      <c r="A196" s="12" t="s">
        <v>685</v>
      </c>
      <c r="B196" s="12" t="s">
        <v>21</v>
      </c>
      <c r="C196" s="12" t="s">
        <v>92</v>
      </c>
      <c r="D196" s="13">
        <v>0.0</v>
      </c>
      <c r="E196" s="13">
        <v>1.0</v>
      </c>
      <c r="F196" s="14">
        <v>0.0</v>
      </c>
      <c r="G196" s="15">
        <v>6.0</v>
      </c>
      <c r="H196" s="12" t="s">
        <v>81</v>
      </c>
      <c r="I196" s="16">
        <v>0.05</v>
      </c>
    </row>
    <row r="197" ht="15.75" customHeight="1">
      <c r="A197" s="17" t="s">
        <v>686</v>
      </c>
      <c r="B197" s="17" t="s">
        <v>21</v>
      </c>
      <c r="C197" s="17" t="s">
        <v>27</v>
      </c>
      <c r="D197" s="18">
        <v>0.0</v>
      </c>
      <c r="E197" s="18">
        <v>1.0</v>
      </c>
      <c r="F197" s="19">
        <v>0.0</v>
      </c>
      <c r="G197" s="20">
        <v>6.0</v>
      </c>
      <c r="H197" s="17" t="s">
        <v>81</v>
      </c>
      <c r="I197" s="21">
        <v>0.05</v>
      </c>
    </row>
    <row r="198" ht="15.75" customHeight="1">
      <c r="A198" s="12" t="s">
        <v>687</v>
      </c>
      <c r="B198" s="12" t="s">
        <v>21</v>
      </c>
      <c r="C198" s="12" t="s">
        <v>27</v>
      </c>
      <c r="D198" s="13">
        <v>0.0</v>
      </c>
      <c r="E198" s="13">
        <v>1.0</v>
      </c>
      <c r="F198" s="14">
        <v>0.0</v>
      </c>
      <c r="G198" s="15">
        <v>6.0</v>
      </c>
      <c r="H198" s="12" t="s">
        <v>81</v>
      </c>
      <c r="I198" s="16">
        <v>0.05</v>
      </c>
    </row>
    <row r="199" ht="15.75" customHeight="1">
      <c r="A199" s="17" t="s">
        <v>691</v>
      </c>
      <c r="B199" s="17" t="s">
        <v>21</v>
      </c>
      <c r="C199" s="17" t="s">
        <v>92</v>
      </c>
      <c r="D199" s="18">
        <v>0.0</v>
      </c>
      <c r="E199" s="18">
        <v>1.0</v>
      </c>
      <c r="F199" s="19">
        <v>0.0</v>
      </c>
      <c r="G199" s="20">
        <v>6.0</v>
      </c>
      <c r="H199" s="17" t="s">
        <v>81</v>
      </c>
      <c r="I199" s="21">
        <v>0.05</v>
      </c>
    </row>
    <row r="200" ht="15.75" customHeight="1">
      <c r="A200" s="12" t="s">
        <v>692</v>
      </c>
      <c r="B200" s="12" t="s">
        <v>21</v>
      </c>
      <c r="C200" s="12" t="s">
        <v>22</v>
      </c>
      <c r="D200" s="13">
        <v>0.0</v>
      </c>
      <c r="E200" s="13">
        <v>1.0</v>
      </c>
      <c r="F200" s="14">
        <v>0.0</v>
      </c>
      <c r="G200" s="15">
        <v>6.0</v>
      </c>
      <c r="H200" s="12" t="s">
        <v>81</v>
      </c>
      <c r="I200" s="16">
        <v>0.05</v>
      </c>
    </row>
    <row r="201" ht="15.75" customHeight="1">
      <c r="A201" s="17" t="s">
        <v>693</v>
      </c>
      <c r="B201" s="17" t="s">
        <v>21</v>
      </c>
      <c r="C201" s="17" t="s">
        <v>92</v>
      </c>
      <c r="D201" s="18">
        <v>0.0</v>
      </c>
      <c r="E201" s="18">
        <v>1.0</v>
      </c>
      <c r="F201" s="19">
        <v>0.0</v>
      </c>
      <c r="G201" s="20">
        <v>7.0</v>
      </c>
      <c r="H201" s="17" t="s">
        <v>81</v>
      </c>
      <c r="I201" s="21">
        <v>0.05</v>
      </c>
    </row>
    <row r="202" ht="15.75" customHeight="1">
      <c r="A202" s="12" t="s">
        <v>695</v>
      </c>
      <c r="B202" s="12" t="s">
        <v>21</v>
      </c>
      <c r="C202" s="12" t="s">
        <v>150</v>
      </c>
      <c r="D202" s="13">
        <v>0.0</v>
      </c>
      <c r="E202" s="13">
        <v>1.0</v>
      </c>
      <c r="F202" s="14">
        <v>0.0</v>
      </c>
      <c r="G202" s="15">
        <v>7.0</v>
      </c>
      <c r="H202" s="12" t="s">
        <v>81</v>
      </c>
      <c r="I202" s="16">
        <v>0.05</v>
      </c>
    </row>
    <row r="203" ht="15.75" customHeight="1">
      <c r="A203" s="17" t="s">
        <v>696</v>
      </c>
      <c r="B203" s="17" t="s">
        <v>21</v>
      </c>
      <c r="C203" s="17" t="s">
        <v>324</v>
      </c>
      <c r="D203" s="18">
        <v>0.0</v>
      </c>
      <c r="E203" s="18">
        <v>1.0</v>
      </c>
      <c r="F203" s="19">
        <v>0.0</v>
      </c>
      <c r="G203" s="20">
        <v>7.0</v>
      </c>
      <c r="H203" s="17" t="s">
        <v>81</v>
      </c>
      <c r="I203" s="21">
        <v>0.05</v>
      </c>
    </row>
    <row r="204" ht="15.75" customHeight="1">
      <c r="A204" s="12" t="s">
        <v>697</v>
      </c>
      <c r="B204" s="12" t="s">
        <v>21</v>
      </c>
      <c r="C204" s="12" t="s">
        <v>92</v>
      </c>
      <c r="D204" s="13">
        <v>0.0</v>
      </c>
      <c r="E204" s="13">
        <v>1.0</v>
      </c>
      <c r="F204" s="14">
        <v>0.0</v>
      </c>
      <c r="G204" s="15">
        <v>7.0</v>
      </c>
      <c r="H204" s="12" t="s">
        <v>81</v>
      </c>
      <c r="I204" s="16">
        <v>0.05</v>
      </c>
    </row>
    <row r="205" ht="15.75" customHeight="1">
      <c r="A205" s="17" t="s">
        <v>700</v>
      </c>
      <c r="B205" s="17" t="s">
        <v>21</v>
      </c>
      <c r="C205" s="17" t="s">
        <v>92</v>
      </c>
      <c r="D205" s="18">
        <v>0.0</v>
      </c>
      <c r="E205" s="18">
        <v>1.0</v>
      </c>
      <c r="F205" s="19">
        <v>0.0</v>
      </c>
      <c r="G205" s="20">
        <v>7.0</v>
      </c>
      <c r="H205" s="17" t="s">
        <v>81</v>
      </c>
      <c r="I205" s="21">
        <v>0.05</v>
      </c>
    </row>
    <row r="206" ht="15.75" customHeight="1">
      <c r="A206" s="12" t="s">
        <v>703</v>
      </c>
      <c r="B206" s="12" t="s">
        <v>21</v>
      </c>
      <c r="C206" s="12" t="s">
        <v>92</v>
      </c>
      <c r="D206" s="13">
        <v>0.0</v>
      </c>
      <c r="E206" s="13">
        <v>1.0</v>
      </c>
      <c r="F206" s="14">
        <v>0.0</v>
      </c>
      <c r="G206" s="15">
        <v>8.0</v>
      </c>
      <c r="H206" s="12" t="s">
        <v>81</v>
      </c>
      <c r="I206" s="16">
        <v>0.05</v>
      </c>
    </row>
    <row r="207" ht="15.75" customHeight="1">
      <c r="A207" s="17" t="s">
        <v>704</v>
      </c>
      <c r="B207" s="17" t="s">
        <v>21</v>
      </c>
      <c r="C207" s="17" t="s">
        <v>22</v>
      </c>
      <c r="D207" s="18">
        <v>0.0</v>
      </c>
      <c r="E207" s="18">
        <v>1.0</v>
      </c>
      <c r="F207" s="19">
        <v>0.0</v>
      </c>
      <c r="G207" s="20">
        <v>8.0</v>
      </c>
      <c r="H207" s="17" t="s">
        <v>81</v>
      </c>
      <c r="I207" s="21">
        <v>0.05</v>
      </c>
    </row>
    <row r="208" ht="15.75" customHeight="1">
      <c r="A208" s="12" t="s">
        <v>706</v>
      </c>
      <c r="B208" s="12" t="s">
        <v>21</v>
      </c>
      <c r="C208" s="12" t="s">
        <v>92</v>
      </c>
      <c r="D208" s="13">
        <v>0.0</v>
      </c>
      <c r="E208" s="13">
        <v>1.0</v>
      </c>
      <c r="F208" s="14">
        <v>0.0</v>
      </c>
      <c r="G208" s="15">
        <v>8.0</v>
      </c>
      <c r="H208" s="12" t="s">
        <v>81</v>
      </c>
      <c r="I208" s="16">
        <v>0.05</v>
      </c>
    </row>
    <row r="209" ht="15.75" customHeight="1">
      <c r="A209" s="17" t="s">
        <v>708</v>
      </c>
      <c r="B209" s="17" t="s">
        <v>21</v>
      </c>
      <c r="C209" s="17" t="s">
        <v>32</v>
      </c>
      <c r="D209" s="18">
        <v>0.0</v>
      </c>
      <c r="E209" s="18">
        <v>1.0</v>
      </c>
      <c r="F209" s="19">
        <v>0.0</v>
      </c>
      <c r="G209" s="20">
        <v>8.0</v>
      </c>
      <c r="H209" s="17" t="s">
        <v>81</v>
      </c>
      <c r="I209" s="21">
        <v>0.05</v>
      </c>
    </row>
    <row r="210" ht="15.75" customHeight="1">
      <c r="A210" s="12" t="s">
        <v>709</v>
      </c>
      <c r="B210" s="12" t="s">
        <v>21</v>
      </c>
      <c r="C210" s="12" t="s">
        <v>27</v>
      </c>
      <c r="D210" s="13">
        <v>0.0</v>
      </c>
      <c r="E210" s="13">
        <v>1.0</v>
      </c>
      <c r="F210" s="14">
        <v>0.0</v>
      </c>
      <c r="G210" s="15">
        <v>9.0</v>
      </c>
      <c r="H210" s="12" t="s">
        <v>81</v>
      </c>
      <c r="I210" s="16">
        <v>0.05</v>
      </c>
    </row>
    <row r="211" ht="15.75" customHeight="1">
      <c r="A211" s="17" t="s">
        <v>713</v>
      </c>
      <c r="B211" s="17" t="s">
        <v>21</v>
      </c>
      <c r="C211" s="17" t="s">
        <v>92</v>
      </c>
      <c r="D211" s="18">
        <v>0.0</v>
      </c>
      <c r="E211" s="18">
        <v>1.0</v>
      </c>
      <c r="F211" s="19">
        <v>0.0</v>
      </c>
      <c r="G211" s="20">
        <v>9.0</v>
      </c>
      <c r="H211" s="17" t="s">
        <v>81</v>
      </c>
      <c r="I211" s="21">
        <v>0.05</v>
      </c>
    </row>
    <row r="212" ht="15.75" customHeight="1">
      <c r="A212" s="12" t="s">
        <v>716</v>
      </c>
      <c r="B212" s="12" t="s">
        <v>76</v>
      </c>
      <c r="C212" s="12" t="s">
        <v>210</v>
      </c>
      <c r="D212" s="13">
        <v>0.0</v>
      </c>
      <c r="E212" s="13">
        <v>1.0</v>
      </c>
      <c r="F212" s="14">
        <v>0.0</v>
      </c>
      <c r="G212" s="15">
        <v>10.0</v>
      </c>
      <c r="H212" s="12" t="s">
        <v>81</v>
      </c>
      <c r="I212" s="16">
        <v>0.05</v>
      </c>
    </row>
    <row r="213" ht="15.75" customHeight="1">
      <c r="A213" s="17" t="s">
        <v>717</v>
      </c>
      <c r="B213" s="17" t="s">
        <v>21</v>
      </c>
      <c r="C213" s="17" t="s">
        <v>92</v>
      </c>
      <c r="D213" s="18">
        <v>0.0</v>
      </c>
      <c r="E213" s="18">
        <v>1.0</v>
      </c>
      <c r="F213" s="19">
        <v>0.0</v>
      </c>
      <c r="G213" s="20">
        <v>10.0</v>
      </c>
      <c r="H213" s="17" t="s">
        <v>81</v>
      </c>
      <c r="I213" s="21">
        <v>0.05</v>
      </c>
    </row>
    <row r="214" ht="15.75" customHeight="1">
      <c r="A214" s="12" t="s">
        <v>719</v>
      </c>
      <c r="B214" s="12" t="s">
        <v>413</v>
      </c>
      <c r="C214" s="12" t="s">
        <v>210</v>
      </c>
      <c r="D214" s="13">
        <v>0.0</v>
      </c>
      <c r="E214" s="13">
        <v>1.0</v>
      </c>
      <c r="F214" s="14">
        <v>0.0</v>
      </c>
      <c r="G214" s="15">
        <v>10.0</v>
      </c>
      <c r="H214" s="12" t="s">
        <v>81</v>
      </c>
      <c r="I214" s="16">
        <v>0.05</v>
      </c>
    </row>
    <row r="215" ht="15.75" customHeight="1">
      <c r="A215" s="17" t="s">
        <v>720</v>
      </c>
      <c r="B215" s="17" t="s">
        <v>43</v>
      </c>
      <c r="C215" s="17" t="s">
        <v>34</v>
      </c>
      <c r="D215" s="18">
        <v>0.0</v>
      </c>
      <c r="E215" s="18">
        <v>1.0</v>
      </c>
      <c r="F215" s="19">
        <v>0.0</v>
      </c>
      <c r="G215" s="20">
        <v>10.0</v>
      </c>
      <c r="H215" s="17" t="s">
        <v>81</v>
      </c>
      <c r="I215" s="21">
        <v>0.05</v>
      </c>
    </row>
    <row r="216" ht="15.75" customHeight="1">
      <c r="A216" s="12" t="s">
        <v>723</v>
      </c>
      <c r="B216" s="12" t="s">
        <v>21</v>
      </c>
      <c r="C216" s="12" t="s">
        <v>34</v>
      </c>
      <c r="D216" s="13">
        <v>0.0</v>
      </c>
      <c r="E216" s="13">
        <v>1.0</v>
      </c>
      <c r="F216" s="14">
        <v>0.0</v>
      </c>
      <c r="G216" s="15">
        <v>10.0</v>
      </c>
      <c r="H216" s="12" t="s">
        <v>81</v>
      </c>
      <c r="I216" s="16">
        <v>0.05</v>
      </c>
    </row>
    <row r="217" ht="15.75" customHeight="1">
      <c r="A217" s="17" t="s">
        <v>725</v>
      </c>
      <c r="B217" s="17" t="s">
        <v>43</v>
      </c>
      <c r="C217" s="17" t="s">
        <v>92</v>
      </c>
      <c r="D217" s="18">
        <v>0.0</v>
      </c>
      <c r="E217" s="18">
        <v>1.0</v>
      </c>
      <c r="F217" s="19">
        <v>0.0</v>
      </c>
      <c r="G217" s="20">
        <v>10.0</v>
      </c>
      <c r="H217" s="17" t="s">
        <v>81</v>
      </c>
      <c r="I217" s="21">
        <v>0.05</v>
      </c>
    </row>
    <row r="218" ht="15.75" customHeight="1">
      <c r="A218" s="12" t="s">
        <v>726</v>
      </c>
      <c r="B218" s="12" t="s">
        <v>132</v>
      </c>
      <c r="C218" s="12" t="s">
        <v>22</v>
      </c>
      <c r="D218" s="13">
        <v>0.0</v>
      </c>
      <c r="E218" s="13">
        <v>1.0</v>
      </c>
      <c r="F218" s="14">
        <v>0.0</v>
      </c>
      <c r="G218" s="15">
        <v>11.0</v>
      </c>
      <c r="H218" s="12" t="s">
        <v>81</v>
      </c>
      <c r="I218" s="16">
        <v>0.05</v>
      </c>
    </row>
    <row r="219" ht="15.75" customHeight="1">
      <c r="A219" s="17" t="s">
        <v>729</v>
      </c>
      <c r="B219" s="17" t="s">
        <v>132</v>
      </c>
      <c r="C219" s="17" t="s">
        <v>27</v>
      </c>
      <c r="D219" s="18">
        <v>0.0</v>
      </c>
      <c r="E219" s="18">
        <v>1.0</v>
      </c>
      <c r="F219" s="19">
        <v>0.0</v>
      </c>
      <c r="G219" s="20">
        <v>11.0</v>
      </c>
      <c r="H219" s="17" t="s">
        <v>81</v>
      </c>
      <c r="I219" s="21">
        <v>0.05</v>
      </c>
    </row>
    <row r="220" ht="15.75" customHeight="1">
      <c r="A220" s="12" t="s">
        <v>733</v>
      </c>
      <c r="B220" s="12" t="s">
        <v>413</v>
      </c>
      <c r="C220" s="12" t="s">
        <v>27</v>
      </c>
      <c r="D220" s="13">
        <v>0.0</v>
      </c>
      <c r="E220" s="13">
        <v>1.0</v>
      </c>
      <c r="F220" s="14">
        <v>0.0</v>
      </c>
      <c r="G220" s="15">
        <v>11.0</v>
      </c>
      <c r="H220" s="12" t="s">
        <v>81</v>
      </c>
      <c r="I220" s="16">
        <v>0.05</v>
      </c>
    </row>
    <row r="221" ht="15.75" customHeight="1">
      <c r="A221" s="17" t="s">
        <v>734</v>
      </c>
      <c r="B221" s="17" t="s">
        <v>21</v>
      </c>
      <c r="C221" s="17" t="s">
        <v>27</v>
      </c>
      <c r="D221" s="18">
        <v>0.0</v>
      </c>
      <c r="E221" s="18">
        <v>1.0</v>
      </c>
      <c r="F221" s="19">
        <v>0.0</v>
      </c>
      <c r="G221" s="20">
        <v>11.0</v>
      </c>
      <c r="H221" s="17" t="s">
        <v>81</v>
      </c>
      <c r="I221" s="21">
        <v>0.05</v>
      </c>
    </row>
    <row r="222" ht="15.75" customHeight="1">
      <c r="A222" s="12" t="s">
        <v>735</v>
      </c>
      <c r="B222" s="12" t="s">
        <v>21</v>
      </c>
      <c r="C222" s="12" t="s">
        <v>22</v>
      </c>
      <c r="D222" s="13">
        <v>0.0</v>
      </c>
      <c r="E222" s="13">
        <v>1.0</v>
      </c>
      <c r="F222" s="14">
        <v>0.0</v>
      </c>
      <c r="G222" s="15">
        <v>12.0</v>
      </c>
      <c r="H222" s="12" t="s">
        <v>81</v>
      </c>
      <c r="I222" s="16">
        <v>0.05</v>
      </c>
    </row>
    <row r="223" ht="15.75" customHeight="1">
      <c r="A223" s="17" t="s">
        <v>737</v>
      </c>
      <c r="B223" s="17" t="s">
        <v>21</v>
      </c>
      <c r="C223" s="17" t="s">
        <v>210</v>
      </c>
      <c r="D223" s="18">
        <v>0.0</v>
      </c>
      <c r="E223" s="18">
        <v>1.0</v>
      </c>
      <c r="F223" s="19">
        <v>0.0</v>
      </c>
      <c r="G223" s="20">
        <v>13.0</v>
      </c>
      <c r="H223" s="17" t="s">
        <v>81</v>
      </c>
      <c r="I223" s="21">
        <v>0.05</v>
      </c>
    </row>
    <row r="224" ht="15.75" customHeight="1">
      <c r="A224" s="12" t="s">
        <v>739</v>
      </c>
      <c r="B224" s="12" t="s">
        <v>21</v>
      </c>
      <c r="C224" s="12" t="s">
        <v>32</v>
      </c>
      <c r="D224" s="13">
        <v>0.0</v>
      </c>
      <c r="E224" s="13">
        <v>1.0</v>
      </c>
      <c r="F224" s="14">
        <v>0.0</v>
      </c>
      <c r="G224" s="15">
        <v>13.0</v>
      </c>
      <c r="H224" s="12" t="s">
        <v>81</v>
      </c>
      <c r="I224" s="16">
        <v>0.05</v>
      </c>
    </row>
    <row r="225" ht="15.75" customHeight="1">
      <c r="A225" s="17" t="s">
        <v>740</v>
      </c>
      <c r="B225" s="17" t="s">
        <v>21</v>
      </c>
      <c r="C225" s="17" t="s">
        <v>92</v>
      </c>
      <c r="D225" s="18">
        <v>0.0</v>
      </c>
      <c r="E225" s="18">
        <v>1.0</v>
      </c>
      <c r="F225" s="19">
        <v>0.0</v>
      </c>
      <c r="G225" s="20">
        <v>13.0</v>
      </c>
      <c r="H225" s="17" t="s">
        <v>81</v>
      </c>
      <c r="I225" s="21">
        <v>0.05</v>
      </c>
    </row>
    <row r="226" ht="15.75" customHeight="1">
      <c r="A226" s="12" t="s">
        <v>741</v>
      </c>
      <c r="B226" s="12" t="s">
        <v>21</v>
      </c>
      <c r="C226" s="12" t="s">
        <v>210</v>
      </c>
      <c r="D226" s="13">
        <v>0.0</v>
      </c>
      <c r="E226" s="13">
        <v>1.0</v>
      </c>
      <c r="F226" s="14">
        <v>0.0</v>
      </c>
      <c r="G226" s="15">
        <v>15.0</v>
      </c>
      <c r="H226" s="12" t="s">
        <v>81</v>
      </c>
      <c r="I226" s="16">
        <v>0.05</v>
      </c>
    </row>
    <row r="227" ht="15.75" customHeight="1">
      <c r="A227" s="17" t="s">
        <v>742</v>
      </c>
      <c r="B227" s="17" t="s">
        <v>21</v>
      </c>
      <c r="C227" s="17" t="s">
        <v>92</v>
      </c>
      <c r="D227" s="18">
        <v>0.0</v>
      </c>
      <c r="E227" s="18">
        <v>1.0</v>
      </c>
      <c r="F227" s="19">
        <v>0.0</v>
      </c>
      <c r="G227" s="20">
        <v>15.0</v>
      </c>
      <c r="H227" s="17" t="s">
        <v>81</v>
      </c>
      <c r="I227" s="21">
        <v>0.05</v>
      </c>
    </row>
    <row r="228" ht="15.75" customHeight="1">
      <c r="A228" s="12" t="s">
        <v>746</v>
      </c>
      <c r="B228" s="12" t="s">
        <v>21</v>
      </c>
      <c r="C228" s="12" t="s">
        <v>32</v>
      </c>
      <c r="D228" s="13">
        <v>0.0</v>
      </c>
      <c r="E228" s="13">
        <v>1.0</v>
      </c>
      <c r="F228" s="14">
        <v>0.0</v>
      </c>
      <c r="G228" s="15">
        <v>19.0</v>
      </c>
      <c r="H228" s="12" t="s">
        <v>81</v>
      </c>
      <c r="I228" s="16">
        <v>0.05</v>
      </c>
    </row>
    <row r="229" ht="15.75" customHeight="1">
      <c r="A229" s="17" t="s">
        <v>747</v>
      </c>
      <c r="B229" s="17" t="s">
        <v>21</v>
      </c>
      <c r="C229" s="17" t="s">
        <v>85</v>
      </c>
      <c r="D229" s="18">
        <v>0.0</v>
      </c>
      <c r="E229" s="18">
        <v>1.0</v>
      </c>
      <c r="F229" s="19">
        <v>0.0</v>
      </c>
      <c r="G229" s="20">
        <v>21.0</v>
      </c>
      <c r="H229" s="17" t="s">
        <v>81</v>
      </c>
      <c r="I229" s="21">
        <v>0.05</v>
      </c>
    </row>
    <row r="230" ht="15.75" customHeight="1">
      <c r="A230" s="12" t="s">
        <v>748</v>
      </c>
      <c r="B230" s="12" t="s">
        <v>21</v>
      </c>
      <c r="C230" s="12" t="s">
        <v>27</v>
      </c>
      <c r="D230" s="13">
        <v>0.0</v>
      </c>
      <c r="E230" s="13">
        <v>1.0</v>
      </c>
      <c r="F230" s="14">
        <v>0.0</v>
      </c>
      <c r="G230" s="15">
        <v>22.0</v>
      </c>
      <c r="H230" s="12" t="s">
        <v>81</v>
      </c>
      <c r="I230" s="16">
        <v>0.05</v>
      </c>
    </row>
    <row r="231" ht="15.75" customHeight="1">
      <c r="A231" s="17" t="s">
        <v>749</v>
      </c>
      <c r="B231" s="17" t="s">
        <v>21</v>
      </c>
      <c r="C231" s="17" t="s">
        <v>85</v>
      </c>
      <c r="D231" s="18">
        <v>0.0</v>
      </c>
      <c r="E231" s="18">
        <v>1.0</v>
      </c>
      <c r="F231" s="19">
        <v>0.0</v>
      </c>
      <c r="G231" s="20">
        <v>23.0</v>
      </c>
      <c r="H231" s="17" t="s">
        <v>81</v>
      </c>
      <c r="I231" s="21">
        <v>0.05</v>
      </c>
    </row>
    <row r="232" ht="15.75" customHeight="1">
      <c r="A232" s="12" t="s">
        <v>752</v>
      </c>
      <c r="B232" s="12" t="s">
        <v>21</v>
      </c>
      <c r="C232" s="12" t="s">
        <v>27</v>
      </c>
      <c r="D232" s="13">
        <v>0.0</v>
      </c>
      <c r="E232" s="13">
        <v>1.0</v>
      </c>
      <c r="F232" s="14">
        <v>0.0</v>
      </c>
      <c r="G232" s="15">
        <v>25.0</v>
      </c>
      <c r="H232" s="12" t="s">
        <v>81</v>
      </c>
      <c r="I232" s="16">
        <v>0.05</v>
      </c>
    </row>
    <row r="233" ht="15.75" customHeight="1">
      <c r="A233" s="17" t="s">
        <v>753</v>
      </c>
      <c r="B233" s="17" t="s">
        <v>21</v>
      </c>
      <c r="C233" s="17" t="s">
        <v>22</v>
      </c>
      <c r="D233" s="18">
        <v>0.0</v>
      </c>
      <c r="E233" s="18">
        <v>1.0</v>
      </c>
      <c r="F233" s="19">
        <v>0.0</v>
      </c>
      <c r="G233" s="20">
        <v>25.0</v>
      </c>
      <c r="H233" s="17" t="s">
        <v>81</v>
      </c>
      <c r="I233" s="21">
        <v>0.05</v>
      </c>
    </row>
    <row r="234" ht="15.75" customHeight="1">
      <c r="A234" s="12" t="s">
        <v>757</v>
      </c>
      <c r="B234" s="12" t="s">
        <v>21</v>
      </c>
      <c r="C234" s="12" t="s">
        <v>27</v>
      </c>
      <c r="D234" s="13">
        <v>0.0</v>
      </c>
      <c r="E234" s="13">
        <v>1.0</v>
      </c>
      <c r="F234" s="14">
        <v>0.0</v>
      </c>
      <c r="G234" s="15">
        <v>26.0</v>
      </c>
      <c r="H234" s="12" t="s">
        <v>81</v>
      </c>
      <c r="I234" s="16">
        <v>0.05</v>
      </c>
    </row>
    <row r="235" ht="15.75" customHeight="1">
      <c r="A235" s="17" t="s">
        <v>758</v>
      </c>
      <c r="B235" s="17" t="s">
        <v>413</v>
      </c>
      <c r="C235" s="17" t="s">
        <v>27</v>
      </c>
      <c r="D235" s="18">
        <v>0.0</v>
      </c>
      <c r="E235" s="18">
        <v>1.0</v>
      </c>
      <c r="F235" s="19">
        <v>0.0</v>
      </c>
      <c r="G235" s="20">
        <v>26.0</v>
      </c>
      <c r="H235" s="17" t="s">
        <v>81</v>
      </c>
      <c r="I235" s="21">
        <v>0.05</v>
      </c>
    </row>
    <row r="236" ht="15.75" customHeight="1">
      <c r="A236" s="12" t="s">
        <v>760</v>
      </c>
      <c r="B236" s="12" t="s">
        <v>21</v>
      </c>
      <c r="C236" s="12" t="s">
        <v>22</v>
      </c>
      <c r="D236" s="13">
        <v>0.0</v>
      </c>
      <c r="E236" s="13">
        <v>1.0</v>
      </c>
      <c r="F236" s="14">
        <v>0.0</v>
      </c>
      <c r="G236" s="15">
        <v>28.0</v>
      </c>
      <c r="H236" s="12" t="s">
        <v>81</v>
      </c>
      <c r="I236" s="16">
        <v>0.05</v>
      </c>
    </row>
    <row r="237" ht="15.75" customHeight="1">
      <c r="A237" s="17" t="s">
        <v>761</v>
      </c>
      <c r="B237" s="17" t="s">
        <v>21</v>
      </c>
      <c r="C237" s="17" t="s">
        <v>92</v>
      </c>
      <c r="D237" s="18">
        <v>0.0</v>
      </c>
      <c r="E237" s="18">
        <v>1.0</v>
      </c>
      <c r="F237" s="19">
        <v>0.0</v>
      </c>
      <c r="G237" s="20">
        <v>29.0</v>
      </c>
      <c r="H237" s="17" t="s">
        <v>81</v>
      </c>
      <c r="I237" s="21">
        <v>0.05</v>
      </c>
    </row>
    <row r="238" ht="15.75" customHeight="1">
      <c r="A238" s="12" t="s">
        <v>762</v>
      </c>
      <c r="B238" s="12" t="s">
        <v>21</v>
      </c>
      <c r="C238" s="12" t="s">
        <v>27</v>
      </c>
      <c r="D238" s="13">
        <v>0.0</v>
      </c>
      <c r="E238" s="13">
        <v>1.0</v>
      </c>
      <c r="F238" s="14">
        <v>0.0</v>
      </c>
      <c r="G238" s="15">
        <v>30.0</v>
      </c>
      <c r="H238" s="12" t="s">
        <v>81</v>
      </c>
      <c r="I238" s="16">
        <v>0.05</v>
      </c>
    </row>
    <row r="239" ht="15.75" customHeight="1">
      <c r="A239" s="17" t="s">
        <v>764</v>
      </c>
      <c r="B239" s="17" t="s">
        <v>21</v>
      </c>
      <c r="C239" s="17" t="s">
        <v>85</v>
      </c>
      <c r="D239" s="18">
        <v>0.0</v>
      </c>
      <c r="E239" s="18">
        <v>1.0</v>
      </c>
      <c r="F239" s="19">
        <v>0.0</v>
      </c>
      <c r="G239" s="20">
        <v>30.0</v>
      </c>
      <c r="H239" s="17" t="s">
        <v>81</v>
      </c>
      <c r="I239" s="21">
        <v>0.05</v>
      </c>
    </row>
    <row r="240" ht="15.75" customHeight="1">
      <c r="A240" s="12" t="s">
        <v>769</v>
      </c>
      <c r="B240" s="12" t="s">
        <v>21</v>
      </c>
      <c r="C240" s="12" t="s">
        <v>27</v>
      </c>
      <c r="D240" s="13">
        <v>0.0</v>
      </c>
      <c r="E240" s="13">
        <v>1.0</v>
      </c>
      <c r="F240" s="14">
        <v>0.0</v>
      </c>
      <c r="G240" s="15">
        <v>31.0</v>
      </c>
      <c r="H240" s="12" t="s">
        <v>81</v>
      </c>
      <c r="I240" s="16">
        <v>0.05</v>
      </c>
    </row>
    <row r="241" ht="15.75" customHeight="1">
      <c r="A241" s="17" t="s">
        <v>770</v>
      </c>
      <c r="B241" s="17" t="s">
        <v>21</v>
      </c>
      <c r="C241" s="17" t="s">
        <v>85</v>
      </c>
      <c r="D241" s="18">
        <v>0.0</v>
      </c>
      <c r="E241" s="18">
        <v>1.0</v>
      </c>
      <c r="F241" s="19">
        <v>0.0</v>
      </c>
      <c r="G241" s="20">
        <v>32.0</v>
      </c>
      <c r="H241" s="17" t="s">
        <v>81</v>
      </c>
      <c r="I241" s="21">
        <v>0.05</v>
      </c>
    </row>
    <row r="242" ht="15.75" customHeight="1">
      <c r="A242" s="12" t="s">
        <v>772</v>
      </c>
      <c r="B242" s="12" t="s">
        <v>21</v>
      </c>
      <c r="C242" s="12" t="s">
        <v>85</v>
      </c>
      <c r="D242" s="13">
        <v>0.0</v>
      </c>
      <c r="E242" s="13">
        <v>1.0</v>
      </c>
      <c r="F242" s="14">
        <v>0.0</v>
      </c>
      <c r="G242" s="15">
        <v>34.0</v>
      </c>
      <c r="H242" s="12" t="s">
        <v>81</v>
      </c>
      <c r="I242" s="16">
        <v>0.05</v>
      </c>
    </row>
    <row r="243" ht="15.75" customHeight="1">
      <c r="A243" s="17" t="s">
        <v>775</v>
      </c>
      <c r="B243" s="17" t="s">
        <v>43</v>
      </c>
      <c r="C243" s="17" t="s">
        <v>32</v>
      </c>
      <c r="D243" s="18">
        <v>0.0</v>
      </c>
      <c r="E243" s="18">
        <v>1.0</v>
      </c>
      <c r="F243" s="19">
        <v>0.0</v>
      </c>
      <c r="G243" s="20">
        <v>34.0</v>
      </c>
      <c r="H243" s="17" t="s">
        <v>81</v>
      </c>
      <c r="I243" s="21">
        <v>0.05</v>
      </c>
    </row>
    <row r="244" ht="15.75" customHeight="1">
      <c r="A244" s="12" t="s">
        <v>780</v>
      </c>
      <c r="B244" s="12" t="s">
        <v>21</v>
      </c>
      <c r="C244" s="12" t="s">
        <v>85</v>
      </c>
      <c r="D244" s="13">
        <v>0.0</v>
      </c>
      <c r="E244" s="13">
        <v>1.0</v>
      </c>
      <c r="F244" s="14">
        <v>0.0</v>
      </c>
      <c r="G244" s="15">
        <v>35.0</v>
      </c>
      <c r="H244" s="12" t="s">
        <v>81</v>
      </c>
      <c r="I244" s="16">
        <v>0.05</v>
      </c>
    </row>
    <row r="245" ht="15.75" customHeight="1">
      <c r="A245" s="17" t="s">
        <v>782</v>
      </c>
      <c r="B245" s="17" t="s">
        <v>21</v>
      </c>
      <c r="C245" s="17" t="s">
        <v>85</v>
      </c>
      <c r="D245" s="18">
        <v>0.0</v>
      </c>
      <c r="E245" s="18">
        <v>1.0</v>
      </c>
      <c r="F245" s="19">
        <v>0.0</v>
      </c>
      <c r="G245" s="20">
        <v>35.0</v>
      </c>
      <c r="H245" s="17" t="s">
        <v>81</v>
      </c>
      <c r="I245" s="21">
        <v>0.05</v>
      </c>
    </row>
    <row r="246" ht="15.75" customHeight="1">
      <c r="A246" s="12" t="s">
        <v>786</v>
      </c>
      <c r="B246" s="12" t="s">
        <v>21</v>
      </c>
      <c r="C246" s="12" t="s">
        <v>92</v>
      </c>
      <c r="D246" s="13">
        <v>0.0</v>
      </c>
      <c r="E246" s="13">
        <v>1.0</v>
      </c>
      <c r="F246" s="14">
        <v>0.0</v>
      </c>
      <c r="G246" s="15">
        <v>39.0</v>
      </c>
      <c r="H246" s="12" t="s">
        <v>81</v>
      </c>
      <c r="I246" s="16">
        <v>0.05</v>
      </c>
    </row>
    <row r="247" ht="15.75" customHeight="1">
      <c r="A247" s="17" t="s">
        <v>789</v>
      </c>
      <c r="B247" s="17" t="s">
        <v>43</v>
      </c>
      <c r="C247" s="17" t="s">
        <v>32</v>
      </c>
      <c r="D247" s="18">
        <v>0.0</v>
      </c>
      <c r="E247" s="18">
        <v>1.0</v>
      </c>
      <c r="F247" s="19">
        <v>0.0</v>
      </c>
      <c r="G247" s="20">
        <v>39.0</v>
      </c>
      <c r="H247" s="17" t="s">
        <v>81</v>
      </c>
      <c r="I247" s="21">
        <v>0.05</v>
      </c>
    </row>
    <row r="248" ht="15.75" customHeight="1">
      <c r="A248" s="12" t="s">
        <v>791</v>
      </c>
      <c r="B248" s="12" t="s">
        <v>21</v>
      </c>
      <c r="C248" s="12" t="s">
        <v>150</v>
      </c>
      <c r="D248" s="13">
        <v>0.0</v>
      </c>
      <c r="E248" s="13">
        <v>1.0</v>
      </c>
      <c r="F248" s="14">
        <v>0.0</v>
      </c>
      <c r="G248" s="15">
        <v>40.0</v>
      </c>
      <c r="H248" s="12" t="s">
        <v>81</v>
      </c>
      <c r="I248" s="16">
        <v>0.05</v>
      </c>
    </row>
    <row r="249" ht="15.75" customHeight="1">
      <c r="A249" s="17" t="s">
        <v>792</v>
      </c>
      <c r="B249" s="17" t="s">
        <v>21</v>
      </c>
      <c r="C249" s="17" t="s">
        <v>85</v>
      </c>
      <c r="D249" s="18">
        <v>0.0</v>
      </c>
      <c r="E249" s="18">
        <v>1.0</v>
      </c>
      <c r="F249" s="19">
        <v>0.0</v>
      </c>
      <c r="G249" s="20">
        <v>42.0</v>
      </c>
      <c r="H249" s="17" t="s">
        <v>81</v>
      </c>
      <c r="I249" s="21">
        <v>0.05</v>
      </c>
    </row>
    <row r="250" ht="15.75" customHeight="1">
      <c r="A250" s="12" t="s">
        <v>797</v>
      </c>
      <c r="B250" s="12" t="s">
        <v>21</v>
      </c>
      <c r="C250" s="12" t="s">
        <v>150</v>
      </c>
      <c r="D250" s="13">
        <v>0.0</v>
      </c>
      <c r="E250" s="13">
        <v>1.0</v>
      </c>
      <c r="F250" s="14">
        <v>0.0</v>
      </c>
      <c r="G250" s="15">
        <v>42.0</v>
      </c>
      <c r="H250" s="12" t="s">
        <v>81</v>
      </c>
      <c r="I250" s="16">
        <v>0.05</v>
      </c>
    </row>
    <row r="251" ht="15.75" customHeight="1">
      <c r="A251" s="17" t="s">
        <v>801</v>
      </c>
      <c r="B251" s="17" t="s">
        <v>21</v>
      </c>
      <c r="C251" s="17" t="s">
        <v>85</v>
      </c>
      <c r="D251" s="18">
        <v>0.0</v>
      </c>
      <c r="E251" s="18">
        <v>1.0</v>
      </c>
      <c r="F251" s="19">
        <v>0.0</v>
      </c>
      <c r="G251" s="20">
        <v>42.0</v>
      </c>
      <c r="H251" s="17" t="s">
        <v>81</v>
      </c>
      <c r="I251" s="21">
        <v>0.05</v>
      </c>
    </row>
    <row r="252" ht="15.75" customHeight="1">
      <c r="A252" s="12" t="s">
        <v>802</v>
      </c>
      <c r="B252" s="12" t="s">
        <v>21</v>
      </c>
      <c r="C252" s="12" t="s">
        <v>22</v>
      </c>
      <c r="D252" s="13">
        <v>0.0</v>
      </c>
      <c r="E252" s="13">
        <v>1.0</v>
      </c>
      <c r="F252" s="14">
        <v>0.0</v>
      </c>
      <c r="G252" s="15">
        <v>43.0</v>
      </c>
      <c r="H252" s="12" t="s">
        <v>81</v>
      </c>
      <c r="I252" s="16">
        <v>0.05</v>
      </c>
    </row>
    <row r="253" ht="15.75" customHeight="1">
      <c r="A253" s="17" t="s">
        <v>807</v>
      </c>
      <c r="B253" s="17" t="s">
        <v>21</v>
      </c>
      <c r="C253" s="17" t="s">
        <v>32</v>
      </c>
      <c r="D253" s="18">
        <v>0.0</v>
      </c>
      <c r="E253" s="18">
        <v>1.0</v>
      </c>
      <c r="F253" s="19">
        <v>0.0</v>
      </c>
      <c r="G253" s="20">
        <v>45.0</v>
      </c>
      <c r="H253" s="17" t="s">
        <v>81</v>
      </c>
      <c r="I253" s="21">
        <v>0.05</v>
      </c>
    </row>
    <row r="254" ht="15.75" customHeight="1">
      <c r="A254" s="12" t="s">
        <v>808</v>
      </c>
      <c r="B254" s="12" t="s">
        <v>21</v>
      </c>
      <c r="C254" s="12" t="s">
        <v>85</v>
      </c>
      <c r="D254" s="13">
        <v>0.0</v>
      </c>
      <c r="E254" s="13">
        <v>1.0</v>
      </c>
      <c r="F254" s="14">
        <v>0.0</v>
      </c>
      <c r="G254" s="15">
        <v>47.0</v>
      </c>
      <c r="H254" s="12" t="s">
        <v>81</v>
      </c>
      <c r="I254" s="16">
        <v>0.05</v>
      </c>
    </row>
    <row r="255" ht="15.75" customHeight="1">
      <c r="A255" s="17" t="s">
        <v>811</v>
      </c>
      <c r="B255" s="17" t="s">
        <v>21</v>
      </c>
      <c r="C255" s="17" t="s">
        <v>150</v>
      </c>
      <c r="D255" s="18">
        <v>0.0</v>
      </c>
      <c r="E255" s="18">
        <v>1.0</v>
      </c>
      <c r="F255" s="19">
        <v>0.0</v>
      </c>
      <c r="G255" s="20">
        <v>48.0</v>
      </c>
      <c r="H255" s="17" t="s">
        <v>81</v>
      </c>
      <c r="I255" s="21">
        <v>0.05</v>
      </c>
    </row>
    <row r="256" ht="15.75" customHeight="1">
      <c r="A256" s="12" t="s">
        <v>813</v>
      </c>
      <c r="B256" s="12" t="s">
        <v>21</v>
      </c>
      <c r="C256" s="12" t="s">
        <v>22</v>
      </c>
      <c r="D256" s="13">
        <v>0.0</v>
      </c>
      <c r="E256" s="13">
        <v>1.0</v>
      </c>
      <c r="F256" s="14">
        <v>0.0</v>
      </c>
      <c r="G256" s="15">
        <v>51.0</v>
      </c>
      <c r="H256" s="12" t="s">
        <v>81</v>
      </c>
      <c r="I256" s="16">
        <v>0.05</v>
      </c>
    </row>
    <row r="257" ht="15.75" customHeight="1">
      <c r="A257" s="17" t="s">
        <v>815</v>
      </c>
      <c r="B257" s="17" t="s">
        <v>21</v>
      </c>
      <c r="C257" s="17" t="s">
        <v>150</v>
      </c>
      <c r="D257" s="18">
        <v>0.0</v>
      </c>
      <c r="E257" s="18">
        <v>1.0</v>
      </c>
      <c r="F257" s="19">
        <v>0.0</v>
      </c>
      <c r="G257" s="20">
        <v>52.0</v>
      </c>
      <c r="H257" s="17" t="s">
        <v>81</v>
      </c>
      <c r="I257" s="21">
        <v>0.05</v>
      </c>
    </row>
    <row r="258" ht="15.75" customHeight="1">
      <c r="A258" s="12" t="s">
        <v>816</v>
      </c>
      <c r="B258" s="12" t="s">
        <v>21</v>
      </c>
      <c r="C258" s="12" t="s">
        <v>92</v>
      </c>
      <c r="D258" s="13">
        <v>0.0</v>
      </c>
      <c r="E258" s="13">
        <v>1.0</v>
      </c>
      <c r="F258" s="14">
        <v>0.0</v>
      </c>
      <c r="G258" s="15">
        <v>58.0</v>
      </c>
      <c r="H258" s="12" t="s">
        <v>81</v>
      </c>
      <c r="I258" s="16">
        <v>0.05</v>
      </c>
    </row>
    <row r="259" ht="15.75" customHeight="1">
      <c r="A259" s="17" t="s">
        <v>819</v>
      </c>
      <c r="B259" s="17" t="s">
        <v>21</v>
      </c>
      <c r="C259" s="17" t="s">
        <v>150</v>
      </c>
      <c r="D259" s="18">
        <v>0.0</v>
      </c>
      <c r="E259" s="18">
        <v>1.0</v>
      </c>
      <c r="F259" s="19">
        <v>0.0</v>
      </c>
      <c r="G259" s="20">
        <v>58.0</v>
      </c>
      <c r="H259" s="17" t="s">
        <v>81</v>
      </c>
      <c r="I259" s="21">
        <v>0.05</v>
      </c>
    </row>
    <row r="260" ht="15.75" customHeight="1">
      <c r="A260" s="12" t="s">
        <v>820</v>
      </c>
      <c r="B260" s="12" t="s">
        <v>43</v>
      </c>
      <c r="C260" s="12" t="s">
        <v>324</v>
      </c>
      <c r="D260" s="13">
        <v>0.0</v>
      </c>
      <c r="E260" s="13">
        <v>1.0</v>
      </c>
      <c r="F260" s="14">
        <v>0.0</v>
      </c>
      <c r="G260" s="15">
        <v>92.0</v>
      </c>
      <c r="H260" s="12" t="s">
        <v>81</v>
      </c>
      <c r="I260" s="16">
        <v>0.05</v>
      </c>
    </row>
    <row r="261" ht="15.75" customHeight="1">
      <c r="A261" s="17" t="s">
        <v>822</v>
      </c>
      <c r="B261" s="17" t="s">
        <v>21</v>
      </c>
      <c r="C261" s="17" t="s">
        <v>150</v>
      </c>
      <c r="D261" s="18">
        <v>0.0</v>
      </c>
      <c r="E261" s="18">
        <v>1.0</v>
      </c>
      <c r="F261" s="19">
        <v>0.0</v>
      </c>
      <c r="G261" s="20">
        <v>95.0</v>
      </c>
      <c r="H261" s="17" t="s">
        <v>81</v>
      </c>
      <c r="I261" s="21">
        <v>0.05</v>
      </c>
    </row>
    <row r="262" ht="15.75" customHeight="1">
      <c r="A262" s="61" t="s">
        <v>823</v>
      </c>
      <c r="B262" s="61" t="s">
        <v>21</v>
      </c>
      <c r="C262" s="61" t="s">
        <v>32</v>
      </c>
      <c r="D262" s="62">
        <v>0.0</v>
      </c>
      <c r="E262" s="62">
        <v>1.0</v>
      </c>
      <c r="F262" s="63">
        <v>0.0</v>
      </c>
      <c r="G262" s="64">
        <v>98.0</v>
      </c>
      <c r="H262" s="61" t="s">
        <v>81</v>
      </c>
      <c r="I262" s="65">
        <v>0.05</v>
      </c>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8.0"/>
    <col customWidth="1" min="2" max="2" width="9.0"/>
    <col customWidth="1" min="3" max="3" width="12.0"/>
    <col customWidth="1" min="4" max="4" width="9.0"/>
    <col customWidth="1" min="5" max="6" width="10.0"/>
    <col customWidth="1" min="7" max="7" width="11.0"/>
    <col customWidth="1" min="8" max="9" width="58.0"/>
    <col customWidth="1" min="10" max="10" width="18.0"/>
    <col customWidth="1" min="11" max="26" width="8.63"/>
  </cols>
  <sheetData>
    <row r="1" ht="33.75" customHeight="1">
      <c r="A1" s="1" t="s">
        <v>0</v>
      </c>
    </row>
    <row r="2" ht="31.5" customHeight="1">
      <c r="A2" s="2" t="s">
        <v>2</v>
      </c>
    </row>
    <row r="3">
      <c r="A3" s="3"/>
      <c r="B3" s="3"/>
      <c r="C3" s="3"/>
      <c r="D3" s="3"/>
      <c r="E3" s="3"/>
      <c r="F3" s="3"/>
      <c r="G3" s="3"/>
      <c r="H3" s="3"/>
      <c r="I3" s="3"/>
      <c r="J3" s="3"/>
    </row>
    <row r="4" ht="30.0" customHeight="1">
      <c r="A4" s="4" t="s">
        <v>4</v>
      </c>
      <c r="B4" s="5" t="s">
        <v>7</v>
      </c>
      <c r="C4" s="5" t="s">
        <v>9</v>
      </c>
      <c r="D4" s="5" t="s">
        <v>10</v>
      </c>
      <c r="E4" s="5" t="s">
        <v>11</v>
      </c>
      <c r="F4" s="5" t="s">
        <v>12</v>
      </c>
      <c r="G4" s="5" t="s">
        <v>13</v>
      </c>
      <c r="H4" s="5" t="s">
        <v>14</v>
      </c>
      <c r="I4" s="5" t="s">
        <v>15</v>
      </c>
      <c r="J4" s="6" t="s">
        <v>16</v>
      </c>
    </row>
    <row r="5">
      <c r="A5" s="7" t="s">
        <v>18</v>
      </c>
      <c r="B5" s="8">
        <v>100.0</v>
      </c>
      <c r="C5" s="8">
        <v>2800.0</v>
      </c>
      <c r="D5" s="9">
        <v>0.035699999999999996</v>
      </c>
      <c r="E5" s="10">
        <v>10.58</v>
      </c>
      <c r="F5" s="7">
        <v>404.0</v>
      </c>
      <c r="G5" s="7" t="b">
        <v>0</v>
      </c>
      <c r="H5" s="7" t="s">
        <v>18</v>
      </c>
      <c r="I5" s="7" t="s">
        <v>24</v>
      </c>
      <c r="J5" s="11">
        <v>12.0</v>
      </c>
    </row>
    <row r="6">
      <c r="A6" s="12" t="s">
        <v>26</v>
      </c>
      <c r="B6" s="13">
        <v>31.0</v>
      </c>
      <c r="C6" s="13">
        <v>1442.0</v>
      </c>
      <c r="D6" s="14">
        <v>0.0215</v>
      </c>
      <c r="E6" s="15">
        <v>7.89</v>
      </c>
      <c r="F6" s="12">
        <v>200.0</v>
      </c>
      <c r="G6" s="12" t="b">
        <v>0</v>
      </c>
      <c r="H6" s="12" t="s">
        <v>28</v>
      </c>
      <c r="I6" s="12" t="s">
        <v>29</v>
      </c>
      <c r="J6" s="16">
        <v>26.68</v>
      </c>
    </row>
    <row r="7">
      <c r="A7" s="17" t="s">
        <v>31</v>
      </c>
      <c r="B7" s="18">
        <v>18.0</v>
      </c>
      <c r="C7" s="18">
        <v>536.0</v>
      </c>
      <c r="D7" s="19">
        <v>0.0336</v>
      </c>
      <c r="E7" s="20">
        <v>5.9</v>
      </c>
      <c r="F7" s="17">
        <v>200.0</v>
      </c>
      <c r="G7" s="17" t="b">
        <v>0</v>
      </c>
      <c r="H7" s="17" t="s">
        <v>31</v>
      </c>
      <c r="I7" s="17" t="s">
        <v>35</v>
      </c>
      <c r="J7" s="21">
        <v>3.4400000000000013</v>
      </c>
    </row>
    <row r="8">
      <c r="A8" s="12" t="s">
        <v>36</v>
      </c>
      <c r="B8" s="13">
        <v>12.0</v>
      </c>
      <c r="C8" s="13">
        <v>1390.0</v>
      </c>
      <c r="D8" s="14">
        <v>0.0086</v>
      </c>
      <c r="E8" s="15">
        <v>8.31</v>
      </c>
      <c r="F8" s="12">
        <v>200.0</v>
      </c>
      <c r="G8" s="12" t="b">
        <v>0</v>
      </c>
      <c r="H8" s="12" t="s">
        <v>38</v>
      </c>
      <c r="I8" s="12" t="s">
        <v>39</v>
      </c>
      <c r="J8" s="16">
        <v>43.6</v>
      </c>
    </row>
    <row r="9">
      <c r="A9" s="17" t="s">
        <v>40</v>
      </c>
      <c r="B9" s="18">
        <v>12.0</v>
      </c>
      <c r="C9" s="18">
        <v>1248.0</v>
      </c>
      <c r="D9" s="19">
        <v>0.0096</v>
      </c>
      <c r="E9" s="20">
        <v>7.79</v>
      </c>
      <c r="F9" s="17">
        <v>200.0</v>
      </c>
      <c r="G9" s="17" t="b">
        <v>1</v>
      </c>
      <c r="H9" s="17" t="s">
        <v>40</v>
      </c>
      <c r="I9" s="17" t="s">
        <v>41</v>
      </c>
      <c r="J9" s="21">
        <v>37.92</v>
      </c>
    </row>
    <row r="10">
      <c r="A10" s="12" t="s">
        <v>44</v>
      </c>
      <c r="B10" s="13">
        <v>9.0</v>
      </c>
      <c r="C10" s="13">
        <v>173.0</v>
      </c>
      <c r="D10" s="14">
        <v>0.052000000000000005</v>
      </c>
      <c r="E10" s="15">
        <v>6.69</v>
      </c>
      <c r="F10" s="12">
        <v>200.0</v>
      </c>
      <c r="G10" s="12" t="b">
        <v>0</v>
      </c>
      <c r="H10" s="12" t="s">
        <v>44</v>
      </c>
      <c r="I10" s="12" t="s">
        <v>46</v>
      </c>
      <c r="J10" s="16">
        <v>0.0</v>
      </c>
    </row>
    <row r="11">
      <c r="A11" s="17" t="s">
        <v>48</v>
      </c>
      <c r="B11" s="18">
        <v>9.0</v>
      </c>
      <c r="C11" s="18">
        <v>58.0</v>
      </c>
      <c r="D11" s="19">
        <v>0.1552</v>
      </c>
      <c r="E11" s="20">
        <v>4.19</v>
      </c>
      <c r="F11" s="17">
        <v>200.0</v>
      </c>
      <c r="G11" s="17" t="b">
        <v>1</v>
      </c>
      <c r="H11" s="17" t="s">
        <v>48</v>
      </c>
      <c r="I11" s="17" t="s">
        <v>49</v>
      </c>
      <c r="J11" s="21">
        <v>0.0</v>
      </c>
    </row>
    <row r="12">
      <c r="A12" s="12" t="s">
        <v>50</v>
      </c>
      <c r="B12" s="13">
        <v>7.0</v>
      </c>
      <c r="C12" s="13">
        <v>161.0</v>
      </c>
      <c r="D12" s="14">
        <v>0.0435</v>
      </c>
      <c r="E12" s="15">
        <v>6.43</v>
      </c>
      <c r="F12" s="12">
        <v>200.0</v>
      </c>
      <c r="G12" s="12" t="b">
        <v>0</v>
      </c>
      <c r="H12" s="12" t="s">
        <v>51</v>
      </c>
      <c r="I12" s="12" t="s">
        <v>52</v>
      </c>
      <c r="J12" s="16">
        <v>0.0</v>
      </c>
    </row>
    <row r="13">
      <c r="A13" s="17" t="s">
        <v>53</v>
      </c>
      <c r="B13" s="18">
        <v>5.0</v>
      </c>
      <c r="C13" s="18">
        <v>52.0</v>
      </c>
      <c r="D13" s="19">
        <v>0.0962</v>
      </c>
      <c r="E13" s="20">
        <v>14.44</v>
      </c>
      <c r="F13" s="17">
        <v>200.0</v>
      </c>
      <c r="G13" s="17" t="b">
        <v>0</v>
      </c>
      <c r="H13" s="17" t="s">
        <v>40</v>
      </c>
      <c r="I13" s="17" t="s">
        <v>41</v>
      </c>
      <c r="J13" s="21">
        <v>0.0</v>
      </c>
    </row>
    <row r="14">
      <c r="A14" s="12" t="s">
        <v>55</v>
      </c>
      <c r="B14" s="13">
        <v>4.0</v>
      </c>
      <c r="C14" s="13">
        <v>77.0</v>
      </c>
      <c r="D14" s="14">
        <v>0.0519</v>
      </c>
      <c r="E14" s="15">
        <v>7.84</v>
      </c>
      <c r="F14" s="12">
        <v>200.0</v>
      </c>
      <c r="G14" s="12" t="b">
        <v>0</v>
      </c>
      <c r="H14" s="12" t="s">
        <v>56</v>
      </c>
      <c r="I14" s="12" t="s">
        <v>57</v>
      </c>
      <c r="J14" s="16">
        <v>0.0</v>
      </c>
    </row>
    <row r="15">
      <c r="A15" s="17" t="s">
        <v>59</v>
      </c>
      <c r="B15" s="18">
        <v>4.0</v>
      </c>
      <c r="C15" s="18">
        <v>60.0</v>
      </c>
      <c r="D15" s="19">
        <v>0.0667</v>
      </c>
      <c r="E15" s="20">
        <v>9.6</v>
      </c>
      <c r="F15" s="17">
        <v>200.0</v>
      </c>
      <c r="G15" s="17" t="b">
        <v>0</v>
      </c>
      <c r="H15" s="17" t="s">
        <v>60</v>
      </c>
      <c r="I15" s="17" t="s">
        <v>61</v>
      </c>
      <c r="J15" s="21">
        <v>0.0</v>
      </c>
    </row>
    <row r="16">
      <c r="A16" s="12" t="s">
        <v>62</v>
      </c>
      <c r="B16" s="13">
        <v>3.0</v>
      </c>
      <c r="C16" s="13">
        <v>194.0</v>
      </c>
      <c r="D16" s="14">
        <v>0.0155</v>
      </c>
      <c r="E16" s="15">
        <v>7.24</v>
      </c>
      <c r="F16" s="12">
        <v>200.0</v>
      </c>
      <c r="G16" s="12" t="b">
        <v>0</v>
      </c>
      <c r="H16" s="12" t="s">
        <v>62</v>
      </c>
      <c r="I16" s="12" t="s">
        <v>64</v>
      </c>
      <c r="J16" s="16">
        <v>4.76</v>
      </c>
    </row>
    <row r="17">
      <c r="A17" s="17" t="s">
        <v>65</v>
      </c>
      <c r="B17" s="18">
        <v>3.0</v>
      </c>
      <c r="C17" s="18">
        <v>87.0</v>
      </c>
      <c r="D17" s="19">
        <v>0.0345</v>
      </c>
      <c r="E17" s="20">
        <v>25.53</v>
      </c>
      <c r="F17" s="17">
        <v>200.0</v>
      </c>
      <c r="G17" s="17" t="b">
        <v>0</v>
      </c>
      <c r="H17" s="17" t="s">
        <v>65</v>
      </c>
      <c r="I17" s="17" t="s">
        <v>69</v>
      </c>
      <c r="J17" s="21">
        <v>0.0</v>
      </c>
    </row>
    <row r="18">
      <c r="A18" s="12" t="s">
        <v>71</v>
      </c>
      <c r="B18" s="13">
        <v>3.0</v>
      </c>
      <c r="C18" s="13">
        <v>69.0</v>
      </c>
      <c r="D18" s="14">
        <v>0.0435</v>
      </c>
      <c r="E18" s="15">
        <v>7.45</v>
      </c>
      <c r="F18" s="12">
        <v>200.0</v>
      </c>
      <c r="G18" s="12" t="b">
        <v>0</v>
      </c>
      <c r="H18" s="12" t="s">
        <v>71</v>
      </c>
      <c r="I18" s="12" t="s">
        <v>73</v>
      </c>
      <c r="J18" s="16">
        <v>0.0</v>
      </c>
    </row>
    <row r="19">
      <c r="A19" s="17" t="s">
        <v>77</v>
      </c>
      <c r="B19" s="18">
        <v>3.0</v>
      </c>
      <c r="C19" s="18">
        <v>16.0</v>
      </c>
      <c r="D19" s="19">
        <v>0.1875</v>
      </c>
      <c r="E19" s="20">
        <v>4.31</v>
      </c>
      <c r="F19" s="17">
        <v>200.0</v>
      </c>
      <c r="G19" s="17" t="b">
        <v>0</v>
      </c>
      <c r="H19" s="17" t="s">
        <v>79</v>
      </c>
      <c r="I19" s="17" t="s">
        <v>80</v>
      </c>
      <c r="J19" s="21">
        <v>0.0</v>
      </c>
    </row>
    <row r="20">
      <c r="A20" s="12" t="s">
        <v>82</v>
      </c>
      <c r="B20" s="13">
        <v>2.0</v>
      </c>
      <c r="C20" s="13">
        <v>380.0</v>
      </c>
      <c r="D20" s="14">
        <v>0.0053</v>
      </c>
      <c r="E20" s="15">
        <v>5.53</v>
      </c>
      <c r="F20" s="12">
        <v>200.0</v>
      </c>
      <c r="G20" s="12" t="b">
        <v>0</v>
      </c>
      <c r="H20" s="12" t="s">
        <v>38</v>
      </c>
      <c r="I20" s="12" t="s">
        <v>39</v>
      </c>
      <c r="J20" s="16">
        <v>13.200000000000001</v>
      </c>
    </row>
    <row r="21" ht="15.75" customHeight="1">
      <c r="A21" s="17" t="s">
        <v>86</v>
      </c>
      <c r="B21" s="18">
        <v>2.0</v>
      </c>
      <c r="C21" s="18">
        <v>148.0</v>
      </c>
      <c r="D21" s="19">
        <v>0.013500000000000002</v>
      </c>
      <c r="E21" s="20">
        <v>10.28</v>
      </c>
      <c r="F21" s="17">
        <v>200.0</v>
      </c>
      <c r="G21" s="17" t="b">
        <v>0</v>
      </c>
      <c r="H21" s="17" t="s">
        <v>88</v>
      </c>
      <c r="I21" s="17" t="s">
        <v>89</v>
      </c>
      <c r="J21" s="21">
        <v>3.92</v>
      </c>
    </row>
    <row r="22" ht="15.75" customHeight="1">
      <c r="A22" s="12" t="s">
        <v>90</v>
      </c>
      <c r="B22" s="13">
        <v>2.0</v>
      </c>
      <c r="C22" s="13">
        <v>116.0</v>
      </c>
      <c r="D22" s="14">
        <v>0.0172</v>
      </c>
      <c r="E22" s="15">
        <v>20.58</v>
      </c>
      <c r="F22" s="12">
        <v>200.0</v>
      </c>
      <c r="G22" s="12" t="b">
        <v>0</v>
      </c>
      <c r="H22" s="12" t="s">
        <v>90</v>
      </c>
      <c r="I22" s="12" t="s">
        <v>93</v>
      </c>
      <c r="J22" s="16">
        <v>0.0</v>
      </c>
    </row>
    <row r="23" ht="15.75" customHeight="1">
      <c r="A23" s="17" t="s">
        <v>94</v>
      </c>
      <c r="B23" s="18">
        <v>2.0</v>
      </c>
      <c r="C23" s="18">
        <v>100.0</v>
      </c>
      <c r="D23" s="19">
        <v>0.02</v>
      </c>
      <c r="E23" s="20">
        <v>15.5</v>
      </c>
      <c r="F23" s="17">
        <v>200.0</v>
      </c>
      <c r="G23" s="17" t="b">
        <v>1</v>
      </c>
      <c r="H23" s="17" t="s">
        <v>94</v>
      </c>
      <c r="I23" s="17" t="s">
        <v>97</v>
      </c>
      <c r="J23" s="21">
        <v>0.0</v>
      </c>
    </row>
    <row r="24" ht="15.75" customHeight="1">
      <c r="A24" s="12" t="s">
        <v>99</v>
      </c>
      <c r="B24" s="13">
        <v>2.0</v>
      </c>
      <c r="C24" s="13">
        <v>82.0</v>
      </c>
      <c r="D24" s="14">
        <v>0.024399999999999998</v>
      </c>
      <c r="E24" s="15">
        <v>23.22</v>
      </c>
      <c r="F24" s="12">
        <v>200.0</v>
      </c>
      <c r="G24" s="12" t="b">
        <v>0</v>
      </c>
      <c r="H24" s="12" t="s">
        <v>90</v>
      </c>
      <c r="I24" s="12" t="s">
        <v>93</v>
      </c>
      <c r="J24" s="16">
        <v>0.0</v>
      </c>
    </row>
    <row r="25" ht="15.75" customHeight="1">
      <c r="A25" s="17" t="s">
        <v>109</v>
      </c>
      <c r="B25" s="18">
        <v>2.0</v>
      </c>
      <c r="C25" s="18">
        <v>81.0</v>
      </c>
      <c r="D25" s="19">
        <v>0.024700000000000003</v>
      </c>
      <c r="E25" s="20">
        <v>11.73</v>
      </c>
      <c r="F25" s="17">
        <v>200.0</v>
      </c>
      <c r="G25" s="17" t="b">
        <v>0</v>
      </c>
      <c r="H25" s="17" t="s">
        <v>114</v>
      </c>
      <c r="I25" s="17" t="s">
        <v>116</v>
      </c>
      <c r="J25" s="21">
        <v>1.2400000000000002</v>
      </c>
    </row>
    <row r="26" ht="15.75" customHeight="1">
      <c r="A26" s="12" t="s">
        <v>119</v>
      </c>
      <c r="B26" s="13">
        <v>2.0</v>
      </c>
      <c r="C26" s="13">
        <v>7.0</v>
      </c>
      <c r="D26" s="14">
        <v>0.2857</v>
      </c>
      <c r="E26" s="15">
        <v>6.86</v>
      </c>
      <c r="F26" s="12">
        <v>200.0</v>
      </c>
      <c r="G26" s="12" t="b">
        <v>1</v>
      </c>
      <c r="H26" s="12" t="s">
        <v>119</v>
      </c>
      <c r="I26" s="12" t="s">
        <v>128</v>
      </c>
      <c r="J26" s="16">
        <v>0.0</v>
      </c>
    </row>
    <row r="27" ht="15.75" customHeight="1">
      <c r="A27" s="17" t="s">
        <v>51</v>
      </c>
      <c r="B27" s="18">
        <v>1.0</v>
      </c>
      <c r="C27" s="18">
        <v>467.0</v>
      </c>
      <c r="D27" s="19">
        <v>0.0021</v>
      </c>
      <c r="E27" s="20">
        <v>5.37</v>
      </c>
      <c r="F27" s="17">
        <v>200.0</v>
      </c>
      <c r="G27" s="17" t="b">
        <v>0</v>
      </c>
      <c r="H27" s="17" t="s">
        <v>51</v>
      </c>
      <c r="I27" s="17" t="s">
        <v>52</v>
      </c>
      <c r="J27" s="21">
        <v>17.68</v>
      </c>
    </row>
    <row r="28" ht="15.75" customHeight="1">
      <c r="A28" s="12" t="s">
        <v>140</v>
      </c>
      <c r="B28" s="13">
        <v>1.0</v>
      </c>
      <c r="C28" s="13">
        <v>71.0</v>
      </c>
      <c r="D28" s="14">
        <v>0.0141</v>
      </c>
      <c r="E28" s="15">
        <v>7.85</v>
      </c>
      <c r="F28" s="12">
        <v>200.0</v>
      </c>
      <c r="G28" s="12" t="b">
        <v>0</v>
      </c>
      <c r="H28" s="12" t="s">
        <v>157</v>
      </c>
      <c r="I28" s="12" t="s">
        <v>159</v>
      </c>
      <c r="J28" s="16">
        <v>1.8399999999999999</v>
      </c>
    </row>
    <row r="29" ht="15.75" customHeight="1">
      <c r="A29" s="17" t="s">
        <v>165</v>
      </c>
      <c r="B29" s="18">
        <v>1.0</v>
      </c>
      <c r="C29" s="18">
        <v>51.0</v>
      </c>
      <c r="D29" s="19">
        <v>0.0196</v>
      </c>
      <c r="E29" s="20">
        <v>20.9</v>
      </c>
      <c r="F29" s="17">
        <v>200.0</v>
      </c>
      <c r="G29" s="17" t="b">
        <v>0</v>
      </c>
      <c r="H29" s="17" t="s">
        <v>165</v>
      </c>
      <c r="I29" s="17" t="s">
        <v>168</v>
      </c>
      <c r="J29" s="21">
        <v>0.0</v>
      </c>
    </row>
    <row r="30" ht="15.75" customHeight="1">
      <c r="A30" s="12" t="s">
        <v>169</v>
      </c>
      <c r="B30" s="13">
        <v>1.0</v>
      </c>
      <c r="C30" s="13">
        <v>45.0</v>
      </c>
      <c r="D30" s="14">
        <v>0.0222</v>
      </c>
      <c r="E30" s="15">
        <v>7.07</v>
      </c>
      <c r="F30" s="12">
        <v>200.0</v>
      </c>
      <c r="G30" s="12" t="b">
        <v>0</v>
      </c>
      <c r="H30" s="12" t="s">
        <v>169</v>
      </c>
      <c r="I30" s="12" t="s">
        <v>171</v>
      </c>
      <c r="J30" s="16">
        <v>0.8</v>
      </c>
    </row>
    <row r="31" ht="15.75" customHeight="1">
      <c r="A31" s="17" t="s">
        <v>172</v>
      </c>
      <c r="B31" s="18">
        <v>1.0</v>
      </c>
      <c r="C31" s="18">
        <v>45.0</v>
      </c>
      <c r="D31" s="19">
        <v>0.0222</v>
      </c>
      <c r="E31" s="20">
        <v>8.38</v>
      </c>
      <c r="F31" s="17">
        <v>200.0</v>
      </c>
      <c r="G31" s="17" t="b">
        <v>0</v>
      </c>
      <c r="H31" s="17" t="s">
        <v>174</v>
      </c>
      <c r="I31" s="17" t="s">
        <v>175</v>
      </c>
      <c r="J31" s="21">
        <v>0.8</v>
      </c>
    </row>
    <row r="32" ht="15.75" customHeight="1">
      <c r="A32" s="12" t="s">
        <v>176</v>
      </c>
      <c r="B32" s="13">
        <v>1.0</v>
      </c>
      <c r="C32" s="13">
        <v>40.0</v>
      </c>
      <c r="D32" s="14">
        <v>0.025</v>
      </c>
      <c r="E32" s="15">
        <v>9.57</v>
      </c>
      <c r="F32" s="12">
        <v>200.0</v>
      </c>
      <c r="G32" s="12" t="b">
        <v>0</v>
      </c>
      <c r="H32" s="12" t="s">
        <v>177</v>
      </c>
      <c r="I32" s="12" t="s">
        <v>178</v>
      </c>
      <c r="J32" s="16">
        <v>0.6000000000000001</v>
      </c>
    </row>
    <row r="33" ht="15.75" customHeight="1">
      <c r="A33" s="17" t="s">
        <v>180</v>
      </c>
      <c r="B33" s="18">
        <v>1.0</v>
      </c>
      <c r="C33" s="18">
        <v>32.0</v>
      </c>
      <c r="D33" s="19">
        <v>0.031200000000000002</v>
      </c>
      <c r="E33" s="20">
        <v>11.44</v>
      </c>
      <c r="F33" s="17">
        <v>200.0</v>
      </c>
      <c r="G33" s="17" t="b">
        <v>0</v>
      </c>
      <c r="H33" s="17" t="s">
        <v>180</v>
      </c>
      <c r="I33" s="17" t="s">
        <v>181</v>
      </c>
      <c r="J33" s="21">
        <v>0.28</v>
      </c>
    </row>
    <row r="34" ht="15.75" customHeight="1">
      <c r="A34" s="12" t="s">
        <v>183</v>
      </c>
      <c r="B34" s="13">
        <v>1.0</v>
      </c>
      <c r="C34" s="13">
        <v>30.0</v>
      </c>
      <c r="D34" s="14">
        <v>0.0333</v>
      </c>
      <c r="E34" s="15">
        <v>9.53</v>
      </c>
      <c r="F34" s="12">
        <v>200.0</v>
      </c>
      <c r="G34" s="12" t="b">
        <v>0</v>
      </c>
      <c r="H34" s="12" t="s">
        <v>183</v>
      </c>
      <c r="I34" s="12" t="s">
        <v>184</v>
      </c>
      <c r="J34" s="16">
        <v>0.19999999999999996</v>
      </c>
    </row>
    <row r="35" ht="15.75" customHeight="1">
      <c r="A35" s="17" t="s">
        <v>185</v>
      </c>
      <c r="B35" s="18">
        <v>1.0</v>
      </c>
      <c r="C35" s="18">
        <v>25.0</v>
      </c>
      <c r="D35" s="19">
        <v>0.04</v>
      </c>
      <c r="E35" s="20">
        <v>38.36</v>
      </c>
      <c r="F35" s="17">
        <v>200.0</v>
      </c>
      <c r="G35" s="17" t="b">
        <v>0</v>
      </c>
      <c r="H35" s="17" t="s">
        <v>185</v>
      </c>
      <c r="I35" s="17" t="s">
        <v>187</v>
      </c>
      <c r="J35" s="21">
        <v>0.0</v>
      </c>
    </row>
    <row r="36" ht="15.75" customHeight="1">
      <c r="A36" s="12" t="s">
        <v>60</v>
      </c>
      <c r="B36" s="13">
        <v>1.0</v>
      </c>
      <c r="C36" s="13">
        <v>15.0</v>
      </c>
      <c r="D36" s="14">
        <v>0.0667</v>
      </c>
      <c r="E36" s="15">
        <v>18.87</v>
      </c>
      <c r="F36" s="12">
        <v>200.0</v>
      </c>
      <c r="G36" s="12" t="b">
        <v>0</v>
      </c>
      <c r="H36" s="12" t="s">
        <v>60</v>
      </c>
      <c r="I36" s="12" t="s">
        <v>61</v>
      </c>
      <c r="J36" s="16">
        <v>0.0</v>
      </c>
    </row>
    <row r="37" ht="15.75" customHeight="1">
      <c r="A37" s="17" t="s">
        <v>189</v>
      </c>
      <c r="B37" s="18">
        <v>1.0</v>
      </c>
      <c r="C37" s="18">
        <v>13.0</v>
      </c>
      <c r="D37" s="19">
        <v>0.07690000000000001</v>
      </c>
      <c r="E37" s="20">
        <v>8.54</v>
      </c>
      <c r="F37" s="17">
        <v>200.0</v>
      </c>
      <c r="G37" s="17" t="b">
        <v>1</v>
      </c>
      <c r="H37" s="17" t="s">
        <v>189</v>
      </c>
      <c r="I37" s="17" t="s">
        <v>191</v>
      </c>
      <c r="J37" s="21">
        <v>0.0</v>
      </c>
    </row>
    <row r="38" ht="15.75" customHeight="1">
      <c r="A38" s="12" t="s">
        <v>192</v>
      </c>
      <c r="B38" s="13">
        <v>1.0</v>
      </c>
      <c r="C38" s="13">
        <v>10.0</v>
      </c>
      <c r="D38" s="14">
        <v>0.1</v>
      </c>
      <c r="E38" s="15">
        <v>6.2</v>
      </c>
      <c r="F38" s="12">
        <v>200.0</v>
      </c>
      <c r="G38" s="12" t="b">
        <v>1</v>
      </c>
      <c r="H38" s="12" t="s">
        <v>192</v>
      </c>
      <c r="I38" s="12" t="s">
        <v>194</v>
      </c>
      <c r="J38" s="16">
        <v>0.0</v>
      </c>
    </row>
    <row r="39" ht="15.75" customHeight="1">
      <c r="A39" s="17" t="s">
        <v>195</v>
      </c>
      <c r="B39" s="18">
        <v>1.0</v>
      </c>
      <c r="C39" s="18">
        <v>9.0</v>
      </c>
      <c r="D39" s="19">
        <v>0.11109999999999999</v>
      </c>
      <c r="E39" s="20">
        <v>10.22</v>
      </c>
      <c r="F39" s="17">
        <v>200.0</v>
      </c>
      <c r="G39" s="17" t="b">
        <v>0</v>
      </c>
      <c r="H39" s="17" t="s">
        <v>195</v>
      </c>
      <c r="I39" s="17" t="s">
        <v>197</v>
      </c>
      <c r="J39" s="21">
        <v>0.0</v>
      </c>
    </row>
    <row r="40" ht="15.75" customHeight="1">
      <c r="A40" s="12" t="s">
        <v>198</v>
      </c>
      <c r="B40" s="13">
        <v>1.0</v>
      </c>
      <c r="C40" s="13">
        <v>9.0</v>
      </c>
      <c r="D40" s="14">
        <v>0.11109999999999999</v>
      </c>
      <c r="E40" s="15">
        <v>18.89</v>
      </c>
      <c r="F40" s="12">
        <v>200.0</v>
      </c>
      <c r="G40" s="12" t="b">
        <v>0</v>
      </c>
      <c r="H40" s="12" t="s">
        <v>200</v>
      </c>
      <c r="I40" s="12" t="s">
        <v>201</v>
      </c>
      <c r="J40" s="16">
        <v>0.0</v>
      </c>
    </row>
    <row r="41" ht="15.75" customHeight="1">
      <c r="A41" s="17" t="s">
        <v>202</v>
      </c>
      <c r="B41" s="18">
        <v>1.0</v>
      </c>
      <c r="C41" s="18">
        <v>8.0</v>
      </c>
      <c r="D41" s="19">
        <v>0.125</v>
      </c>
      <c r="E41" s="20">
        <v>7.75</v>
      </c>
      <c r="F41" s="17">
        <v>200.0</v>
      </c>
      <c r="G41" s="17" t="b">
        <v>1</v>
      </c>
      <c r="H41" s="17" t="s">
        <v>202</v>
      </c>
      <c r="I41" s="17" t="s">
        <v>207</v>
      </c>
      <c r="J41" s="21">
        <v>0.0</v>
      </c>
    </row>
    <row r="42" ht="15.75" customHeight="1">
      <c r="A42" s="12" t="s">
        <v>208</v>
      </c>
      <c r="B42" s="13">
        <v>1.0</v>
      </c>
      <c r="C42" s="13">
        <v>7.0</v>
      </c>
      <c r="D42" s="14">
        <v>0.1429</v>
      </c>
      <c r="E42" s="15">
        <v>3.57</v>
      </c>
      <c r="F42" s="12">
        <v>200.0</v>
      </c>
      <c r="G42" s="12" t="b">
        <v>0</v>
      </c>
      <c r="H42" s="12" t="s">
        <v>208</v>
      </c>
      <c r="I42" s="12" t="s">
        <v>213</v>
      </c>
      <c r="J42" s="16">
        <v>0.0</v>
      </c>
    </row>
    <row r="43" ht="15.75" customHeight="1">
      <c r="A43" s="17" t="s">
        <v>215</v>
      </c>
      <c r="B43" s="18">
        <v>0.0</v>
      </c>
      <c r="C43" s="18">
        <v>93.0</v>
      </c>
      <c r="D43" s="19">
        <v>0.0</v>
      </c>
      <c r="E43" s="20">
        <v>37.63</v>
      </c>
      <c r="F43" s="17">
        <v>200.0</v>
      </c>
      <c r="G43" s="17" t="b">
        <v>1</v>
      </c>
      <c r="H43" s="17" t="s">
        <v>215</v>
      </c>
      <c r="I43" s="17" t="s">
        <v>217</v>
      </c>
      <c r="J43" s="21">
        <v>0.0</v>
      </c>
    </row>
    <row r="44" ht="15.75" customHeight="1">
      <c r="A44" s="12" t="s">
        <v>220</v>
      </c>
      <c r="B44" s="13">
        <v>0.0</v>
      </c>
      <c r="C44" s="13">
        <v>68.0</v>
      </c>
      <c r="D44" s="14">
        <v>0.0</v>
      </c>
      <c r="E44" s="15">
        <v>12.44</v>
      </c>
      <c r="F44" s="12">
        <v>200.0</v>
      </c>
      <c r="G44" s="12" t="b">
        <v>0</v>
      </c>
      <c r="H44" s="12" t="s">
        <v>220</v>
      </c>
      <c r="I44" s="12" t="s">
        <v>221</v>
      </c>
      <c r="J44" s="16">
        <v>2.72</v>
      </c>
    </row>
    <row r="45" ht="15.75" customHeight="1">
      <c r="A45" s="17" t="s">
        <v>222</v>
      </c>
      <c r="B45" s="18">
        <v>0.0</v>
      </c>
      <c r="C45" s="18">
        <v>35.0</v>
      </c>
      <c r="D45" s="19">
        <v>0.0</v>
      </c>
      <c r="E45" s="20">
        <v>4.66</v>
      </c>
      <c r="F45" s="17">
        <v>200.0</v>
      </c>
      <c r="G45" s="17" t="b">
        <v>1</v>
      </c>
      <c r="H45" s="17" t="s">
        <v>222</v>
      </c>
      <c r="I45" s="17" t="s">
        <v>225</v>
      </c>
      <c r="J45" s="21">
        <v>1.4000000000000001</v>
      </c>
    </row>
    <row r="46" ht="15.75" customHeight="1">
      <c r="A46" s="12" t="s">
        <v>226</v>
      </c>
      <c r="B46" s="13">
        <v>0.0</v>
      </c>
      <c r="C46" s="13">
        <v>32.0</v>
      </c>
      <c r="D46" s="14">
        <v>0.0</v>
      </c>
      <c r="E46" s="15">
        <v>4.41</v>
      </c>
      <c r="F46" s="12">
        <v>200.0</v>
      </c>
      <c r="G46" s="12" t="b">
        <v>0</v>
      </c>
      <c r="H46" s="12" t="s">
        <v>226</v>
      </c>
      <c r="I46" s="12" t="s">
        <v>228</v>
      </c>
      <c r="J46" s="16">
        <v>1.28</v>
      </c>
    </row>
    <row r="47" ht="15.75" customHeight="1">
      <c r="A47" s="17" t="s">
        <v>229</v>
      </c>
      <c r="B47" s="18">
        <v>0.0</v>
      </c>
      <c r="C47" s="18">
        <v>25.0</v>
      </c>
      <c r="D47" s="19">
        <v>0.0</v>
      </c>
      <c r="E47" s="20">
        <v>7.52</v>
      </c>
      <c r="F47" s="17">
        <v>200.0</v>
      </c>
      <c r="G47" s="17" t="b">
        <v>1</v>
      </c>
      <c r="H47" s="17" t="s">
        <v>229</v>
      </c>
      <c r="I47" s="17" t="s">
        <v>231</v>
      </c>
      <c r="J47" s="21">
        <v>1.0</v>
      </c>
    </row>
    <row r="48" ht="15.75" customHeight="1">
      <c r="A48" s="12" t="s">
        <v>232</v>
      </c>
      <c r="B48" s="13">
        <v>0.0</v>
      </c>
      <c r="C48" s="13">
        <v>24.0</v>
      </c>
      <c r="D48" s="14">
        <v>0.0</v>
      </c>
      <c r="E48" s="15">
        <v>13.62</v>
      </c>
      <c r="F48" s="12">
        <v>200.0</v>
      </c>
      <c r="G48" s="12" t="b">
        <v>0</v>
      </c>
      <c r="H48" s="12" t="s">
        <v>234</v>
      </c>
      <c r="I48" s="12" t="s">
        <v>235</v>
      </c>
      <c r="J48" s="16">
        <v>0.0</v>
      </c>
    </row>
    <row r="49" ht="15.75" customHeight="1">
      <c r="A49" s="17" t="s">
        <v>236</v>
      </c>
      <c r="B49" s="18">
        <v>0.0</v>
      </c>
      <c r="C49" s="18">
        <v>23.0</v>
      </c>
      <c r="D49" s="19">
        <v>0.0</v>
      </c>
      <c r="E49" s="20">
        <v>7.26</v>
      </c>
      <c r="F49" s="17">
        <v>200.0</v>
      </c>
      <c r="G49" s="17" t="b">
        <v>0</v>
      </c>
      <c r="H49" s="17" t="s">
        <v>236</v>
      </c>
      <c r="I49" s="17" t="s">
        <v>238</v>
      </c>
      <c r="J49" s="21">
        <v>0.0</v>
      </c>
    </row>
    <row r="50" ht="15.75" customHeight="1">
      <c r="A50" s="12" t="s">
        <v>239</v>
      </c>
      <c r="B50" s="13">
        <v>0.0</v>
      </c>
      <c r="C50" s="13">
        <v>22.0</v>
      </c>
      <c r="D50" s="14">
        <v>0.0</v>
      </c>
      <c r="E50" s="15">
        <v>10.09</v>
      </c>
      <c r="F50" s="12">
        <v>200.0</v>
      </c>
      <c r="G50" s="12" t="b">
        <v>0</v>
      </c>
      <c r="H50" s="12" t="s">
        <v>239</v>
      </c>
      <c r="I50" s="12" t="s">
        <v>240</v>
      </c>
      <c r="J50" s="16">
        <v>0.0</v>
      </c>
    </row>
    <row r="51" ht="15.75" customHeight="1">
      <c r="A51" s="17" t="s">
        <v>242</v>
      </c>
      <c r="B51" s="18">
        <v>0.0</v>
      </c>
      <c r="C51" s="18">
        <v>22.0</v>
      </c>
      <c r="D51" s="19">
        <v>0.0</v>
      </c>
      <c r="E51" s="20">
        <v>13.73</v>
      </c>
      <c r="F51" s="17">
        <v>200.0</v>
      </c>
      <c r="G51" s="17" t="b">
        <v>0</v>
      </c>
      <c r="H51" s="17" t="s">
        <v>242</v>
      </c>
      <c r="I51" s="17" t="s">
        <v>243</v>
      </c>
      <c r="J51" s="21">
        <v>0.0</v>
      </c>
    </row>
    <row r="52" ht="15.75" customHeight="1">
      <c r="A52" s="12" t="s">
        <v>244</v>
      </c>
      <c r="B52" s="13">
        <v>0.0</v>
      </c>
      <c r="C52" s="13">
        <v>21.0</v>
      </c>
      <c r="D52" s="14">
        <v>0.0</v>
      </c>
      <c r="E52" s="15">
        <v>8.38</v>
      </c>
      <c r="F52" s="12">
        <v>200.0</v>
      </c>
      <c r="G52" s="12" t="b">
        <v>1</v>
      </c>
      <c r="H52" s="12" t="s">
        <v>244</v>
      </c>
      <c r="I52" s="12" t="s">
        <v>246</v>
      </c>
      <c r="J52" s="16">
        <v>0.0</v>
      </c>
    </row>
    <row r="53" ht="15.75" customHeight="1">
      <c r="A53" s="17" t="s">
        <v>248</v>
      </c>
      <c r="B53" s="18">
        <v>0.0</v>
      </c>
      <c r="C53" s="18">
        <v>16.0</v>
      </c>
      <c r="D53" s="19">
        <v>0.0</v>
      </c>
      <c r="E53" s="20">
        <v>27.88</v>
      </c>
      <c r="F53" s="17">
        <v>200.0</v>
      </c>
      <c r="G53" s="17" t="b">
        <v>1</v>
      </c>
      <c r="H53" s="17" t="s">
        <v>248</v>
      </c>
      <c r="I53" s="17" t="s">
        <v>249</v>
      </c>
      <c r="J53" s="21">
        <v>0.0</v>
      </c>
    </row>
    <row r="54" ht="15.75" customHeight="1">
      <c r="A54" s="12" t="s">
        <v>251</v>
      </c>
      <c r="B54" s="13">
        <v>0.0</v>
      </c>
      <c r="C54" s="13">
        <v>14.0</v>
      </c>
      <c r="D54" s="14">
        <v>0.0</v>
      </c>
      <c r="E54" s="15">
        <v>5.57</v>
      </c>
      <c r="F54" s="12">
        <v>200.0</v>
      </c>
      <c r="G54" s="12" t="b">
        <v>0</v>
      </c>
      <c r="H54" s="12" t="s">
        <v>251</v>
      </c>
      <c r="I54" s="12" t="s">
        <v>254</v>
      </c>
      <c r="J54" s="16">
        <v>0.0</v>
      </c>
    </row>
    <row r="55" ht="15.75" customHeight="1">
      <c r="A55" s="17" t="s">
        <v>79</v>
      </c>
      <c r="B55" s="18">
        <v>0.0</v>
      </c>
      <c r="C55" s="18">
        <v>14.0</v>
      </c>
      <c r="D55" s="19">
        <v>0.0</v>
      </c>
      <c r="E55" s="20">
        <v>9.14</v>
      </c>
      <c r="F55" s="17">
        <v>200.0</v>
      </c>
      <c r="G55" s="17" t="b">
        <v>0</v>
      </c>
      <c r="H55" s="17" t="s">
        <v>79</v>
      </c>
      <c r="I55" s="17" t="s">
        <v>80</v>
      </c>
      <c r="J55" s="21">
        <v>0.0</v>
      </c>
    </row>
    <row r="56" ht="15.75" customHeight="1">
      <c r="A56" s="12" t="s">
        <v>260</v>
      </c>
      <c r="B56" s="13">
        <v>0.0</v>
      </c>
      <c r="C56" s="13">
        <v>14.0</v>
      </c>
      <c r="D56" s="14">
        <v>0.0</v>
      </c>
      <c r="E56" s="15">
        <v>67.21</v>
      </c>
      <c r="F56" s="12">
        <v>200.0</v>
      </c>
      <c r="G56" s="12" t="b">
        <v>0</v>
      </c>
      <c r="H56" s="12" t="s">
        <v>260</v>
      </c>
      <c r="I56" s="12" t="s">
        <v>263</v>
      </c>
      <c r="J56" s="16">
        <v>0.0</v>
      </c>
    </row>
    <row r="57" ht="15.75" customHeight="1">
      <c r="A57" s="17" t="s">
        <v>264</v>
      </c>
      <c r="B57" s="18">
        <v>0.0</v>
      </c>
      <c r="C57" s="18">
        <v>13.0</v>
      </c>
      <c r="D57" s="19">
        <v>0.0</v>
      </c>
      <c r="E57" s="20">
        <v>10.54</v>
      </c>
      <c r="F57" s="17">
        <v>200.0</v>
      </c>
      <c r="G57" s="17" t="b">
        <v>1</v>
      </c>
      <c r="H57" s="17" t="s">
        <v>264</v>
      </c>
      <c r="I57" s="17" t="s">
        <v>268</v>
      </c>
      <c r="J57" s="21">
        <v>0.0</v>
      </c>
    </row>
    <row r="58" ht="15.75" customHeight="1">
      <c r="A58" s="12" t="s">
        <v>270</v>
      </c>
      <c r="B58" s="13">
        <v>0.0</v>
      </c>
      <c r="C58" s="13">
        <v>12.0</v>
      </c>
      <c r="D58" s="14">
        <v>0.0</v>
      </c>
      <c r="E58" s="15">
        <v>6.33</v>
      </c>
      <c r="F58" s="12">
        <v>200.0</v>
      </c>
      <c r="G58" s="12" t="b">
        <v>0</v>
      </c>
      <c r="H58" s="12" t="s">
        <v>270</v>
      </c>
      <c r="I58" s="12" t="s">
        <v>276</v>
      </c>
      <c r="J58" s="16">
        <v>0.0</v>
      </c>
    </row>
    <row r="59" ht="15.75" customHeight="1">
      <c r="A59" s="17" t="s">
        <v>278</v>
      </c>
      <c r="B59" s="18">
        <v>0.0</v>
      </c>
      <c r="C59" s="18">
        <v>11.0</v>
      </c>
      <c r="D59" s="19">
        <v>0.0</v>
      </c>
      <c r="E59" s="20">
        <v>7.36</v>
      </c>
      <c r="F59" s="17">
        <v>200.0</v>
      </c>
      <c r="G59" s="17" t="b">
        <v>0</v>
      </c>
      <c r="H59" s="17" t="s">
        <v>278</v>
      </c>
      <c r="I59" s="17" t="s">
        <v>284</v>
      </c>
      <c r="J59" s="21">
        <v>0.0</v>
      </c>
    </row>
    <row r="60" ht="15.75" customHeight="1">
      <c r="A60" s="12" t="s">
        <v>287</v>
      </c>
      <c r="B60" s="13">
        <v>0.0</v>
      </c>
      <c r="C60" s="13">
        <v>11.0</v>
      </c>
      <c r="D60" s="14">
        <v>0.0</v>
      </c>
      <c r="E60" s="15">
        <v>10.0</v>
      </c>
      <c r="F60" s="12">
        <v>200.0</v>
      </c>
      <c r="G60" s="12" t="b">
        <v>0</v>
      </c>
      <c r="H60" s="12" t="s">
        <v>287</v>
      </c>
      <c r="I60" s="12" t="s">
        <v>293</v>
      </c>
      <c r="J60" s="16">
        <v>0.0</v>
      </c>
    </row>
    <row r="61" ht="15.75" customHeight="1">
      <c r="A61" s="17" t="s">
        <v>295</v>
      </c>
      <c r="B61" s="18">
        <v>0.0</v>
      </c>
      <c r="C61" s="18">
        <v>10.0</v>
      </c>
      <c r="D61" s="19">
        <v>0.0</v>
      </c>
      <c r="E61" s="20">
        <v>3.1</v>
      </c>
      <c r="F61" s="17">
        <v>200.0</v>
      </c>
      <c r="G61" s="17" t="b">
        <v>1</v>
      </c>
      <c r="H61" s="17" t="s">
        <v>295</v>
      </c>
      <c r="I61" s="17" t="s">
        <v>299</v>
      </c>
      <c r="J61" s="21">
        <v>0.0</v>
      </c>
    </row>
    <row r="62" ht="15.75" customHeight="1">
      <c r="A62" s="12" t="s">
        <v>300</v>
      </c>
      <c r="B62" s="13">
        <v>0.0</v>
      </c>
      <c r="C62" s="13">
        <v>10.0</v>
      </c>
      <c r="D62" s="14">
        <v>0.0</v>
      </c>
      <c r="E62" s="15">
        <v>9.3</v>
      </c>
      <c r="F62" s="12">
        <v>200.0</v>
      </c>
      <c r="G62" s="12" t="b">
        <v>0</v>
      </c>
      <c r="H62" s="12" t="s">
        <v>300</v>
      </c>
      <c r="I62" s="12" t="s">
        <v>302</v>
      </c>
      <c r="J62" s="16">
        <v>0.0</v>
      </c>
    </row>
    <row r="63" ht="15.75" customHeight="1">
      <c r="A63" s="17" t="s">
        <v>304</v>
      </c>
      <c r="B63" s="18">
        <v>0.0</v>
      </c>
      <c r="C63" s="18">
        <v>9.0</v>
      </c>
      <c r="D63" s="19">
        <v>0.0</v>
      </c>
      <c r="E63" s="20">
        <v>48.44</v>
      </c>
      <c r="F63" s="17" t="s">
        <v>307</v>
      </c>
      <c r="G63" s="17" t="b">
        <v>0</v>
      </c>
      <c r="H63" s="17"/>
      <c r="I63" s="17"/>
      <c r="J63" s="21">
        <v>0.0</v>
      </c>
    </row>
    <row r="64" ht="15.75" customHeight="1">
      <c r="A64" s="12" t="s">
        <v>309</v>
      </c>
      <c r="B64" s="13">
        <v>0.0</v>
      </c>
      <c r="C64" s="13">
        <v>8.0</v>
      </c>
      <c r="D64" s="14">
        <v>0.0</v>
      </c>
      <c r="E64" s="15">
        <v>6.38</v>
      </c>
      <c r="F64" s="12">
        <v>200.0</v>
      </c>
      <c r="G64" s="12" t="b">
        <v>1</v>
      </c>
      <c r="H64" s="12" t="s">
        <v>309</v>
      </c>
      <c r="I64" s="12" t="s">
        <v>311</v>
      </c>
      <c r="J64" s="16">
        <v>0.0</v>
      </c>
    </row>
    <row r="65" ht="15.75" customHeight="1">
      <c r="A65" s="17" t="s">
        <v>312</v>
      </c>
      <c r="B65" s="18">
        <v>0.0</v>
      </c>
      <c r="C65" s="18">
        <v>8.0</v>
      </c>
      <c r="D65" s="19">
        <v>0.0</v>
      </c>
      <c r="E65" s="20">
        <v>25.0</v>
      </c>
      <c r="F65" s="17" t="s">
        <v>307</v>
      </c>
      <c r="G65" s="17" t="b">
        <v>0</v>
      </c>
      <c r="H65" s="17"/>
      <c r="I65" s="17"/>
      <c r="J65" s="21">
        <v>0.0</v>
      </c>
    </row>
    <row r="66" ht="15.75" customHeight="1">
      <c r="A66" s="12" t="s">
        <v>316</v>
      </c>
      <c r="B66" s="13">
        <v>0.0</v>
      </c>
      <c r="C66" s="13">
        <v>6.0</v>
      </c>
      <c r="D66" s="14">
        <v>0.0</v>
      </c>
      <c r="E66" s="15">
        <v>2.5</v>
      </c>
      <c r="F66" s="12" t="s">
        <v>307</v>
      </c>
      <c r="G66" s="12" t="b">
        <v>0</v>
      </c>
      <c r="H66" s="12"/>
      <c r="I66" s="12"/>
      <c r="J66" s="16">
        <v>0.0</v>
      </c>
    </row>
    <row r="67" ht="15.75" customHeight="1">
      <c r="A67" s="17" t="s">
        <v>317</v>
      </c>
      <c r="B67" s="18">
        <v>0.0</v>
      </c>
      <c r="C67" s="18">
        <v>6.0</v>
      </c>
      <c r="D67" s="19">
        <v>0.0</v>
      </c>
      <c r="E67" s="20">
        <v>5.5</v>
      </c>
      <c r="F67" s="17">
        <v>200.0</v>
      </c>
      <c r="G67" s="17" t="b">
        <v>1</v>
      </c>
      <c r="H67" s="17" t="s">
        <v>317</v>
      </c>
      <c r="I67" s="17" t="s">
        <v>321</v>
      </c>
      <c r="J67" s="21">
        <v>0.0</v>
      </c>
    </row>
    <row r="68" ht="15.75" customHeight="1">
      <c r="A68" s="12" t="s">
        <v>322</v>
      </c>
      <c r="B68" s="13">
        <v>0.0</v>
      </c>
      <c r="C68" s="13">
        <v>6.0</v>
      </c>
      <c r="D68" s="14">
        <v>0.0</v>
      </c>
      <c r="E68" s="15">
        <v>8.33</v>
      </c>
      <c r="F68" s="12">
        <v>200.0</v>
      </c>
      <c r="G68" s="12" t="b">
        <v>1</v>
      </c>
      <c r="H68" s="12" t="s">
        <v>322</v>
      </c>
      <c r="I68" s="12" t="s">
        <v>326</v>
      </c>
      <c r="J68" s="16">
        <v>0.0</v>
      </c>
    </row>
    <row r="69" ht="15.75" customHeight="1">
      <c r="A69" s="17" t="s">
        <v>327</v>
      </c>
      <c r="B69" s="18">
        <v>0.0</v>
      </c>
      <c r="C69" s="18">
        <v>6.0</v>
      </c>
      <c r="D69" s="19">
        <v>0.0</v>
      </c>
      <c r="E69" s="20">
        <v>10.33</v>
      </c>
      <c r="F69" s="17">
        <v>200.0</v>
      </c>
      <c r="G69" s="17" t="b">
        <v>1</v>
      </c>
      <c r="H69" s="17" t="s">
        <v>327</v>
      </c>
      <c r="I69" s="17" t="s">
        <v>329</v>
      </c>
      <c r="J69" s="21">
        <v>0.0</v>
      </c>
    </row>
    <row r="70" ht="15.75" customHeight="1">
      <c r="A70" s="12" t="s">
        <v>330</v>
      </c>
      <c r="B70" s="13">
        <v>0.0</v>
      </c>
      <c r="C70" s="13">
        <v>6.0</v>
      </c>
      <c r="D70" s="14">
        <v>0.0</v>
      </c>
      <c r="E70" s="15">
        <v>56.5</v>
      </c>
      <c r="F70" s="12" t="s">
        <v>307</v>
      </c>
      <c r="G70" s="12" t="b">
        <v>0</v>
      </c>
      <c r="H70" s="12"/>
      <c r="I70" s="12"/>
      <c r="J70" s="16">
        <v>0.0</v>
      </c>
    </row>
    <row r="71" ht="15.75" customHeight="1">
      <c r="A71" s="17" t="s">
        <v>332</v>
      </c>
      <c r="B71" s="18">
        <v>0.0</v>
      </c>
      <c r="C71" s="18">
        <v>6.0</v>
      </c>
      <c r="D71" s="19">
        <v>0.0</v>
      </c>
      <c r="E71" s="20">
        <v>62.17</v>
      </c>
      <c r="F71" s="17">
        <v>200.0</v>
      </c>
      <c r="G71" s="17" t="b">
        <v>1</v>
      </c>
      <c r="H71" s="17" t="s">
        <v>332</v>
      </c>
      <c r="I71" s="17" t="s">
        <v>334</v>
      </c>
      <c r="J71" s="21">
        <v>0.0</v>
      </c>
    </row>
    <row r="72" ht="15.75" customHeight="1">
      <c r="A72" s="12" t="s">
        <v>335</v>
      </c>
      <c r="B72" s="13">
        <v>0.0</v>
      </c>
      <c r="C72" s="13">
        <v>5.0</v>
      </c>
      <c r="D72" s="14">
        <v>0.0</v>
      </c>
      <c r="E72" s="15">
        <v>4.8</v>
      </c>
      <c r="F72" s="12">
        <v>200.0</v>
      </c>
      <c r="G72" s="12" t="b">
        <v>1</v>
      </c>
      <c r="H72" s="12" t="s">
        <v>335</v>
      </c>
      <c r="I72" s="12" t="s">
        <v>338</v>
      </c>
      <c r="J72" s="16">
        <v>0.0</v>
      </c>
    </row>
    <row r="73" ht="15.75" customHeight="1">
      <c r="A73" s="17" t="s">
        <v>340</v>
      </c>
      <c r="B73" s="18">
        <v>0.0</v>
      </c>
      <c r="C73" s="18">
        <v>5.0</v>
      </c>
      <c r="D73" s="19">
        <v>0.0</v>
      </c>
      <c r="E73" s="20">
        <v>7.6</v>
      </c>
      <c r="F73" s="17" t="s">
        <v>307</v>
      </c>
      <c r="G73" s="17" t="b">
        <v>0</v>
      </c>
      <c r="H73" s="17"/>
      <c r="I73" s="17"/>
      <c r="J73" s="21">
        <v>0.0</v>
      </c>
    </row>
    <row r="74" ht="15.75" customHeight="1">
      <c r="A74" s="12" t="s">
        <v>342</v>
      </c>
      <c r="B74" s="13">
        <v>0.0</v>
      </c>
      <c r="C74" s="13">
        <v>5.0</v>
      </c>
      <c r="D74" s="14">
        <v>0.0</v>
      </c>
      <c r="E74" s="15">
        <v>17.2</v>
      </c>
      <c r="F74" s="12" t="s">
        <v>307</v>
      </c>
      <c r="G74" s="12" t="b">
        <v>0</v>
      </c>
      <c r="H74" s="12"/>
      <c r="I74" s="12"/>
      <c r="J74" s="16">
        <v>0.0</v>
      </c>
    </row>
    <row r="75" ht="15.75" customHeight="1">
      <c r="A75" s="17" t="s">
        <v>343</v>
      </c>
      <c r="B75" s="18">
        <v>0.0</v>
      </c>
      <c r="C75" s="18">
        <v>3.0</v>
      </c>
      <c r="D75" s="19">
        <v>0.0</v>
      </c>
      <c r="E75" s="20">
        <v>2.0</v>
      </c>
      <c r="F75" s="17">
        <v>200.0</v>
      </c>
      <c r="G75" s="17" t="b">
        <v>1</v>
      </c>
      <c r="H75" s="17" t="s">
        <v>343</v>
      </c>
      <c r="I75" s="17" t="s">
        <v>225</v>
      </c>
      <c r="J75" s="21">
        <v>0.0</v>
      </c>
    </row>
    <row r="76" ht="15.75" customHeight="1">
      <c r="A76" s="12" t="s">
        <v>347</v>
      </c>
      <c r="B76" s="13">
        <v>0.0</v>
      </c>
      <c r="C76" s="13">
        <v>3.0</v>
      </c>
      <c r="D76" s="14">
        <v>0.0</v>
      </c>
      <c r="E76" s="15">
        <v>6.33</v>
      </c>
      <c r="F76" s="12" t="s">
        <v>307</v>
      </c>
      <c r="G76" s="12" t="b">
        <v>0</v>
      </c>
      <c r="H76" s="12"/>
      <c r="I76" s="12"/>
      <c r="J76" s="16">
        <v>0.0</v>
      </c>
    </row>
    <row r="77" ht="15.75" customHeight="1">
      <c r="A77" s="17" t="s">
        <v>349</v>
      </c>
      <c r="B77" s="18">
        <v>0.0</v>
      </c>
      <c r="C77" s="18">
        <v>3.0</v>
      </c>
      <c r="D77" s="19">
        <v>0.0</v>
      </c>
      <c r="E77" s="20">
        <v>22.33</v>
      </c>
      <c r="F77" s="17" t="s">
        <v>307</v>
      </c>
      <c r="G77" s="17" t="b">
        <v>0</v>
      </c>
      <c r="H77" s="17"/>
      <c r="I77" s="17"/>
      <c r="J77" s="21">
        <v>0.0</v>
      </c>
    </row>
    <row r="78" ht="15.75" customHeight="1">
      <c r="A78" s="12" t="s">
        <v>352</v>
      </c>
      <c r="B78" s="13">
        <v>0.0</v>
      </c>
      <c r="C78" s="13">
        <v>3.0</v>
      </c>
      <c r="D78" s="14">
        <v>0.0</v>
      </c>
      <c r="E78" s="15">
        <v>30.33</v>
      </c>
      <c r="F78" s="12" t="s">
        <v>307</v>
      </c>
      <c r="G78" s="12" t="b">
        <v>0</v>
      </c>
      <c r="H78" s="12"/>
      <c r="I78" s="12"/>
      <c r="J78" s="16">
        <v>0.0</v>
      </c>
    </row>
    <row r="79" ht="15.75" customHeight="1">
      <c r="A79" s="17" t="s">
        <v>354</v>
      </c>
      <c r="B79" s="18">
        <v>0.0</v>
      </c>
      <c r="C79" s="18">
        <v>3.0</v>
      </c>
      <c r="D79" s="19">
        <v>0.0</v>
      </c>
      <c r="E79" s="20">
        <v>57.67</v>
      </c>
      <c r="F79" s="17">
        <v>200.0</v>
      </c>
      <c r="G79" s="17" t="b">
        <v>1</v>
      </c>
      <c r="H79" s="17" t="s">
        <v>354</v>
      </c>
      <c r="I79" s="17" t="s">
        <v>356</v>
      </c>
      <c r="J79" s="21">
        <v>0.0</v>
      </c>
    </row>
    <row r="80" ht="15.75" customHeight="1">
      <c r="A80" s="12" t="s">
        <v>357</v>
      </c>
      <c r="B80" s="13">
        <v>0.0</v>
      </c>
      <c r="C80" s="13">
        <v>2.0</v>
      </c>
      <c r="D80" s="14">
        <v>0.0</v>
      </c>
      <c r="E80" s="15">
        <v>3.5</v>
      </c>
      <c r="F80" s="12">
        <v>200.0</v>
      </c>
      <c r="G80" s="12" t="b">
        <v>1</v>
      </c>
      <c r="H80" s="12" t="s">
        <v>357</v>
      </c>
      <c r="I80" s="12" t="s">
        <v>359</v>
      </c>
      <c r="J80" s="16">
        <v>0.0</v>
      </c>
    </row>
    <row r="81" ht="15.75" customHeight="1">
      <c r="A81" s="17" t="s">
        <v>361</v>
      </c>
      <c r="B81" s="18">
        <v>0.0</v>
      </c>
      <c r="C81" s="18">
        <v>2.0</v>
      </c>
      <c r="D81" s="19">
        <v>0.0</v>
      </c>
      <c r="E81" s="20">
        <v>4.0</v>
      </c>
      <c r="F81" s="17" t="s">
        <v>307</v>
      </c>
      <c r="G81" s="17" t="b">
        <v>0</v>
      </c>
      <c r="H81" s="17"/>
      <c r="I81" s="17"/>
      <c r="J81" s="21">
        <v>0.0</v>
      </c>
    </row>
    <row r="82" ht="15.75" customHeight="1">
      <c r="A82" s="12" t="s">
        <v>363</v>
      </c>
      <c r="B82" s="13">
        <v>0.0</v>
      </c>
      <c r="C82" s="13">
        <v>2.0</v>
      </c>
      <c r="D82" s="14">
        <v>0.0</v>
      </c>
      <c r="E82" s="15">
        <v>7.0</v>
      </c>
      <c r="F82" s="12">
        <v>200.0</v>
      </c>
      <c r="G82" s="12" t="b">
        <v>1</v>
      </c>
      <c r="H82" s="12" t="s">
        <v>363</v>
      </c>
      <c r="I82" s="12" t="s">
        <v>207</v>
      </c>
      <c r="J82" s="16">
        <v>0.0</v>
      </c>
    </row>
    <row r="83" ht="15.75" customHeight="1">
      <c r="A83" s="17" t="s">
        <v>358</v>
      </c>
      <c r="B83" s="18">
        <v>0.0</v>
      </c>
      <c r="C83" s="18">
        <v>2.0</v>
      </c>
      <c r="D83" s="19">
        <v>0.0</v>
      </c>
      <c r="E83" s="20">
        <v>8.0</v>
      </c>
      <c r="F83" s="17">
        <v>200.0</v>
      </c>
      <c r="G83" s="17" t="b">
        <v>1</v>
      </c>
      <c r="H83" s="17" t="s">
        <v>358</v>
      </c>
      <c r="I83" s="17" t="s">
        <v>362</v>
      </c>
      <c r="J83" s="21">
        <v>0.0</v>
      </c>
    </row>
    <row r="84" ht="15.75" customHeight="1">
      <c r="A84" s="12" t="s">
        <v>114</v>
      </c>
      <c r="B84" s="13">
        <v>0.0</v>
      </c>
      <c r="C84" s="13">
        <v>2.0</v>
      </c>
      <c r="D84" s="14">
        <v>0.0</v>
      </c>
      <c r="E84" s="15">
        <v>8.5</v>
      </c>
      <c r="F84" s="12" t="s">
        <v>307</v>
      </c>
      <c r="G84" s="12" t="b">
        <v>0</v>
      </c>
      <c r="H84" s="12"/>
      <c r="I84" s="12"/>
      <c r="J84" s="16">
        <v>0.0</v>
      </c>
    </row>
    <row r="85" ht="15.75" customHeight="1">
      <c r="A85" s="17" t="s">
        <v>368</v>
      </c>
      <c r="B85" s="18">
        <v>0.0</v>
      </c>
      <c r="C85" s="18">
        <v>2.0</v>
      </c>
      <c r="D85" s="19">
        <v>0.0</v>
      </c>
      <c r="E85" s="20">
        <v>18.0</v>
      </c>
      <c r="F85" s="17" t="s">
        <v>307</v>
      </c>
      <c r="G85" s="17" t="b">
        <v>0</v>
      </c>
      <c r="H85" s="17"/>
      <c r="I85" s="17"/>
      <c r="J85" s="21">
        <v>0.0</v>
      </c>
    </row>
    <row r="86" ht="15.75" customHeight="1">
      <c r="A86" s="12" t="s">
        <v>371</v>
      </c>
      <c r="B86" s="13">
        <v>0.0</v>
      </c>
      <c r="C86" s="13">
        <v>2.0</v>
      </c>
      <c r="D86" s="14">
        <v>0.0</v>
      </c>
      <c r="E86" s="15">
        <v>28.5</v>
      </c>
      <c r="F86" s="12">
        <v>200.0</v>
      </c>
      <c r="G86" s="12" t="b">
        <v>1</v>
      </c>
      <c r="H86" s="12" t="s">
        <v>371</v>
      </c>
      <c r="I86" s="12" t="s">
        <v>373</v>
      </c>
      <c r="J86" s="16">
        <v>0.0</v>
      </c>
    </row>
    <row r="87" ht="15.75" customHeight="1">
      <c r="A87" s="17" t="s">
        <v>375</v>
      </c>
      <c r="B87" s="18">
        <v>0.0</v>
      </c>
      <c r="C87" s="18">
        <v>1.0</v>
      </c>
      <c r="D87" s="19">
        <v>0.0</v>
      </c>
      <c r="E87" s="20">
        <v>1.0</v>
      </c>
      <c r="F87" s="17">
        <v>200.0</v>
      </c>
      <c r="G87" s="17" t="b">
        <v>1</v>
      </c>
      <c r="H87" s="17" t="s">
        <v>375</v>
      </c>
      <c r="I87" s="17" t="s">
        <v>128</v>
      </c>
      <c r="J87" s="21">
        <v>0.0</v>
      </c>
    </row>
    <row r="88" ht="15.75" customHeight="1">
      <c r="A88" s="12" t="s">
        <v>56</v>
      </c>
      <c r="B88" s="13">
        <v>0.0</v>
      </c>
      <c r="C88" s="13">
        <v>1.0</v>
      </c>
      <c r="D88" s="14">
        <v>0.0</v>
      </c>
      <c r="E88" s="15">
        <v>1.0</v>
      </c>
      <c r="F88" s="12" t="s">
        <v>307</v>
      </c>
      <c r="G88" s="12" t="b">
        <v>0</v>
      </c>
      <c r="H88" s="12"/>
      <c r="I88" s="12"/>
      <c r="J88" s="16">
        <v>0.0</v>
      </c>
    </row>
    <row r="89" ht="15.75" customHeight="1">
      <c r="A89" s="17" t="s">
        <v>345</v>
      </c>
      <c r="B89" s="18">
        <v>0.0</v>
      </c>
      <c r="C89" s="18">
        <v>1.0</v>
      </c>
      <c r="D89" s="19">
        <v>0.0</v>
      </c>
      <c r="E89" s="20">
        <v>6.0</v>
      </c>
      <c r="F89" s="17">
        <v>200.0</v>
      </c>
      <c r="G89" s="17" t="b">
        <v>1</v>
      </c>
      <c r="H89" s="17" t="s">
        <v>345</v>
      </c>
      <c r="I89" s="17" t="s">
        <v>348</v>
      </c>
      <c r="J89" s="21">
        <v>0.0</v>
      </c>
    </row>
    <row r="90" ht="15.75" customHeight="1">
      <c r="A90" s="12" t="s">
        <v>381</v>
      </c>
      <c r="B90" s="13">
        <v>0.0</v>
      </c>
      <c r="C90" s="13">
        <v>1.0</v>
      </c>
      <c r="D90" s="14">
        <v>0.0</v>
      </c>
      <c r="E90" s="15">
        <v>6.0</v>
      </c>
      <c r="F90" s="12">
        <v>200.0</v>
      </c>
      <c r="G90" s="12" t="b">
        <v>1</v>
      </c>
      <c r="H90" s="12" t="s">
        <v>381</v>
      </c>
      <c r="I90" s="12" t="s">
        <v>384</v>
      </c>
      <c r="J90" s="16">
        <v>0.0</v>
      </c>
    </row>
    <row r="91" ht="15.75" customHeight="1">
      <c r="A91" s="17" t="s">
        <v>385</v>
      </c>
      <c r="B91" s="18">
        <v>0.0</v>
      </c>
      <c r="C91" s="18">
        <v>1.0</v>
      </c>
      <c r="D91" s="19">
        <v>0.0</v>
      </c>
      <c r="E91" s="20">
        <v>8.0</v>
      </c>
      <c r="F91" s="17">
        <v>200.0</v>
      </c>
      <c r="G91" s="17" t="b">
        <v>1</v>
      </c>
      <c r="H91" s="17" t="s">
        <v>385</v>
      </c>
      <c r="I91" s="17" t="s">
        <v>387</v>
      </c>
      <c r="J91" s="21">
        <v>0.0</v>
      </c>
    </row>
    <row r="92" ht="15.75" customHeight="1">
      <c r="A92" s="12" t="s">
        <v>388</v>
      </c>
      <c r="B92" s="13">
        <v>0.0</v>
      </c>
      <c r="C92" s="13">
        <v>1.0</v>
      </c>
      <c r="D92" s="14">
        <v>0.0</v>
      </c>
      <c r="E92" s="15">
        <v>8.0</v>
      </c>
      <c r="F92" s="12">
        <v>200.0</v>
      </c>
      <c r="G92" s="12" t="b">
        <v>1</v>
      </c>
      <c r="H92" s="12" t="s">
        <v>388</v>
      </c>
      <c r="I92" s="12" t="s">
        <v>391</v>
      </c>
      <c r="J92" s="16">
        <v>0.0</v>
      </c>
    </row>
    <row r="93" ht="15.75" customHeight="1">
      <c r="A93" s="17" t="s">
        <v>392</v>
      </c>
      <c r="B93" s="18">
        <v>0.0</v>
      </c>
      <c r="C93" s="18">
        <v>1.0</v>
      </c>
      <c r="D93" s="19">
        <v>0.0</v>
      </c>
      <c r="E93" s="20">
        <v>9.0</v>
      </c>
      <c r="F93" s="17" t="s">
        <v>307</v>
      </c>
      <c r="G93" s="17" t="b">
        <v>0</v>
      </c>
      <c r="H93" s="17"/>
      <c r="I93" s="17"/>
      <c r="J93" s="21">
        <v>0.0</v>
      </c>
    </row>
    <row r="94" ht="15.75" customHeight="1">
      <c r="A94" s="12" t="s">
        <v>28</v>
      </c>
      <c r="B94" s="13">
        <v>0.0</v>
      </c>
      <c r="C94" s="13">
        <v>1.0</v>
      </c>
      <c r="D94" s="14">
        <v>0.0</v>
      </c>
      <c r="E94" s="15">
        <v>10.0</v>
      </c>
      <c r="F94" s="12" t="s">
        <v>307</v>
      </c>
      <c r="G94" s="12" t="b">
        <v>0</v>
      </c>
      <c r="H94" s="12"/>
      <c r="I94" s="12"/>
      <c r="J94" s="16">
        <v>0.0</v>
      </c>
    </row>
    <row r="95" ht="15.75" customHeight="1">
      <c r="A95" s="17" t="s">
        <v>397</v>
      </c>
      <c r="B95" s="18">
        <v>0.0</v>
      </c>
      <c r="C95" s="18">
        <v>1.0</v>
      </c>
      <c r="D95" s="19">
        <v>0.0</v>
      </c>
      <c r="E95" s="20">
        <v>10.0</v>
      </c>
      <c r="F95" s="17" t="s">
        <v>307</v>
      </c>
      <c r="G95" s="17" t="b">
        <v>0</v>
      </c>
      <c r="H95" s="17"/>
      <c r="I95" s="17"/>
      <c r="J95" s="21">
        <v>0.0</v>
      </c>
    </row>
    <row r="96" ht="15.75" customHeight="1">
      <c r="A96" s="61" t="s">
        <v>399</v>
      </c>
      <c r="B96" s="62">
        <v>0.0</v>
      </c>
      <c r="C96" s="62">
        <v>1.0</v>
      </c>
      <c r="D96" s="63">
        <v>0.0</v>
      </c>
      <c r="E96" s="64">
        <v>12.0</v>
      </c>
      <c r="F96" s="61">
        <v>200.0</v>
      </c>
      <c r="G96" s="61" t="b">
        <v>1</v>
      </c>
      <c r="H96" s="61" t="s">
        <v>399</v>
      </c>
      <c r="I96" s="61" t="s">
        <v>402</v>
      </c>
      <c r="J96" s="65">
        <v>0.0</v>
      </c>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conditionalFormatting sqref="F5:F96">
    <cfRule type="cellIs" dxfId="5" priority="1" operator="notEqual">
      <formula>200</formula>
    </cfRule>
  </conditionalFormatting>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8.0"/>
    <col customWidth="1" min="2" max="2" width="9.0"/>
    <col customWidth="1" min="3" max="3" width="10.0"/>
    <col customWidth="1" min="4" max="4" width="9.0"/>
    <col customWidth="1" min="5" max="6" width="58.0"/>
    <col customWidth="1" min="7" max="7" width="11.0"/>
    <col customWidth="1" min="8" max="8" width="58.0"/>
    <col customWidth="1" min="9" max="9" width="10.0"/>
    <col customWidth="1" min="10" max="10" width="64.0"/>
    <col customWidth="1" min="11" max="11" width="10.0"/>
    <col customWidth="1" min="12" max="12" width="9.0"/>
    <col customWidth="1" min="13" max="13" width="42.0"/>
    <col customWidth="1" min="14" max="14" width="12.0"/>
    <col customWidth="1" min="15" max="15" width="50.0"/>
    <col customWidth="1" min="16" max="16" width="12.0"/>
    <col customWidth="1" min="17" max="18" width="10.0"/>
    <col customWidth="1" min="19" max="19" width="11.0"/>
    <col customWidth="1" min="20" max="20" width="12.0"/>
    <col customWidth="1" min="21" max="21" width="10.0"/>
    <col customWidth="1" min="22" max="22" width="12.0"/>
    <col customWidth="1" min="23" max="23" width="10.0"/>
    <col customWidth="1" min="24" max="24" width="11.0"/>
    <col customWidth="1" min="25" max="26" width="8.63"/>
  </cols>
  <sheetData>
    <row r="1" ht="33.75" customHeight="1">
      <c r="A1" s="1" t="s">
        <v>257</v>
      </c>
    </row>
    <row r="2" ht="31.5" customHeight="1">
      <c r="A2" s="2" t="s">
        <v>258</v>
      </c>
    </row>
    <row r="3">
      <c r="A3" s="3"/>
      <c r="B3" s="3"/>
      <c r="C3" s="3"/>
      <c r="D3" s="3"/>
      <c r="E3" s="3"/>
      <c r="F3" s="3"/>
      <c r="G3" s="3"/>
      <c r="H3" s="3"/>
      <c r="I3" s="3"/>
      <c r="J3" s="3"/>
      <c r="K3" s="3"/>
      <c r="L3" s="3"/>
      <c r="M3" s="3"/>
      <c r="N3" s="3"/>
      <c r="O3" s="3"/>
      <c r="P3" s="3"/>
      <c r="Q3" s="3"/>
      <c r="R3" s="3"/>
      <c r="S3" s="3"/>
      <c r="T3" s="3"/>
      <c r="U3" s="3"/>
      <c r="V3" s="3"/>
      <c r="W3" s="3"/>
      <c r="X3" s="3"/>
    </row>
    <row r="4" ht="30.0" customHeight="1">
      <c r="A4" s="4" t="s">
        <v>262</v>
      </c>
      <c r="B4" s="5" t="s">
        <v>265</v>
      </c>
      <c r="C4" s="5" t="s">
        <v>13</v>
      </c>
      <c r="D4" s="5" t="s">
        <v>267</v>
      </c>
      <c r="E4" s="5" t="s">
        <v>14</v>
      </c>
      <c r="F4" s="5" t="s">
        <v>269</v>
      </c>
      <c r="G4" s="5" t="s">
        <v>271</v>
      </c>
      <c r="H4" s="5" t="s">
        <v>273</v>
      </c>
      <c r="I4" s="5" t="s">
        <v>274</v>
      </c>
      <c r="J4" s="5" t="s">
        <v>275</v>
      </c>
      <c r="K4" s="5" t="s">
        <v>277</v>
      </c>
      <c r="L4" s="5" t="s">
        <v>279</v>
      </c>
      <c r="M4" s="5" t="s">
        <v>280</v>
      </c>
      <c r="N4" s="5" t="s">
        <v>282</v>
      </c>
      <c r="O4" s="5" t="s">
        <v>283</v>
      </c>
      <c r="P4" s="5" t="s">
        <v>285</v>
      </c>
      <c r="Q4" s="5" t="s">
        <v>286</v>
      </c>
      <c r="R4" s="5" t="s">
        <v>288</v>
      </c>
      <c r="S4" s="5" t="s">
        <v>289</v>
      </c>
      <c r="T4" s="5" t="s">
        <v>291</v>
      </c>
      <c r="U4" s="5" t="s">
        <v>292</v>
      </c>
      <c r="V4" s="5" t="s">
        <v>166</v>
      </c>
      <c r="W4" s="5" t="s">
        <v>294</v>
      </c>
      <c r="X4" s="6" t="s">
        <v>296</v>
      </c>
    </row>
    <row r="5">
      <c r="A5" s="7" t="s">
        <v>53</v>
      </c>
      <c r="B5" s="7" t="s">
        <v>298</v>
      </c>
      <c r="C5" s="7" t="b">
        <v>0</v>
      </c>
      <c r="D5" s="7">
        <v>200.0</v>
      </c>
      <c r="E5" s="7" t="s">
        <v>40</v>
      </c>
      <c r="F5" s="7" t="s">
        <v>40</v>
      </c>
      <c r="G5" s="7" t="b">
        <v>0</v>
      </c>
      <c r="H5" s="7" t="s">
        <v>41</v>
      </c>
      <c r="I5" s="7">
        <v>53.0</v>
      </c>
      <c r="J5" s="7" t="s">
        <v>303</v>
      </c>
      <c r="K5" s="7">
        <v>27.0</v>
      </c>
      <c r="L5" s="7">
        <v>1.0</v>
      </c>
      <c r="M5" s="7" t="s">
        <v>306</v>
      </c>
      <c r="N5" s="7">
        <v>6.0</v>
      </c>
      <c r="O5" s="7" t="s">
        <v>308</v>
      </c>
      <c r="P5" s="7">
        <v>0.0</v>
      </c>
      <c r="Q5" s="7">
        <v>544.0</v>
      </c>
      <c r="R5" s="7">
        <v>12.0</v>
      </c>
      <c r="S5" s="7">
        <v>0.0</v>
      </c>
      <c r="T5" s="7">
        <v>32.0</v>
      </c>
      <c r="U5" s="7">
        <v>5.0</v>
      </c>
      <c r="V5" s="7">
        <v>52.0</v>
      </c>
      <c r="W5" s="9">
        <v>0.0962</v>
      </c>
      <c r="X5" s="10">
        <v>14.44</v>
      </c>
    </row>
    <row r="6">
      <c r="A6" s="12" t="s">
        <v>314</v>
      </c>
      <c r="B6" s="12" t="s">
        <v>315</v>
      </c>
      <c r="C6" s="12" t="b">
        <v>1</v>
      </c>
      <c r="D6" s="12">
        <v>200.0</v>
      </c>
      <c r="E6" s="12" t="s">
        <v>314</v>
      </c>
      <c r="F6" s="12" t="s">
        <v>314</v>
      </c>
      <c r="G6" s="12" t="b">
        <v>1</v>
      </c>
      <c r="H6" s="12" t="s">
        <v>319</v>
      </c>
      <c r="I6" s="12">
        <v>45.0</v>
      </c>
      <c r="J6" s="12" t="s">
        <v>320</v>
      </c>
      <c r="K6" s="12">
        <v>19.0</v>
      </c>
      <c r="L6" s="12">
        <v>1.0</v>
      </c>
      <c r="M6" s="12" t="s">
        <v>325</v>
      </c>
      <c r="N6" s="12">
        <v>6.0</v>
      </c>
      <c r="O6" s="12" t="s">
        <v>308</v>
      </c>
      <c r="P6" s="12">
        <v>0.0</v>
      </c>
      <c r="Q6" s="12">
        <v>491.0</v>
      </c>
      <c r="R6" s="12">
        <v>12.0</v>
      </c>
      <c r="S6" s="12">
        <v>0.0</v>
      </c>
      <c r="T6" s="12">
        <v>32.0</v>
      </c>
      <c r="U6" s="12">
        <v>0.0</v>
      </c>
      <c r="V6" s="12">
        <v>0.0</v>
      </c>
      <c r="W6" s="14">
        <v>0.0</v>
      </c>
      <c r="X6" s="15"/>
    </row>
    <row r="7">
      <c r="A7" s="17" t="s">
        <v>236</v>
      </c>
      <c r="B7" s="17" t="s">
        <v>315</v>
      </c>
      <c r="C7" s="17" t="b">
        <v>0</v>
      </c>
      <c r="D7" s="17">
        <v>200.0</v>
      </c>
      <c r="E7" s="17" t="s">
        <v>236</v>
      </c>
      <c r="F7" s="17" t="s">
        <v>236</v>
      </c>
      <c r="G7" s="17" t="b">
        <v>1</v>
      </c>
      <c r="H7" s="17" t="s">
        <v>238</v>
      </c>
      <c r="I7" s="17">
        <v>91.0</v>
      </c>
      <c r="J7" s="17" t="s">
        <v>337</v>
      </c>
      <c r="K7" s="17">
        <v>123.0</v>
      </c>
      <c r="L7" s="17">
        <v>1.0</v>
      </c>
      <c r="M7" s="17" t="s">
        <v>339</v>
      </c>
      <c r="N7" s="17">
        <v>6.0</v>
      </c>
      <c r="O7" s="17" t="s">
        <v>308</v>
      </c>
      <c r="P7" s="17">
        <v>0.0</v>
      </c>
      <c r="Q7" s="17">
        <v>350.0</v>
      </c>
      <c r="R7" s="17">
        <v>2.0</v>
      </c>
      <c r="S7" s="17">
        <v>0.0</v>
      </c>
      <c r="T7" s="17">
        <v>21.0</v>
      </c>
      <c r="U7" s="17">
        <v>0.0</v>
      </c>
      <c r="V7" s="17">
        <v>23.0</v>
      </c>
      <c r="W7" s="19">
        <v>0.0</v>
      </c>
      <c r="X7" s="20">
        <v>7.26</v>
      </c>
    </row>
    <row r="8">
      <c r="A8" s="12" t="s">
        <v>345</v>
      </c>
      <c r="B8" s="12" t="s">
        <v>315</v>
      </c>
      <c r="C8" s="12" t="b">
        <v>1</v>
      </c>
      <c r="D8" s="12">
        <v>200.0</v>
      </c>
      <c r="E8" s="12" t="s">
        <v>345</v>
      </c>
      <c r="F8" s="12" t="s">
        <v>345</v>
      </c>
      <c r="G8" s="12" t="b">
        <v>1</v>
      </c>
      <c r="H8" s="12" t="s">
        <v>348</v>
      </c>
      <c r="I8" s="12">
        <v>91.0</v>
      </c>
      <c r="J8" s="12" t="s">
        <v>320</v>
      </c>
      <c r="K8" s="12">
        <v>19.0</v>
      </c>
      <c r="L8" s="12">
        <v>1.0</v>
      </c>
      <c r="M8" s="12" t="s">
        <v>351</v>
      </c>
      <c r="N8" s="12">
        <v>6.0</v>
      </c>
      <c r="O8" s="12" t="s">
        <v>308</v>
      </c>
      <c r="P8" s="12">
        <v>0.0</v>
      </c>
      <c r="Q8" s="12">
        <v>507.0</v>
      </c>
      <c r="R8" s="12">
        <v>14.0</v>
      </c>
      <c r="S8" s="12">
        <v>0.0</v>
      </c>
      <c r="T8" s="12">
        <v>33.0</v>
      </c>
      <c r="U8" s="12">
        <v>0.0</v>
      </c>
      <c r="V8" s="12">
        <v>1.0</v>
      </c>
      <c r="W8" s="14">
        <v>0.0</v>
      </c>
      <c r="X8" s="15">
        <v>6.0</v>
      </c>
    </row>
    <row r="9">
      <c r="A9" s="17" t="s">
        <v>358</v>
      </c>
      <c r="B9" s="17" t="s">
        <v>315</v>
      </c>
      <c r="C9" s="17" t="b">
        <v>1</v>
      </c>
      <c r="D9" s="17">
        <v>200.0</v>
      </c>
      <c r="E9" s="17" t="s">
        <v>358</v>
      </c>
      <c r="F9" s="17" t="s">
        <v>358</v>
      </c>
      <c r="G9" s="17" t="b">
        <v>1</v>
      </c>
      <c r="H9" s="17" t="s">
        <v>362</v>
      </c>
      <c r="I9" s="17">
        <v>90.0</v>
      </c>
      <c r="J9" s="17" t="s">
        <v>320</v>
      </c>
      <c r="K9" s="17">
        <v>19.0</v>
      </c>
      <c r="L9" s="17">
        <v>1.0</v>
      </c>
      <c r="M9" s="17" t="s">
        <v>365</v>
      </c>
      <c r="N9" s="17">
        <v>6.0</v>
      </c>
      <c r="O9" s="17" t="s">
        <v>308</v>
      </c>
      <c r="P9" s="17">
        <v>0.0</v>
      </c>
      <c r="Q9" s="17">
        <v>515.0</v>
      </c>
      <c r="R9" s="17">
        <v>14.0</v>
      </c>
      <c r="S9" s="17">
        <v>0.0</v>
      </c>
      <c r="T9" s="17">
        <v>33.0</v>
      </c>
      <c r="U9" s="17">
        <v>0.0</v>
      </c>
      <c r="V9" s="17">
        <v>2.0</v>
      </c>
      <c r="W9" s="19">
        <v>0.0</v>
      </c>
      <c r="X9" s="20">
        <v>8.0</v>
      </c>
    </row>
    <row r="10">
      <c r="A10" s="12" t="s">
        <v>369</v>
      </c>
      <c r="B10" s="12" t="s">
        <v>315</v>
      </c>
      <c r="C10" s="12" t="b">
        <v>1</v>
      </c>
      <c r="D10" s="12">
        <v>200.0</v>
      </c>
      <c r="E10" s="12" t="s">
        <v>369</v>
      </c>
      <c r="F10" s="12" t="s">
        <v>369</v>
      </c>
      <c r="G10" s="12" t="b">
        <v>1</v>
      </c>
      <c r="H10" s="12" t="s">
        <v>374</v>
      </c>
      <c r="I10" s="12">
        <v>77.0</v>
      </c>
      <c r="J10" s="12" t="s">
        <v>320</v>
      </c>
      <c r="K10" s="12">
        <v>19.0</v>
      </c>
      <c r="L10" s="12">
        <v>1.0</v>
      </c>
      <c r="M10" s="12" t="s">
        <v>377</v>
      </c>
      <c r="N10" s="12">
        <v>6.0</v>
      </c>
      <c r="O10" s="12" t="s">
        <v>379</v>
      </c>
      <c r="P10" s="12">
        <v>0.0</v>
      </c>
      <c r="Q10" s="12">
        <v>425.0</v>
      </c>
      <c r="R10" s="12">
        <v>6.0</v>
      </c>
      <c r="S10" s="12">
        <v>0.0</v>
      </c>
      <c r="T10" s="12">
        <v>25.0</v>
      </c>
      <c r="U10" s="12">
        <v>0.0</v>
      </c>
      <c r="V10" s="12">
        <v>0.0</v>
      </c>
      <c r="W10" s="14">
        <v>0.0</v>
      </c>
      <c r="X10" s="15"/>
    </row>
    <row r="11">
      <c r="A11" s="17" t="s">
        <v>383</v>
      </c>
      <c r="B11" s="17" t="s">
        <v>315</v>
      </c>
      <c r="C11" s="17" t="b">
        <v>1</v>
      </c>
      <c r="D11" s="17">
        <v>200.0</v>
      </c>
      <c r="E11" s="17" t="s">
        <v>383</v>
      </c>
      <c r="F11" s="17" t="s">
        <v>383</v>
      </c>
      <c r="G11" s="17" t="b">
        <v>1</v>
      </c>
      <c r="H11" s="17" t="s">
        <v>329</v>
      </c>
      <c r="I11" s="17">
        <v>62.0</v>
      </c>
      <c r="J11" s="17" t="s">
        <v>320</v>
      </c>
      <c r="K11" s="17">
        <v>19.0</v>
      </c>
      <c r="L11" s="17">
        <v>1.0</v>
      </c>
      <c r="M11" s="17" t="s">
        <v>390</v>
      </c>
      <c r="N11" s="17">
        <v>6.0</v>
      </c>
      <c r="O11" s="17" t="s">
        <v>379</v>
      </c>
      <c r="P11" s="17">
        <v>0.0</v>
      </c>
      <c r="Q11" s="17">
        <v>422.0</v>
      </c>
      <c r="R11" s="17">
        <v>6.0</v>
      </c>
      <c r="S11" s="17">
        <v>0.0</v>
      </c>
      <c r="T11" s="17">
        <v>25.0</v>
      </c>
      <c r="U11" s="17">
        <v>0.0</v>
      </c>
      <c r="V11" s="17">
        <v>0.0</v>
      </c>
      <c r="W11" s="19">
        <v>0.0</v>
      </c>
      <c r="X11" s="20"/>
    </row>
    <row r="12">
      <c r="A12" s="12" t="s">
        <v>394</v>
      </c>
      <c r="B12" s="12" t="s">
        <v>315</v>
      </c>
      <c r="C12" s="12" t="b">
        <v>1</v>
      </c>
      <c r="D12" s="12">
        <v>200.0</v>
      </c>
      <c r="E12" s="12" t="s">
        <v>394</v>
      </c>
      <c r="F12" s="12" t="s">
        <v>394</v>
      </c>
      <c r="G12" s="12" t="b">
        <v>1</v>
      </c>
      <c r="H12" s="12" t="s">
        <v>207</v>
      </c>
      <c r="I12" s="12">
        <v>64.0</v>
      </c>
      <c r="J12" s="12" t="s">
        <v>320</v>
      </c>
      <c r="K12" s="12">
        <v>19.0</v>
      </c>
      <c r="L12" s="12">
        <v>1.0</v>
      </c>
      <c r="M12" s="12" t="s">
        <v>400</v>
      </c>
      <c r="N12" s="12">
        <v>6.0</v>
      </c>
      <c r="O12" s="12" t="s">
        <v>379</v>
      </c>
      <c r="P12" s="12">
        <v>0.0</v>
      </c>
      <c r="Q12" s="12">
        <v>421.0</v>
      </c>
      <c r="R12" s="12">
        <v>6.0</v>
      </c>
      <c r="S12" s="12">
        <v>0.0</v>
      </c>
      <c r="T12" s="12">
        <v>25.0</v>
      </c>
      <c r="U12" s="12">
        <v>0.0</v>
      </c>
      <c r="V12" s="12">
        <v>0.0</v>
      </c>
      <c r="W12" s="14">
        <v>0.0</v>
      </c>
      <c r="X12" s="15"/>
    </row>
    <row r="13">
      <c r="A13" s="17" t="s">
        <v>404</v>
      </c>
      <c r="B13" s="17" t="s">
        <v>315</v>
      </c>
      <c r="C13" s="17" t="b">
        <v>1</v>
      </c>
      <c r="D13" s="17">
        <v>200.0</v>
      </c>
      <c r="E13" s="17" t="s">
        <v>404</v>
      </c>
      <c r="F13" s="17" t="s">
        <v>404</v>
      </c>
      <c r="G13" s="17" t="b">
        <v>1</v>
      </c>
      <c r="H13" s="17" t="s">
        <v>406</v>
      </c>
      <c r="I13" s="17">
        <v>67.0</v>
      </c>
      <c r="J13" s="17" t="s">
        <v>320</v>
      </c>
      <c r="K13" s="17">
        <v>19.0</v>
      </c>
      <c r="L13" s="17">
        <v>1.0</v>
      </c>
      <c r="M13" s="17" t="s">
        <v>408</v>
      </c>
      <c r="N13" s="17">
        <v>6.0</v>
      </c>
      <c r="O13" s="17" t="s">
        <v>379</v>
      </c>
      <c r="P13" s="17">
        <v>0.0</v>
      </c>
      <c r="Q13" s="17">
        <v>424.0</v>
      </c>
      <c r="R13" s="17">
        <v>6.0</v>
      </c>
      <c r="S13" s="17">
        <v>0.0</v>
      </c>
      <c r="T13" s="17">
        <v>25.0</v>
      </c>
      <c r="U13" s="17">
        <v>0.0</v>
      </c>
      <c r="V13" s="17">
        <v>0.0</v>
      </c>
      <c r="W13" s="19">
        <v>0.0</v>
      </c>
      <c r="X13" s="20"/>
    </row>
    <row r="14">
      <c r="A14" s="12" t="s">
        <v>411</v>
      </c>
      <c r="B14" s="12" t="s">
        <v>315</v>
      </c>
      <c r="C14" s="12" t="b">
        <v>1</v>
      </c>
      <c r="D14" s="12">
        <v>200.0</v>
      </c>
      <c r="E14" s="12" t="s">
        <v>411</v>
      </c>
      <c r="F14" s="12" t="s">
        <v>411</v>
      </c>
      <c r="G14" s="12" t="b">
        <v>1</v>
      </c>
      <c r="H14" s="12" t="s">
        <v>225</v>
      </c>
      <c r="I14" s="12">
        <v>62.0</v>
      </c>
      <c r="J14" s="12" t="s">
        <v>320</v>
      </c>
      <c r="K14" s="12">
        <v>19.0</v>
      </c>
      <c r="L14" s="12">
        <v>1.0</v>
      </c>
      <c r="M14" s="12" t="s">
        <v>416</v>
      </c>
      <c r="N14" s="12">
        <v>6.0</v>
      </c>
      <c r="O14" s="12" t="s">
        <v>379</v>
      </c>
      <c r="P14" s="12">
        <v>0.0</v>
      </c>
      <c r="Q14" s="12">
        <v>421.0</v>
      </c>
      <c r="R14" s="12">
        <v>6.0</v>
      </c>
      <c r="S14" s="12">
        <v>0.0</v>
      </c>
      <c r="T14" s="12">
        <v>25.0</v>
      </c>
      <c r="U14" s="12">
        <v>0.0</v>
      </c>
      <c r="V14" s="12">
        <v>0.0</v>
      </c>
      <c r="W14" s="14">
        <v>0.0</v>
      </c>
      <c r="X14" s="15"/>
    </row>
    <row r="15">
      <c r="A15" s="17" t="s">
        <v>381</v>
      </c>
      <c r="B15" s="17" t="s">
        <v>315</v>
      </c>
      <c r="C15" s="17" t="b">
        <v>1</v>
      </c>
      <c r="D15" s="17">
        <v>200.0</v>
      </c>
      <c r="E15" s="17" t="s">
        <v>381</v>
      </c>
      <c r="F15" s="17" t="s">
        <v>381</v>
      </c>
      <c r="G15" s="17" t="b">
        <v>1</v>
      </c>
      <c r="H15" s="17" t="s">
        <v>384</v>
      </c>
      <c r="I15" s="17">
        <v>63.0</v>
      </c>
      <c r="J15" s="17" t="s">
        <v>320</v>
      </c>
      <c r="K15" s="17">
        <v>19.0</v>
      </c>
      <c r="L15" s="17">
        <v>1.0</v>
      </c>
      <c r="M15" s="17" t="s">
        <v>422</v>
      </c>
      <c r="N15" s="17">
        <v>6.0</v>
      </c>
      <c r="O15" s="17" t="s">
        <v>379</v>
      </c>
      <c r="P15" s="17">
        <v>0.0</v>
      </c>
      <c r="Q15" s="17">
        <v>419.0</v>
      </c>
      <c r="R15" s="17">
        <v>6.0</v>
      </c>
      <c r="S15" s="17">
        <v>0.0</v>
      </c>
      <c r="T15" s="17">
        <v>25.0</v>
      </c>
      <c r="U15" s="17">
        <v>0.0</v>
      </c>
      <c r="V15" s="17">
        <v>1.0</v>
      </c>
      <c r="W15" s="19">
        <v>0.0</v>
      </c>
      <c r="X15" s="20">
        <v>6.0</v>
      </c>
    </row>
    <row r="16">
      <c r="A16" s="12" t="s">
        <v>425</v>
      </c>
      <c r="B16" s="12" t="s">
        <v>315</v>
      </c>
      <c r="C16" s="12" t="b">
        <v>1</v>
      </c>
      <c r="D16" s="12">
        <v>200.0</v>
      </c>
      <c r="E16" s="12" t="s">
        <v>425</v>
      </c>
      <c r="F16" s="12" t="s">
        <v>425</v>
      </c>
      <c r="G16" s="12" t="b">
        <v>1</v>
      </c>
      <c r="H16" s="12" t="s">
        <v>321</v>
      </c>
      <c r="I16" s="12">
        <v>63.0</v>
      </c>
      <c r="J16" s="12" t="s">
        <v>320</v>
      </c>
      <c r="K16" s="12">
        <v>19.0</v>
      </c>
      <c r="L16" s="12">
        <v>1.0</v>
      </c>
      <c r="M16" s="12" t="s">
        <v>428</v>
      </c>
      <c r="N16" s="12">
        <v>6.0</v>
      </c>
      <c r="O16" s="12" t="s">
        <v>379</v>
      </c>
      <c r="P16" s="12">
        <v>0.0</v>
      </c>
      <c r="Q16" s="12">
        <v>419.0</v>
      </c>
      <c r="R16" s="12">
        <v>6.0</v>
      </c>
      <c r="S16" s="12">
        <v>0.0</v>
      </c>
      <c r="T16" s="12">
        <v>25.0</v>
      </c>
      <c r="U16" s="12">
        <v>0.0</v>
      </c>
      <c r="V16" s="12">
        <v>0.0</v>
      </c>
      <c r="W16" s="14">
        <v>0.0</v>
      </c>
      <c r="X16" s="15"/>
    </row>
    <row r="17">
      <c r="A17" s="17" t="s">
        <v>431</v>
      </c>
      <c r="B17" s="17" t="s">
        <v>315</v>
      </c>
      <c r="C17" s="17" t="b">
        <v>1</v>
      </c>
      <c r="D17" s="17">
        <v>200.0</v>
      </c>
      <c r="E17" s="17" t="s">
        <v>431</v>
      </c>
      <c r="F17" s="17" t="s">
        <v>431</v>
      </c>
      <c r="G17" s="17" t="b">
        <v>1</v>
      </c>
      <c r="H17" s="17" t="s">
        <v>299</v>
      </c>
      <c r="I17" s="17">
        <v>64.0</v>
      </c>
      <c r="J17" s="17" t="s">
        <v>320</v>
      </c>
      <c r="K17" s="17">
        <v>19.0</v>
      </c>
      <c r="L17" s="17">
        <v>1.0</v>
      </c>
      <c r="M17" s="17" t="s">
        <v>434</v>
      </c>
      <c r="N17" s="17">
        <v>6.0</v>
      </c>
      <c r="O17" s="17" t="s">
        <v>379</v>
      </c>
      <c r="P17" s="17">
        <v>0.0</v>
      </c>
      <c r="Q17" s="17">
        <v>420.0</v>
      </c>
      <c r="R17" s="17">
        <v>6.0</v>
      </c>
      <c r="S17" s="17">
        <v>0.0</v>
      </c>
      <c r="T17" s="17">
        <v>25.0</v>
      </c>
      <c r="U17" s="17">
        <v>0.0</v>
      </c>
      <c r="V17" s="17">
        <v>0.0</v>
      </c>
      <c r="W17" s="19">
        <v>0.0</v>
      </c>
      <c r="X17" s="20"/>
    </row>
    <row r="18">
      <c r="A18" s="12" t="s">
        <v>385</v>
      </c>
      <c r="B18" s="12" t="s">
        <v>315</v>
      </c>
      <c r="C18" s="12" t="b">
        <v>1</v>
      </c>
      <c r="D18" s="12">
        <v>200.0</v>
      </c>
      <c r="E18" s="12" t="s">
        <v>385</v>
      </c>
      <c r="F18" s="12" t="s">
        <v>385</v>
      </c>
      <c r="G18" s="12" t="b">
        <v>1</v>
      </c>
      <c r="H18" s="12" t="s">
        <v>387</v>
      </c>
      <c r="I18" s="12">
        <v>63.0</v>
      </c>
      <c r="J18" s="12" t="s">
        <v>320</v>
      </c>
      <c r="K18" s="12">
        <v>19.0</v>
      </c>
      <c r="L18" s="12">
        <v>1.0</v>
      </c>
      <c r="M18" s="12" t="s">
        <v>438</v>
      </c>
      <c r="N18" s="12">
        <v>6.0</v>
      </c>
      <c r="O18" s="12" t="s">
        <v>379</v>
      </c>
      <c r="P18" s="12">
        <v>0.0</v>
      </c>
      <c r="Q18" s="12">
        <v>420.0</v>
      </c>
      <c r="R18" s="12">
        <v>6.0</v>
      </c>
      <c r="S18" s="12">
        <v>0.0</v>
      </c>
      <c r="T18" s="12">
        <v>25.0</v>
      </c>
      <c r="U18" s="12">
        <v>0.0</v>
      </c>
      <c r="V18" s="12">
        <v>1.0</v>
      </c>
      <c r="W18" s="14">
        <v>0.0</v>
      </c>
      <c r="X18" s="15">
        <v>8.0</v>
      </c>
    </row>
    <row r="19">
      <c r="A19" s="17" t="s">
        <v>442</v>
      </c>
      <c r="B19" s="17" t="s">
        <v>315</v>
      </c>
      <c r="C19" s="17" t="b">
        <v>1</v>
      </c>
      <c r="D19" s="17">
        <v>200.0</v>
      </c>
      <c r="E19" s="17" t="s">
        <v>442</v>
      </c>
      <c r="F19" s="17" t="s">
        <v>442</v>
      </c>
      <c r="G19" s="17" t="b">
        <v>1</v>
      </c>
      <c r="H19" s="17" t="s">
        <v>49</v>
      </c>
      <c r="I19" s="17">
        <v>68.0</v>
      </c>
      <c r="J19" s="17" t="s">
        <v>320</v>
      </c>
      <c r="K19" s="17">
        <v>19.0</v>
      </c>
      <c r="L19" s="17">
        <v>1.0</v>
      </c>
      <c r="M19" s="17" t="s">
        <v>447</v>
      </c>
      <c r="N19" s="17">
        <v>6.0</v>
      </c>
      <c r="O19" s="17" t="s">
        <v>379</v>
      </c>
      <c r="P19" s="17">
        <v>0.0</v>
      </c>
      <c r="Q19" s="17">
        <v>425.0</v>
      </c>
      <c r="R19" s="17">
        <v>6.0</v>
      </c>
      <c r="S19" s="17">
        <v>0.0</v>
      </c>
      <c r="T19" s="17">
        <v>25.0</v>
      </c>
      <c r="U19" s="17">
        <v>0.0</v>
      </c>
      <c r="V19" s="17">
        <v>0.0</v>
      </c>
      <c r="W19" s="19">
        <v>0.0</v>
      </c>
      <c r="X19" s="20"/>
    </row>
    <row r="20">
      <c r="A20" s="12" t="s">
        <v>452</v>
      </c>
      <c r="B20" s="12" t="s">
        <v>315</v>
      </c>
      <c r="C20" s="12" t="b">
        <v>1</v>
      </c>
      <c r="D20" s="12">
        <v>200.0</v>
      </c>
      <c r="E20" s="12" t="s">
        <v>452</v>
      </c>
      <c r="F20" s="12" t="s">
        <v>452</v>
      </c>
      <c r="G20" s="12" t="b">
        <v>1</v>
      </c>
      <c r="H20" s="12" t="s">
        <v>128</v>
      </c>
      <c r="I20" s="12">
        <v>65.0</v>
      </c>
      <c r="J20" s="12" t="s">
        <v>320</v>
      </c>
      <c r="K20" s="12">
        <v>19.0</v>
      </c>
      <c r="L20" s="12">
        <v>1.0</v>
      </c>
      <c r="M20" s="12" t="s">
        <v>460</v>
      </c>
      <c r="N20" s="12">
        <v>6.0</v>
      </c>
      <c r="O20" s="12" t="s">
        <v>379</v>
      </c>
      <c r="P20" s="12">
        <v>0.0</v>
      </c>
      <c r="Q20" s="12">
        <v>421.0</v>
      </c>
      <c r="R20" s="12">
        <v>6.0</v>
      </c>
      <c r="S20" s="12">
        <v>0.0</v>
      </c>
      <c r="T20" s="12">
        <v>25.0</v>
      </c>
      <c r="U20" s="12">
        <v>0.0</v>
      </c>
      <c r="V20" s="12">
        <v>0.0</v>
      </c>
      <c r="W20" s="14">
        <v>0.0</v>
      </c>
      <c r="X20" s="15"/>
    </row>
    <row r="21" ht="15.75" customHeight="1">
      <c r="A21" s="17" t="s">
        <v>464</v>
      </c>
      <c r="B21" s="17" t="s">
        <v>315</v>
      </c>
      <c r="C21" s="17" t="b">
        <v>1</v>
      </c>
      <c r="D21" s="17">
        <v>200.0</v>
      </c>
      <c r="E21" s="17" t="s">
        <v>464</v>
      </c>
      <c r="F21" s="17" t="s">
        <v>464</v>
      </c>
      <c r="G21" s="17" t="b">
        <v>1</v>
      </c>
      <c r="H21" s="17" t="s">
        <v>373</v>
      </c>
      <c r="I21" s="17">
        <v>70.0</v>
      </c>
      <c r="J21" s="17" t="s">
        <v>320</v>
      </c>
      <c r="K21" s="17">
        <v>19.0</v>
      </c>
      <c r="L21" s="17">
        <v>1.0</v>
      </c>
      <c r="M21" s="17" t="s">
        <v>467</v>
      </c>
      <c r="N21" s="17">
        <v>6.0</v>
      </c>
      <c r="O21" s="17" t="s">
        <v>379</v>
      </c>
      <c r="P21" s="17">
        <v>0.0</v>
      </c>
      <c r="Q21" s="17">
        <v>424.0</v>
      </c>
      <c r="R21" s="17">
        <v>6.0</v>
      </c>
      <c r="S21" s="17">
        <v>0.0</v>
      </c>
      <c r="T21" s="17">
        <v>25.0</v>
      </c>
      <c r="U21" s="17">
        <v>0.0</v>
      </c>
      <c r="V21" s="17">
        <v>0.0</v>
      </c>
      <c r="W21" s="19">
        <v>0.0</v>
      </c>
      <c r="X21" s="20"/>
    </row>
    <row r="22" ht="15.75" customHeight="1">
      <c r="A22" s="12" t="s">
        <v>470</v>
      </c>
      <c r="B22" s="12" t="s">
        <v>315</v>
      </c>
      <c r="C22" s="12" t="b">
        <v>1</v>
      </c>
      <c r="D22" s="12">
        <v>200.0</v>
      </c>
      <c r="E22" s="12" t="s">
        <v>470</v>
      </c>
      <c r="F22" s="12" t="s">
        <v>470</v>
      </c>
      <c r="G22" s="12" t="b">
        <v>1</v>
      </c>
      <c r="H22" s="12" t="s">
        <v>472</v>
      </c>
      <c r="I22" s="12">
        <v>67.0</v>
      </c>
      <c r="J22" s="12" t="s">
        <v>475</v>
      </c>
      <c r="K22" s="12">
        <v>37.0</v>
      </c>
      <c r="L22" s="12">
        <v>1.0</v>
      </c>
      <c r="M22" s="12" t="s">
        <v>477</v>
      </c>
      <c r="N22" s="12">
        <v>6.0</v>
      </c>
      <c r="O22" s="12" t="s">
        <v>308</v>
      </c>
      <c r="P22" s="12">
        <v>0.0</v>
      </c>
      <c r="Q22" s="12">
        <v>393.0</v>
      </c>
      <c r="R22" s="12">
        <v>8.0</v>
      </c>
      <c r="S22" s="12">
        <v>0.0</v>
      </c>
      <c r="T22" s="12">
        <v>28.0</v>
      </c>
      <c r="U22" s="12">
        <v>0.0</v>
      </c>
      <c r="V22" s="12">
        <v>0.0</v>
      </c>
      <c r="W22" s="14">
        <v>0.0</v>
      </c>
      <c r="X22" s="15"/>
    </row>
    <row r="23" ht="15.75" customHeight="1">
      <c r="A23" s="17" t="s">
        <v>480</v>
      </c>
      <c r="B23" s="17" t="s">
        <v>315</v>
      </c>
      <c r="C23" s="17" t="b">
        <v>1</v>
      </c>
      <c r="D23" s="17">
        <v>200.0</v>
      </c>
      <c r="E23" s="17" t="s">
        <v>480</v>
      </c>
      <c r="F23" s="17" t="s">
        <v>480</v>
      </c>
      <c r="G23" s="17" t="b">
        <v>1</v>
      </c>
      <c r="H23" s="17" t="s">
        <v>482</v>
      </c>
      <c r="I23" s="17">
        <v>70.0</v>
      </c>
      <c r="J23" s="17" t="s">
        <v>483</v>
      </c>
      <c r="K23" s="17">
        <v>40.0</v>
      </c>
      <c r="L23" s="17">
        <v>1.0</v>
      </c>
      <c r="M23" s="17" t="s">
        <v>484</v>
      </c>
      <c r="N23" s="17">
        <v>6.0</v>
      </c>
      <c r="O23" s="17" t="s">
        <v>308</v>
      </c>
      <c r="P23" s="17">
        <v>0.0</v>
      </c>
      <c r="Q23" s="17">
        <v>344.0</v>
      </c>
      <c r="R23" s="17">
        <v>3.0</v>
      </c>
      <c r="S23" s="17">
        <v>0.0</v>
      </c>
      <c r="T23" s="17">
        <v>23.0</v>
      </c>
      <c r="U23" s="17">
        <v>0.0</v>
      </c>
      <c r="V23" s="17">
        <v>0.0</v>
      </c>
      <c r="W23" s="19">
        <v>0.0</v>
      </c>
      <c r="X23" s="20"/>
    </row>
    <row r="24" ht="15.75" customHeight="1">
      <c r="A24" s="12" t="s">
        <v>488</v>
      </c>
      <c r="B24" s="12" t="s">
        <v>315</v>
      </c>
      <c r="C24" s="12" t="b">
        <v>1</v>
      </c>
      <c r="D24" s="12">
        <v>200.0</v>
      </c>
      <c r="E24" s="12" t="s">
        <v>488</v>
      </c>
      <c r="F24" s="12" t="s">
        <v>488</v>
      </c>
      <c r="G24" s="12" t="b">
        <v>1</v>
      </c>
      <c r="H24" s="12" t="s">
        <v>491</v>
      </c>
      <c r="I24" s="12">
        <v>61.0</v>
      </c>
      <c r="J24" s="12" t="s">
        <v>492</v>
      </c>
      <c r="K24" s="12">
        <v>31.0</v>
      </c>
      <c r="L24" s="12">
        <v>1.0</v>
      </c>
      <c r="M24" s="12" t="s">
        <v>494</v>
      </c>
      <c r="N24" s="12">
        <v>6.0</v>
      </c>
      <c r="O24" s="12" t="s">
        <v>308</v>
      </c>
      <c r="P24" s="12">
        <v>0.0</v>
      </c>
      <c r="Q24" s="12">
        <v>373.0</v>
      </c>
      <c r="R24" s="12">
        <v>6.0</v>
      </c>
      <c r="S24" s="12">
        <v>0.0</v>
      </c>
      <c r="T24" s="12">
        <v>26.0</v>
      </c>
      <c r="U24" s="12">
        <v>0.0</v>
      </c>
      <c r="V24" s="12">
        <v>0.0</v>
      </c>
      <c r="W24" s="14">
        <v>0.0</v>
      </c>
      <c r="X24" s="15"/>
    </row>
    <row r="25" ht="15.75" customHeight="1">
      <c r="A25" s="17" t="s">
        <v>322</v>
      </c>
      <c r="B25" s="17" t="s">
        <v>315</v>
      </c>
      <c r="C25" s="17" t="b">
        <v>1</v>
      </c>
      <c r="D25" s="17">
        <v>200.0</v>
      </c>
      <c r="E25" s="17" t="s">
        <v>322</v>
      </c>
      <c r="F25" s="17" t="s">
        <v>322</v>
      </c>
      <c r="G25" s="17" t="b">
        <v>1</v>
      </c>
      <c r="H25" s="17" t="s">
        <v>326</v>
      </c>
      <c r="I25" s="17">
        <v>91.0</v>
      </c>
      <c r="J25" s="17" t="s">
        <v>498</v>
      </c>
      <c r="K25" s="17">
        <v>100.0</v>
      </c>
      <c r="L25" s="17">
        <v>1.0</v>
      </c>
      <c r="M25" s="17" t="s">
        <v>499</v>
      </c>
      <c r="N25" s="17">
        <v>6.0</v>
      </c>
      <c r="O25" s="17" t="s">
        <v>308</v>
      </c>
      <c r="P25" s="17">
        <v>0.0</v>
      </c>
      <c r="Q25" s="17">
        <v>343.0</v>
      </c>
      <c r="R25" s="17">
        <v>2.0</v>
      </c>
      <c r="S25" s="17">
        <v>0.0</v>
      </c>
      <c r="T25" s="17">
        <v>21.0</v>
      </c>
      <c r="U25" s="17">
        <v>0.0</v>
      </c>
      <c r="V25" s="17">
        <v>6.0</v>
      </c>
      <c r="W25" s="19">
        <v>0.0</v>
      </c>
      <c r="X25" s="20">
        <v>8.33</v>
      </c>
    </row>
    <row r="26" ht="15.75" customHeight="1">
      <c r="A26" s="12" t="s">
        <v>109</v>
      </c>
      <c r="B26" s="12" t="s">
        <v>315</v>
      </c>
      <c r="C26" s="12" t="b">
        <v>0</v>
      </c>
      <c r="D26" s="12">
        <v>200.0</v>
      </c>
      <c r="E26" s="12" t="s">
        <v>114</v>
      </c>
      <c r="F26" s="12" t="s">
        <v>114</v>
      </c>
      <c r="G26" s="12" t="b">
        <v>0</v>
      </c>
      <c r="H26" s="12" t="s">
        <v>116</v>
      </c>
      <c r="I26" s="12">
        <v>71.0</v>
      </c>
      <c r="J26" s="12" t="s">
        <v>320</v>
      </c>
      <c r="K26" s="12">
        <v>19.0</v>
      </c>
      <c r="L26" s="12">
        <v>1.0</v>
      </c>
      <c r="M26" s="12" t="s">
        <v>504</v>
      </c>
      <c r="N26" s="12">
        <v>6.0</v>
      </c>
      <c r="O26" s="12" t="s">
        <v>505</v>
      </c>
      <c r="P26" s="12">
        <v>0.0</v>
      </c>
      <c r="Q26" s="12">
        <v>341.0</v>
      </c>
      <c r="R26" s="12">
        <v>2.0</v>
      </c>
      <c r="S26" s="12">
        <v>0.0</v>
      </c>
      <c r="T26" s="12">
        <v>21.0</v>
      </c>
      <c r="U26" s="12">
        <v>2.0</v>
      </c>
      <c r="V26" s="12">
        <v>81.0</v>
      </c>
      <c r="W26" s="14">
        <v>0.024700000000000003</v>
      </c>
      <c r="X26" s="15">
        <v>11.73</v>
      </c>
    </row>
    <row r="27" ht="15.75" customHeight="1">
      <c r="A27" s="17" t="s">
        <v>77</v>
      </c>
      <c r="B27" s="17" t="s">
        <v>315</v>
      </c>
      <c r="C27" s="17" t="b">
        <v>0</v>
      </c>
      <c r="D27" s="17">
        <v>200.0</v>
      </c>
      <c r="E27" s="17" t="s">
        <v>79</v>
      </c>
      <c r="F27" s="17" t="s">
        <v>79</v>
      </c>
      <c r="G27" s="17" t="b">
        <v>0</v>
      </c>
      <c r="H27" s="17" t="s">
        <v>80</v>
      </c>
      <c r="I27" s="17">
        <v>91.0</v>
      </c>
      <c r="J27" s="17" t="s">
        <v>516</v>
      </c>
      <c r="K27" s="17">
        <v>58.0</v>
      </c>
      <c r="L27" s="17">
        <v>1.0</v>
      </c>
      <c r="M27" s="17" t="s">
        <v>519</v>
      </c>
      <c r="N27" s="17">
        <v>6.0</v>
      </c>
      <c r="O27" s="17" t="s">
        <v>308</v>
      </c>
      <c r="P27" s="17">
        <v>0.0</v>
      </c>
      <c r="Q27" s="17">
        <v>400.0</v>
      </c>
      <c r="R27" s="17">
        <v>3.0</v>
      </c>
      <c r="S27" s="17">
        <v>0.0</v>
      </c>
      <c r="T27" s="17">
        <v>22.0</v>
      </c>
      <c r="U27" s="17">
        <v>3.0</v>
      </c>
      <c r="V27" s="17">
        <v>16.0</v>
      </c>
      <c r="W27" s="19">
        <v>0.1875</v>
      </c>
      <c r="X27" s="20">
        <v>4.31</v>
      </c>
    </row>
    <row r="28" ht="15.75" customHeight="1">
      <c r="A28" s="12" t="s">
        <v>79</v>
      </c>
      <c r="B28" s="12" t="s">
        <v>315</v>
      </c>
      <c r="C28" s="12" t="b">
        <v>0</v>
      </c>
      <c r="D28" s="12">
        <v>200.0</v>
      </c>
      <c r="E28" s="12" t="s">
        <v>79</v>
      </c>
      <c r="F28" s="12" t="s">
        <v>79</v>
      </c>
      <c r="G28" s="12" t="b">
        <v>1</v>
      </c>
      <c r="H28" s="12" t="s">
        <v>80</v>
      </c>
      <c r="I28" s="12">
        <v>91.0</v>
      </c>
      <c r="J28" s="12" t="s">
        <v>516</v>
      </c>
      <c r="K28" s="12">
        <v>58.0</v>
      </c>
      <c r="L28" s="12">
        <v>1.0</v>
      </c>
      <c r="M28" s="12" t="s">
        <v>519</v>
      </c>
      <c r="N28" s="12">
        <v>6.0</v>
      </c>
      <c r="O28" s="12" t="s">
        <v>308</v>
      </c>
      <c r="P28" s="12">
        <v>0.0</v>
      </c>
      <c r="Q28" s="12">
        <v>400.0</v>
      </c>
      <c r="R28" s="12">
        <v>3.0</v>
      </c>
      <c r="S28" s="12">
        <v>0.0</v>
      </c>
      <c r="T28" s="12">
        <v>22.0</v>
      </c>
      <c r="U28" s="12">
        <v>0.0</v>
      </c>
      <c r="V28" s="12">
        <v>14.0</v>
      </c>
      <c r="W28" s="14">
        <v>0.0</v>
      </c>
      <c r="X28" s="15">
        <v>9.14</v>
      </c>
    </row>
    <row r="29" ht="15.75" customHeight="1">
      <c r="A29" s="17" t="s">
        <v>176</v>
      </c>
      <c r="B29" s="17" t="s">
        <v>315</v>
      </c>
      <c r="C29" s="17" t="b">
        <v>0</v>
      </c>
      <c r="D29" s="17">
        <v>200.0</v>
      </c>
      <c r="E29" s="17" t="s">
        <v>177</v>
      </c>
      <c r="F29" s="17" t="s">
        <v>177</v>
      </c>
      <c r="G29" s="17" t="b">
        <v>0</v>
      </c>
      <c r="H29" s="17" t="s">
        <v>178</v>
      </c>
      <c r="I29" s="17">
        <v>91.0</v>
      </c>
      <c r="J29" s="17" t="s">
        <v>563</v>
      </c>
      <c r="K29" s="17">
        <v>67.0</v>
      </c>
      <c r="L29" s="17">
        <v>1.0</v>
      </c>
      <c r="M29" s="17" t="s">
        <v>569</v>
      </c>
      <c r="N29" s="17">
        <v>6.0</v>
      </c>
      <c r="O29" s="17" t="s">
        <v>308</v>
      </c>
      <c r="P29" s="17">
        <v>0.0</v>
      </c>
      <c r="Q29" s="17">
        <v>424.0</v>
      </c>
      <c r="R29" s="17">
        <v>3.0</v>
      </c>
      <c r="S29" s="17">
        <v>0.0</v>
      </c>
      <c r="T29" s="17">
        <v>22.0</v>
      </c>
      <c r="U29" s="17">
        <v>1.0</v>
      </c>
      <c r="V29" s="17">
        <v>40.0</v>
      </c>
      <c r="W29" s="19">
        <v>0.025</v>
      </c>
      <c r="X29" s="20">
        <v>9.57</v>
      </c>
    </row>
    <row r="30" ht="15.75" customHeight="1">
      <c r="A30" s="12" t="s">
        <v>242</v>
      </c>
      <c r="B30" s="12" t="s">
        <v>315</v>
      </c>
      <c r="C30" s="12" t="b">
        <v>0</v>
      </c>
      <c r="D30" s="12">
        <v>200.0</v>
      </c>
      <c r="E30" s="12" t="s">
        <v>242</v>
      </c>
      <c r="F30" s="12" t="s">
        <v>242</v>
      </c>
      <c r="G30" s="12" t="b">
        <v>1</v>
      </c>
      <c r="H30" s="12" t="s">
        <v>243</v>
      </c>
      <c r="I30" s="12">
        <v>73.0</v>
      </c>
      <c r="J30" s="12" t="s">
        <v>589</v>
      </c>
      <c r="K30" s="12">
        <v>54.0</v>
      </c>
      <c r="L30" s="12">
        <v>1.0</v>
      </c>
      <c r="M30" s="12" t="s">
        <v>591</v>
      </c>
      <c r="N30" s="12">
        <v>6.0</v>
      </c>
      <c r="O30" s="12" t="s">
        <v>594</v>
      </c>
      <c r="P30" s="12">
        <v>0.0</v>
      </c>
      <c r="Q30" s="12">
        <v>524.0</v>
      </c>
      <c r="R30" s="12">
        <v>5.0</v>
      </c>
      <c r="S30" s="12">
        <v>0.0</v>
      </c>
      <c r="T30" s="12">
        <v>35.0</v>
      </c>
      <c r="U30" s="12">
        <v>0.0</v>
      </c>
      <c r="V30" s="12">
        <v>22.0</v>
      </c>
      <c r="W30" s="14">
        <v>0.0</v>
      </c>
      <c r="X30" s="15">
        <v>13.73</v>
      </c>
    </row>
    <row r="31" ht="15.75" customHeight="1">
      <c r="A31" s="17" t="s">
        <v>603</v>
      </c>
      <c r="B31" s="17" t="s">
        <v>315</v>
      </c>
      <c r="C31" s="17" t="b">
        <v>1</v>
      </c>
      <c r="D31" s="17">
        <v>200.0</v>
      </c>
      <c r="E31" s="17" t="s">
        <v>603</v>
      </c>
      <c r="F31" s="17" t="s">
        <v>603</v>
      </c>
      <c r="G31" s="17" t="b">
        <v>1</v>
      </c>
      <c r="H31" s="17" t="s">
        <v>391</v>
      </c>
      <c r="I31" s="17">
        <v>89.0</v>
      </c>
      <c r="J31" s="17" t="s">
        <v>609</v>
      </c>
      <c r="K31" s="17">
        <v>145.0</v>
      </c>
      <c r="L31" s="17">
        <v>1.0</v>
      </c>
      <c r="M31" s="17" t="s">
        <v>613</v>
      </c>
      <c r="N31" s="17">
        <v>6.0</v>
      </c>
      <c r="O31" s="17" t="s">
        <v>616</v>
      </c>
      <c r="P31" s="17">
        <v>0.0</v>
      </c>
      <c r="Q31" s="17">
        <v>909.0</v>
      </c>
      <c r="R31" s="17">
        <v>26.0</v>
      </c>
      <c r="S31" s="17">
        <v>0.0</v>
      </c>
      <c r="T31" s="17">
        <v>32.0</v>
      </c>
      <c r="U31" s="17">
        <v>0.0</v>
      </c>
      <c r="V31" s="17">
        <v>0.0</v>
      </c>
      <c r="W31" s="19">
        <v>0.0</v>
      </c>
      <c r="X31" s="20"/>
    </row>
    <row r="32" ht="15.75" customHeight="1">
      <c r="A32" s="12" t="s">
        <v>626</v>
      </c>
      <c r="B32" s="12" t="s">
        <v>315</v>
      </c>
      <c r="C32" s="12" t="b">
        <v>1</v>
      </c>
      <c r="D32" s="12">
        <v>200.0</v>
      </c>
      <c r="E32" s="12" t="s">
        <v>626</v>
      </c>
      <c r="F32" s="12" t="s">
        <v>626</v>
      </c>
      <c r="G32" s="12" t="b">
        <v>1</v>
      </c>
      <c r="H32" s="12" t="s">
        <v>628</v>
      </c>
      <c r="I32" s="12">
        <v>89.0</v>
      </c>
      <c r="J32" s="12" t="s">
        <v>629</v>
      </c>
      <c r="K32" s="12">
        <v>107.0</v>
      </c>
      <c r="L32" s="12">
        <v>1.0</v>
      </c>
      <c r="M32" s="12" t="s">
        <v>631</v>
      </c>
      <c r="N32" s="12">
        <v>6.0</v>
      </c>
      <c r="O32" s="12" t="s">
        <v>616</v>
      </c>
      <c r="P32" s="12">
        <v>0.0</v>
      </c>
      <c r="Q32" s="12">
        <v>640.0</v>
      </c>
      <c r="R32" s="12">
        <v>12.0</v>
      </c>
      <c r="S32" s="12">
        <v>0.0</v>
      </c>
      <c r="T32" s="12">
        <v>31.0</v>
      </c>
      <c r="U32" s="12">
        <v>0.0</v>
      </c>
      <c r="V32" s="12">
        <v>0.0</v>
      </c>
      <c r="W32" s="14">
        <v>0.0</v>
      </c>
      <c r="X32" s="15"/>
    </row>
    <row r="33" ht="15.75" customHeight="1">
      <c r="A33" s="17" t="s">
        <v>357</v>
      </c>
      <c r="B33" s="17" t="s">
        <v>476</v>
      </c>
      <c r="C33" s="17" t="b">
        <v>1</v>
      </c>
      <c r="D33" s="17">
        <v>200.0</v>
      </c>
      <c r="E33" s="17" t="s">
        <v>357</v>
      </c>
      <c r="F33" s="17" t="s">
        <v>357</v>
      </c>
      <c r="G33" s="17" t="b">
        <v>1</v>
      </c>
      <c r="H33" s="17" t="s">
        <v>359</v>
      </c>
      <c r="I33" s="17">
        <v>56.0</v>
      </c>
      <c r="J33" s="17" t="s">
        <v>635</v>
      </c>
      <c r="K33" s="17">
        <v>30.0</v>
      </c>
      <c r="L33" s="17">
        <v>1.0</v>
      </c>
      <c r="M33" s="17" t="s">
        <v>635</v>
      </c>
      <c r="N33" s="17">
        <v>6.0</v>
      </c>
      <c r="O33" s="17" t="s">
        <v>308</v>
      </c>
      <c r="P33" s="17">
        <v>0.0</v>
      </c>
      <c r="Q33" s="17">
        <v>581.0</v>
      </c>
      <c r="R33" s="17">
        <v>12.0</v>
      </c>
      <c r="S33" s="17">
        <v>0.0</v>
      </c>
      <c r="T33" s="17">
        <v>32.0</v>
      </c>
      <c r="U33" s="17">
        <v>0.0</v>
      </c>
      <c r="V33" s="17">
        <v>2.0</v>
      </c>
      <c r="W33" s="19">
        <v>0.0</v>
      </c>
      <c r="X33" s="20">
        <v>3.5</v>
      </c>
    </row>
    <row r="34" ht="15.75" customHeight="1">
      <c r="A34" s="12" t="s">
        <v>165</v>
      </c>
      <c r="B34" s="12" t="s">
        <v>476</v>
      </c>
      <c r="C34" s="12" t="b">
        <v>0</v>
      </c>
      <c r="D34" s="12">
        <v>200.0</v>
      </c>
      <c r="E34" s="12" t="s">
        <v>165</v>
      </c>
      <c r="F34" s="12" t="s">
        <v>165</v>
      </c>
      <c r="G34" s="12" t="b">
        <v>1</v>
      </c>
      <c r="H34" s="12" t="s">
        <v>168</v>
      </c>
      <c r="I34" s="12">
        <v>91.0</v>
      </c>
      <c r="J34" s="12" t="s">
        <v>641</v>
      </c>
      <c r="K34" s="12">
        <v>90.0</v>
      </c>
      <c r="L34" s="12">
        <v>1.0</v>
      </c>
      <c r="M34" s="12" t="s">
        <v>642</v>
      </c>
      <c r="N34" s="12">
        <v>6.0</v>
      </c>
      <c r="O34" s="12" t="s">
        <v>308</v>
      </c>
      <c r="P34" s="12">
        <v>0.0</v>
      </c>
      <c r="Q34" s="12">
        <v>437.0</v>
      </c>
      <c r="R34" s="12">
        <v>2.0</v>
      </c>
      <c r="S34" s="12">
        <v>0.0</v>
      </c>
      <c r="T34" s="12">
        <v>22.0</v>
      </c>
      <c r="U34" s="12">
        <v>1.0</v>
      </c>
      <c r="V34" s="12">
        <v>51.0</v>
      </c>
      <c r="W34" s="14">
        <v>0.0196</v>
      </c>
      <c r="X34" s="15">
        <v>20.9</v>
      </c>
    </row>
    <row r="35" ht="15.75" customHeight="1">
      <c r="A35" s="17" t="s">
        <v>260</v>
      </c>
      <c r="B35" s="17" t="s">
        <v>476</v>
      </c>
      <c r="C35" s="17" t="b">
        <v>0</v>
      </c>
      <c r="D35" s="17">
        <v>200.0</v>
      </c>
      <c r="E35" s="17" t="s">
        <v>260</v>
      </c>
      <c r="F35" s="17" t="s">
        <v>260</v>
      </c>
      <c r="G35" s="17" t="b">
        <v>1</v>
      </c>
      <c r="H35" s="17" t="s">
        <v>263</v>
      </c>
      <c r="I35" s="17">
        <v>69.0</v>
      </c>
      <c r="J35" s="17" t="s">
        <v>645</v>
      </c>
      <c r="K35" s="17">
        <v>78.0</v>
      </c>
      <c r="L35" s="17">
        <v>1.0</v>
      </c>
      <c r="M35" s="17" t="s">
        <v>647</v>
      </c>
      <c r="N35" s="17">
        <v>6.0</v>
      </c>
      <c r="O35" s="17" t="s">
        <v>308</v>
      </c>
      <c r="P35" s="17">
        <v>0.0</v>
      </c>
      <c r="Q35" s="17">
        <v>481.0</v>
      </c>
      <c r="R35" s="17">
        <v>2.0</v>
      </c>
      <c r="S35" s="17">
        <v>0.0</v>
      </c>
      <c r="T35" s="17">
        <v>21.0</v>
      </c>
      <c r="U35" s="17">
        <v>0.0</v>
      </c>
      <c r="V35" s="17">
        <v>14.0</v>
      </c>
      <c r="W35" s="19">
        <v>0.0</v>
      </c>
      <c r="X35" s="20">
        <v>67.21</v>
      </c>
    </row>
    <row r="36" ht="15.75" customHeight="1">
      <c r="A36" s="12" t="s">
        <v>65</v>
      </c>
      <c r="B36" s="12" t="s">
        <v>476</v>
      </c>
      <c r="C36" s="12" t="b">
        <v>0</v>
      </c>
      <c r="D36" s="12">
        <v>200.0</v>
      </c>
      <c r="E36" s="12" t="s">
        <v>65</v>
      </c>
      <c r="F36" s="12" t="s">
        <v>65</v>
      </c>
      <c r="G36" s="12" t="b">
        <v>1</v>
      </c>
      <c r="H36" s="12" t="s">
        <v>69</v>
      </c>
      <c r="I36" s="12">
        <v>91.0</v>
      </c>
      <c r="J36" s="12" t="s">
        <v>651</v>
      </c>
      <c r="K36" s="12">
        <v>128.0</v>
      </c>
      <c r="L36" s="12">
        <v>1.0</v>
      </c>
      <c r="M36" s="12" t="s">
        <v>652</v>
      </c>
      <c r="N36" s="12">
        <v>6.0</v>
      </c>
      <c r="O36" s="12" t="s">
        <v>308</v>
      </c>
      <c r="P36" s="12">
        <v>0.0</v>
      </c>
      <c r="Q36" s="12">
        <v>423.0</v>
      </c>
      <c r="R36" s="12">
        <v>2.0</v>
      </c>
      <c r="S36" s="12">
        <v>0.0</v>
      </c>
      <c r="T36" s="12">
        <v>21.0</v>
      </c>
      <c r="U36" s="12">
        <v>3.0</v>
      </c>
      <c r="V36" s="12">
        <v>87.0</v>
      </c>
      <c r="W36" s="14">
        <v>0.0345</v>
      </c>
      <c r="X36" s="15">
        <v>25.53</v>
      </c>
    </row>
    <row r="37" ht="15.75" customHeight="1">
      <c r="A37" s="17" t="s">
        <v>215</v>
      </c>
      <c r="B37" s="17" t="s">
        <v>476</v>
      </c>
      <c r="C37" s="17" t="b">
        <v>1</v>
      </c>
      <c r="D37" s="17">
        <v>200.0</v>
      </c>
      <c r="E37" s="17" t="s">
        <v>215</v>
      </c>
      <c r="F37" s="17" t="s">
        <v>215</v>
      </c>
      <c r="G37" s="17" t="b">
        <v>1</v>
      </c>
      <c r="H37" s="17" t="s">
        <v>217</v>
      </c>
      <c r="I37" s="17">
        <v>91.0</v>
      </c>
      <c r="J37" s="17" t="s">
        <v>635</v>
      </c>
      <c r="K37" s="17">
        <v>30.0</v>
      </c>
      <c r="L37" s="17">
        <v>1.0</v>
      </c>
      <c r="M37" s="17" t="s">
        <v>661</v>
      </c>
      <c r="N37" s="17">
        <v>6.0</v>
      </c>
      <c r="O37" s="17" t="s">
        <v>308</v>
      </c>
      <c r="P37" s="17">
        <v>0.0</v>
      </c>
      <c r="Q37" s="17">
        <v>584.0</v>
      </c>
      <c r="R37" s="17">
        <v>14.0</v>
      </c>
      <c r="S37" s="17">
        <v>0.0</v>
      </c>
      <c r="T37" s="17">
        <v>33.0</v>
      </c>
      <c r="U37" s="17">
        <v>0.0</v>
      </c>
      <c r="V37" s="17">
        <v>93.0</v>
      </c>
      <c r="W37" s="19">
        <v>0.0</v>
      </c>
      <c r="X37" s="20">
        <v>37.63</v>
      </c>
    </row>
    <row r="38" ht="15.75" customHeight="1">
      <c r="A38" s="12" t="s">
        <v>670</v>
      </c>
      <c r="B38" s="12" t="s">
        <v>476</v>
      </c>
      <c r="C38" s="12" t="b">
        <v>1</v>
      </c>
      <c r="D38" s="12">
        <v>200.0</v>
      </c>
      <c r="E38" s="12" t="s">
        <v>670</v>
      </c>
      <c r="F38" s="12" t="s">
        <v>670</v>
      </c>
      <c r="G38" s="12" t="b">
        <v>1</v>
      </c>
      <c r="H38" s="12" t="s">
        <v>674</v>
      </c>
      <c r="I38" s="12">
        <v>91.0</v>
      </c>
      <c r="J38" s="12" t="s">
        <v>635</v>
      </c>
      <c r="K38" s="12">
        <v>30.0</v>
      </c>
      <c r="L38" s="12">
        <v>1.0</v>
      </c>
      <c r="M38" s="12" t="s">
        <v>677</v>
      </c>
      <c r="N38" s="12">
        <v>6.0</v>
      </c>
      <c r="O38" s="12" t="s">
        <v>308</v>
      </c>
      <c r="P38" s="12">
        <v>0.0</v>
      </c>
      <c r="Q38" s="12">
        <v>593.0</v>
      </c>
      <c r="R38" s="12">
        <v>14.0</v>
      </c>
      <c r="S38" s="12">
        <v>0.0</v>
      </c>
      <c r="T38" s="12">
        <v>33.0</v>
      </c>
      <c r="U38" s="12">
        <v>0.0</v>
      </c>
      <c r="V38" s="12">
        <v>0.0</v>
      </c>
      <c r="W38" s="14">
        <v>0.0</v>
      </c>
      <c r="X38" s="15"/>
    </row>
    <row r="39" ht="15.75" customHeight="1">
      <c r="A39" s="17" t="s">
        <v>680</v>
      </c>
      <c r="B39" s="17" t="s">
        <v>476</v>
      </c>
      <c r="C39" s="17" t="b">
        <v>1</v>
      </c>
      <c r="D39" s="17">
        <v>200.0</v>
      </c>
      <c r="E39" s="17" t="s">
        <v>680</v>
      </c>
      <c r="F39" s="17" t="s">
        <v>680</v>
      </c>
      <c r="G39" s="17" t="b">
        <v>1</v>
      </c>
      <c r="H39" s="17" t="s">
        <v>374</v>
      </c>
      <c r="I39" s="17">
        <v>77.0</v>
      </c>
      <c r="J39" s="17" t="s">
        <v>635</v>
      </c>
      <c r="K39" s="17">
        <v>30.0</v>
      </c>
      <c r="L39" s="17">
        <v>1.0</v>
      </c>
      <c r="M39" s="17" t="s">
        <v>377</v>
      </c>
      <c r="N39" s="17">
        <v>6.0</v>
      </c>
      <c r="O39" s="17" t="s">
        <v>379</v>
      </c>
      <c r="P39" s="17">
        <v>0.0</v>
      </c>
      <c r="Q39" s="17">
        <v>499.0</v>
      </c>
      <c r="R39" s="17">
        <v>6.0</v>
      </c>
      <c r="S39" s="17">
        <v>0.0</v>
      </c>
      <c r="T39" s="17">
        <v>25.0</v>
      </c>
      <c r="U39" s="17">
        <v>0.0</v>
      </c>
      <c r="V39" s="17">
        <v>0.0</v>
      </c>
      <c r="W39" s="19">
        <v>0.0</v>
      </c>
      <c r="X39" s="20"/>
    </row>
    <row r="40" ht="15.75" customHeight="1">
      <c r="A40" s="12" t="s">
        <v>684</v>
      </c>
      <c r="B40" s="12" t="s">
        <v>476</v>
      </c>
      <c r="C40" s="12" t="b">
        <v>1</v>
      </c>
      <c r="D40" s="12">
        <v>200.0</v>
      </c>
      <c r="E40" s="12" t="s">
        <v>684</v>
      </c>
      <c r="F40" s="12" t="s">
        <v>684</v>
      </c>
      <c r="G40" s="12" t="b">
        <v>1</v>
      </c>
      <c r="H40" s="12" t="s">
        <v>329</v>
      </c>
      <c r="I40" s="12">
        <v>62.0</v>
      </c>
      <c r="J40" s="12" t="s">
        <v>635</v>
      </c>
      <c r="K40" s="12">
        <v>30.0</v>
      </c>
      <c r="L40" s="12">
        <v>1.0</v>
      </c>
      <c r="M40" s="12" t="s">
        <v>390</v>
      </c>
      <c r="N40" s="12">
        <v>6.0</v>
      </c>
      <c r="O40" s="12" t="s">
        <v>379</v>
      </c>
      <c r="P40" s="12">
        <v>0.0</v>
      </c>
      <c r="Q40" s="12">
        <v>496.0</v>
      </c>
      <c r="R40" s="12">
        <v>6.0</v>
      </c>
      <c r="S40" s="12">
        <v>0.0</v>
      </c>
      <c r="T40" s="12">
        <v>25.0</v>
      </c>
      <c r="U40" s="12">
        <v>0.0</v>
      </c>
      <c r="V40" s="12">
        <v>0.0</v>
      </c>
      <c r="W40" s="14">
        <v>0.0</v>
      </c>
      <c r="X40" s="15"/>
    </row>
    <row r="41" ht="15.75" customHeight="1">
      <c r="A41" s="17" t="s">
        <v>202</v>
      </c>
      <c r="B41" s="17" t="s">
        <v>476</v>
      </c>
      <c r="C41" s="17" t="b">
        <v>1</v>
      </c>
      <c r="D41" s="17">
        <v>200.0</v>
      </c>
      <c r="E41" s="17" t="s">
        <v>202</v>
      </c>
      <c r="F41" s="17" t="s">
        <v>202</v>
      </c>
      <c r="G41" s="17" t="b">
        <v>1</v>
      </c>
      <c r="H41" s="17" t="s">
        <v>207</v>
      </c>
      <c r="I41" s="17">
        <v>64.0</v>
      </c>
      <c r="J41" s="17" t="s">
        <v>635</v>
      </c>
      <c r="K41" s="17">
        <v>30.0</v>
      </c>
      <c r="L41" s="17">
        <v>1.0</v>
      </c>
      <c r="M41" s="17" t="s">
        <v>400</v>
      </c>
      <c r="N41" s="17">
        <v>6.0</v>
      </c>
      <c r="O41" s="17" t="s">
        <v>379</v>
      </c>
      <c r="P41" s="17">
        <v>0.0</v>
      </c>
      <c r="Q41" s="17">
        <v>495.0</v>
      </c>
      <c r="R41" s="17">
        <v>6.0</v>
      </c>
      <c r="S41" s="17">
        <v>0.0</v>
      </c>
      <c r="T41" s="17">
        <v>25.0</v>
      </c>
      <c r="U41" s="17">
        <v>1.0</v>
      </c>
      <c r="V41" s="17">
        <v>8.0</v>
      </c>
      <c r="W41" s="19">
        <v>0.125</v>
      </c>
      <c r="X41" s="20">
        <v>7.75</v>
      </c>
    </row>
    <row r="42" ht="15.75" customHeight="1">
      <c r="A42" s="12" t="s">
        <v>698</v>
      </c>
      <c r="B42" s="12" t="s">
        <v>476</v>
      </c>
      <c r="C42" s="12" t="b">
        <v>1</v>
      </c>
      <c r="D42" s="12">
        <v>200.0</v>
      </c>
      <c r="E42" s="12" t="s">
        <v>698</v>
      </c>
      <c r="F42" s="12" t="s">
        <v>698</v>
      </c>
      <c r="G42" s="12" t="b">
        <v>1</v>
      </c>
      <c r="H42" s="12" t="s">
        <v>406</v>
      </c>
      <c r="I42" s="12">
        <v>67.0</v>
      </c>
      <c r="J42" s="12" t="s">
        <v>635</v>
      </c>
      <c r="K42" s="12">
        <v>30.0</v>
      </c>
      <c r="L42" s="12">
        <v>1.0</v>
      </c>
      <c r="M42" s="12" t="s">
        <v>408</v>
      </c>
      <c r="N42" s="12">
        <v>6.0</v>
      </c>
      <c r="O42" s="12" t="s">
        <v>379</v>
      </c>
      <c r="P42" s="12">
        <v>0.0</v>
      </c>
      <c r="Q42" s="12">
        <v>498.0</v>
      </c>
      <c r="R42" s="12">
        <v>6.0</v>
      </c>
      <c r="S42" s="12">
        <v>0.0</v>
      </c>
      <c r="T42" s="12">
        <v>25.0</v>
      </c>
      <c r="U42" s="12">
        <v>0.0</v>
      </c>
      <c r="V42" s="12">
        <v>0.0</v>
      </c>
      <c r="W42" s="14">
        <v>0.0</v>
      </c>
      <c r="X42" s="15"/>
    </row>
    <row r="43" ht="15.75" customHeight="1">
      <c r="A43" s="17" t="s">
        <v>705</v>
      </c>
      <c r="B43" s="17" t="s">
        <v>476</v>
      </c>
      <c r="C43" s="17" t="b">
        <v>1</v>
      </c>
      <c r="D43" s="17">
        <v>200.0</v>
      </c>
      <c r="E43" s="17" t="s">
        <v>705</v>
      </c>
      <c r="F43" s="17" t="s">
        <v>705</v>
      </c>
      <c r="G43" s="17" t="b">
        <v>1</v>
      </c>
      <c r="H43" s="17" t="s">
        <v>225</v>
      </c>
      <c r="I43" s="17">
        <v>62.0</v>
      </c>
      <c r="J43" s="17" t="s">
        <v>635</v>
      </c>
      <c r="K43" s="17">
        <v>30.0</v>
      </c>
      <c r="L43" s="17">
        <v>1.0</v>
      </c>
      <c r="M43" s="17" t="s">
        <v>416</v>
      </c>
      <c r="N43" s="17">
        <v>6.0</v>
      </c>
      <c r="O43" s="17" t="s">
        <v>379</v>
      </c>
      <c r="P43" s="17">
        <v>0.0</v>
      </c>
      <c r="Q43" s="17">
        <v>495.0</v>
      </c>
      <c r="R43" s="17">
        <v>6.0</v>
      </c>
      <c r="S43" s="17">
        <v>0.0</v>
      </c>
      <c r="T43" s="17">
        <v>25.0</v>
      </c>
      <c r="U43" s="17">
        <v>0.0</v>
      </c>
      <c r="V43" s="17">
        <v>0.0</v>
      </c>
      <c r="W43" s="19">
        <v>0.0</v>
      </c>
      <c r="X43" s="20"/>
    </row>
    <row r="44" ht="15.75" customHeight="1">
      <c r="A44" s="12" t="s">
        <v>715</v>
      </c>
      <c r="B44" s="12" t="s">
        <v>476</v>
      </c>
      <c r="C44" s="12" t="b">
        <v>1</v>
      </c>
      <c r="D44" s="12">
        <v>200.0</v>
      </c>
      <c r="E44" s="12" t="s">
        <v>715</v>
      </c>
      <c r="F44" s="12" t="s">
        <v>715</v>
      </c>
      <c r="G44" s="12" t="b">
        <v>1</v>
      </c>
      <c r="H44" s="12" t="s">
        <v>384</v>
      </c>
      <c r="I44" s="12">
        <v>63.0</v>
      </c>
      <c r="J44" s="12" t="s">
        <v>635</v>
      </c>
      <c r="K44" s="12">
        <v>30.0</v>
      </c>
      <c r="L44" s="12">
        <v>1.0</v>
      </c>
      <c r="M44" s="12" t="s">
        <v>422</v>
      </c>
      <c r="N44" s="12">
        <v>6.0</v>
      </c>
      <c r="O44" s="12" t="s">
        <v>379</v>
      </c>
      <c r="P44" s="12">
        <v>0.0</v>
      </c>
      <c r="Q44" s="12">
        <v>495.0</v>
      </c>
      <c r="R44" s="12">
        <v>6.0</v>
      </c>
      <c r="S44" s="12">
        <v>0.0</v>
      </c>
      <c r="T44" s="12">
        <v>25.0</v>
      </c>
      <c r="U44" s="12">
        <v>0.0</v>
      </c>
      <c r="V44" s="12">
        <v>0.0</v>
      </c>
      <c r="W44" s="14">
        <v>0.0</v>
      </c>
      <c r="X44" s="15"/>
    </row>
    <row r="45" ht="15.75" customHeight="1">
      <c r="A45" s="17" t="s">
        <v>317</v>
      </c>
      <c r="B45" s="17" t="s">
        <v>476</v>
      </c>
      <c r="C45" s="17" t="b">
        <v>1</v>
      </c>
      <c r="D45" s="17">
        <v>200.0</v>
      </c>
      <c r="E45" s="17" t="s">
        <v>317</v>
      </c>
      <c r="F45" s="17" t="s">
        <v>317</v>
      </c>
      <c r="G45" s="17" t="b">
        <v>1</v>
      </c>
      <c r="H45" s="17" t="s">
        <v>321</v>
      </c>
      <c r="I45" s="17">
        <v>63.0</v>
      </c>
      <c r="J45" s="17" t="s">
        <v>635</v>
      </c>
      <c r="K45" s="17">
        <v>30.0</v>
      </c>
      <c r="L45" s="17">
        <v>1.0</v>
      </c>
      <c r="M45" s="17" t="s">
        <v>428</v>
      </c>
      <c r="N45" s="17">
        <v>6.0</v>
      </c>
      <c r="O45" s="17" t="s">
        <v>379</v>
      </c>
      <c r="P45" s="17">
        <v>0.0</v>
      </c>
      <c r="Q45" s="17">
        <v>493.0</v>
      </c>
      <c r="R45" s="17">
        <v>6.0</v>
      </c>
      <c r="S45" s="17">
        <v>0.0</v>
      </c>
      <c r="T45" s="17">
        <v>25.0</v>
      </c>
      <c r="U45" s="17">
        <v>0.0</v>
      </c>
      <c r="V45" s="17">
        <v>6.0</v>
      </c>
      <c r="W45" s="19">
        <v>0.0</v>
      </c>
      <c r="X45" s="20">
        <v>5.5</v>
      </c>
    </row>
    <row r="46" ht="15.75" customHeight="1">
      <c r="A46" s="12" t="s">
        <v>724</v>
      </c>
      <c r="B46" s="12" t="s">
        <v>476</v>
      </c>
      <c r="C46" s="12" t="b">
        <v>1</v>
      </c>
      <c r="D46" s="12">
        <v>200.0</v>
      </c>
      <c r="E46" s="12" t="s">
        <v>724</v>
      </c>
      <c r="F46" s="12" t="s">
        <v>724</v>
      </c>
      <c r="G46" s="12" t="b">
        <v>1</v>
      </c>
      <c r="H46" s="12" t="s">
        <v>299</v>
      </c>
      <c r="I46" s="12">
        <v>64.0</v>
      </c>
      <c r="J46" s="12" t="s">
        <v>635</v>
      </c>
      <c r="K46" s="12">
        <v>30.0</v>
      </c>
      <c r="L46" s="12">
        <v>1.0</v>
      </c>
      <c r="M46" s="12" t="s">
        <v>434</v>
      </c>
      <c r="N46" s="12">
        <v>6.0</v>
      </c>
      <c r="O46" s="12" t="s">
        <v>379</v>
      </c>
      <c r="P46" s="12">
        <v>0.0</v>
      </c>
      <c r="Q46" s="12">
        <v>494.0</v>
      </c>
      <c r="R46" s="12">
        <v>6.0</v>
      </c>
      <c r="S46" s="12">
        <v>0.0</v>
      </c>
      <c r="T46" s="12">
        <v>25.0</v>
      </c>
      <c r="U46" s="12">
        <v>0.0</v>
      </c>
      <c r="V46" s="12">
        <v>0.0</v>
      </c>
      <c r="W46" s="14">
        <v>0.0</v>
      </c>
      <c r="X46" s="15"/>
    </row>
    <row r="47" ht="15.75" customHeight="1">
      <c r="A47" s="17" t="s">
        <v>728</v>
      </c>
      <c r="B47" s="17" t="s">
        <v>476</v>
      </c>
      <c r="C47" s="17" t="b">
        <v>1</v>
      </c>
      <c r="D47" s="17">
        <v>200.0</v>
      </c>
      <c r="E47" s="17" t="s">
        <v>728</v>
      </c>
      <c r="F47" s="17" t="s">
        <v>728</v>
      </c>
      <c r="G47" s="17" t="b">
        <v>1</v>
      </c>
      <c r="H47" s="17" t="s">
        <v>387</v>
      </c>
      <c r="I47" s="17">
        <v>63.0</v>
      </c>
      <c r="J47" s="17" t="s">
        <v>635</v>
      </c>
      <c r="K47" s="17">
        <v>30.0</v>
      </c>
      <c r="L47" s="17">
        <v>1.0</v>
      </c>
      <c r="M47" s="17" t="s">
        <v>438</v>
      </c>
      <c r="N47" s="17">
        <v>6.0</v>
      </c>
      <c r="O47" s="17" t="s">
        <v>379</v>
      </c>
      <c r="P47" s="17">
        <v>0.0</v>
      </c>
      <c r="Q47" s="17">
        <v>494.0</v>
      </c>
      <c r="R47" s="17">
        <v>6.0</v>
      </c>
      <c r="S47" s="17">
        <v>0.0</v>
      </c>
      <c r="T47" s="17">
        <v>25.0</v>
      </c>
      <c r="U47" s="17">
        <v>0.0</v>
      </c>
      <c r="V47" s="17">
        <v>0.0</v>
      </c>
      <c r="W47" s="19">
        <v>0.0</v>
      </c>
      <c r="X47" s="20"/>
    </row>
    <row r="48" ht="15.75" customHeight="1">
      <c r="A48" s="12" t="s">
        <v>736</v>
      </c>
      <c r="B48" s="12" t="s">
        <v>476</v>
      </c>
      <c r="C48" s="12" t="b">
        <v>1</v>
      </c>
      <c r="D48" s="12">
        <v>200.0</v>
      </c>
      <c r="E48" s="12" t="s">
        <v>736</v>
      </c>
      <c r="F48" s="12" t="s">
        <v>736</v>
      </c>
      <c r="G48" s="12" t="b">
        <v>1</v>
      </c>
      <c r="H48" s="12" t="s">
        <v>49</v>
      </c>
      <c r="I48" s="12">
        <v>68.0</v>
      </c>
      <c r="J48" s="12" t="s">
        <v>635</v>
      </c>
      <c r="K48" s="12">
        <v>30.0</v>
      </c>
      <c r="L48" s="12">
        <v>1.0</v>
      </c>
      <c r="M48" s="12" t="s">
        <v>447</v>
      </c>
      <c r="N48" s="12">
        <v>6.0</v>
      </c>
      <c r="O48" s="12" t="s">
        <v>379</v>
      </c>
      <c r="P48" s="12">
        <v>0.0</v>
      </c>
      <c r="Q48" s="12">
        <v>499.0</v>
      </c>
      <c r="R48" s="12">
        <v>6.0</v>
      </c>
      <c r="S48" s="12">
        <v>0.0</v>
      </c>
      <c r="T48" s="12">
        <v>25.0</v>
      </c>
      <c r="U48" s="12">
        <v>0.0</v>
      </c>
      <c r="V48" s="12">
        <v>0.0</v>
      </c>
      <c r="W48" s="14">
        <v>0.0</v>
      </c>
      <c r="X48" s="15"/>
    </row>
    <row r="49" ht="15.75" customHeight="1">
      <c r="A49" s="17" t="s">
        <v>119</v>
      </c>
      <c r="B49" s="17" t="s">
        <v>476</v>
      </c>
      <c r="C49" s="17" t="b">
        <v>1</v>
      </c>
      <c r="D49" s="17">
        <v>200.0</v>
      </c>
      <c r="E49" s="17" t="s">
        <v>119</v>
      </c>
      <c r="F49" s="17" t="s">
        <v>119</v>
      </c>
      <c r="G49" s="17" t="b">
        <v>1</v>
      </c>
      <c r="H49" s="17" t="s">
        <v>128</v>
      </c>
      <c r="I49" s="17">
        <v>65.0</v>
      </c>
      <c r="J49" s="17" t="s">
        <v>635</v>
      </c>
      <c r="K49" s="17">
        <v>30.0</v>
      </c>
      <c r="L49" s="17">
        <v>1.0</v>
      </c>
      <c r="M49" s="17" t="s">
        <v>460</v>
      </c>
      <c r="N49" s="17">
        <v>6.0</v>
      </c>
      <c r="O49" s="17" t="s">
        <v>379</v>
      </c>
      <c r="P49" s="17">
        <v>0.0</v>
      </c>
      <c r="Q49" s="17">
        <v>496.0</v>
      </c>
      <c r="R49" s="17">
        <v>6.0</v>
      </c>
      <c r="S49" s="17">
        <v>0.0</v>
      </c>
      <c r="T49" s="17">
        <v>25.0</v>
      </c>
      <c r="U49" s="17">
        <v>2.0</v>
      </c>
      <c r="V49" s="17">
        <v>7.0</v>
      </c>
      <c r="W49" s="19">
        <v>0.2857</v>
      </c>
      <c r="X49" s="20">
        <v>6.86</v>
      </c>
    </row>
    <row r="50" ht="15.75" customHeight="1">
      <c r="A50" s="12" t="s">
        <v>751</v>
      </c>
      <c r="B50" s="12" t="s">
        <v>476</v>
      </c>
      <c r="C50" s="12" t="b">
        <v>1</v>
      </c>
      <c r="D50" s="12">
        <v>200.0</v>
      </c>
      <c r="E50" s="12" t="s">
        <v>751</v>
      </c>
      <c r="F50" s="12" t="s">
        <v>751</v>
      </c>
      <c r="G50" s="12" t="b">
        <v>1</v>
      </c>
      <c r="H50" s="12" t="s">
        <v>373</v>
      </c>
      <c r="I50" s="12">
        <v>70.0</v>
      </c>
      <c r="J50" s="12" t="s">
        <v>635</v>
      </c>
      <c r="K50" s="12">
        <v>30.0</v>
      </c>
      <c r="L50" s="12">
        <v>1.0</v>
      </c>
      <c r="M50" s="12" t="s">
        <v>467</v>
      </c>
      <c r="N50" s="12">
        <v>6.0</v>
      </c>
      <c r="O50" s="12" t="s">
        <v>379</v>
      </c>
      <c r="P50" s="12">
        <v>0.0</v>
      </c>
      <c r="Q50" s="12">
        <v>498.0</v>
      </c>
      <c r="R50" s="12">
        <v>6.0</v>
      </c>
      <c r="S50" s="12">
        <v>0.0</v>
      </c>
      <c r="T50" s="12">
        <v>25.0</v>
      </c>
      <c r="U50" s="12">
        <v>0.0</v>
      </c>
      <c r="V50" s="12">
        <v>0.0</v>
      </c>
      <c r="W50" s="14">
        <v>0.0</v>
      </c>
      <c r="X50" s="15"/>
    </row>
    <row r="51" ht="15.75" customHeight="1">
      <c r="A51" s="17" t="s">
        <v>248</v>
      </c>
      <c r="B51" s="17" t="s">
        <v>476</v>
      </c>
      <c r="C51" s="17" t="b">
        <v>1</v>
      </c>
      <c r="D51" s="17">
        <v>200.0</v>
      </c>
      <c r="E51" s="17" t="s">
        <v>248</v>
      </c>
      <c r="F51" s="17" t="s">
        <v>248</v>
      </c>
      <c r="G51" s="17" t="b">
        <v>1</v>
      </c>
      <c r="H51" s="17" t="s">
        <v>249</v>
      </c>
      <c r="I51" s="17">
        <v>71.0</v>
      </c>
      <c r="J51" s="17" t="s">
        <v>763</v>
      </c>
      <c r="K51" s="17">
        <v>52.0</v>
      </c>
      <c r="L51" s="17">
        <v>1.0</v>
      </c>
      <c r="M51" s="17" t="s">
        <v>768</v>
      </c>
      <c r="N51" s="17">
        <v>6.0</v>
      </c>
      <c r="O51" s="17" t="s">
        <v>308</v>
      </c>
      <c r="P51" s="17">
        <v>0.0</v>
      </c>
      <c r="Q51" s="17">
        <v>463.0</v>
      </c>
      <c r="R51" s="17">
        <v>8.0</v>
      </c>
      <c r="S51" s="17">
        <v>0.0</v>
      </c>
      <c r="T51" s="17">
        <v>28.0</v>
      </c>
      <c r="U51" s="17">
        <v>0.0</v>
      </c>
      <c r="V51" s="17">
        <v>16.0</v>
      </c>
      <c r="W51" s="19">
        <v>0.0</v>
      </c>
      <c r="X51" s="20">
        <v>27.88</v>
      </c>
    </row>
    <row r="52" ht="15.75" customHeight="1">
      <c r="A52" s="12" t="s">
        <v>354</v>
      </c>
      <c r="B52" s="12" t="s">
        <v>476</v>
      </c>
      <c r="C52" s="12" t="b">
        <v>1</v>
      </c>
      <c r="D52" s="12">
        <v>200.0</v>
      </c>
      <c r="E52" s="12" t="s">
        <v>354</v>
      </c>
      <c r="F52" s="12" t="s">
        <v>354</v>
      </c>
      <c r="G52" s="12" t="b">
        <v>1</v>
      </c>
      <c r="H52" s="12" t="s">
        <v>356</v>
      </c>
      <c r="I52" s="12">
        <v>74.0</v>
      </c>
      <c r="J52" s="12" t="s">
        <v>778</v>
      </c>
      <c r="K52" s="12">
        <v>55.0</v>
      </c>
      <c r="L52" s="12">
        <v>1.0</v>
      </c>
      <c r="M52" s="12" t="s">
        <v>779</v>
      </c>
      <c r="N52" s="12">
        <v>6.0</v>
      </c>
      <c r="O52" s="12" t="s">
        <v>308</v>
      </c>
      <c r="P52" s="12">
        <v>0.0</v>
      </c>
      <c r="Q52" s="12">
        <v>414.0</v>
      </c>
      <c r="R52" s="12">
        <v>3.0</v>
      </c>
      <c r="S52" s="12">
        <v>0.0</v>
      </c>
      <c r="T52" s="12">
        <v>23.0</v>
      </c>
      <c r="U52" s="12">
        <v>0.0</v>
      </c>
      <c r="V52" s="12">
        <v>3.0</v>
      </c>
      <c r="W52" s="14">
        <v>0.0</v>
      </c>
      <c r="X52" s="15">
        <v>57.67</v>
      </c>
    </row>
    <row r="53" ht="15.75" customHeight="1">
      <c r="A53" s="17" t="s">
        <v>783</v>
      </c>
      <c r="B53" s="17" t="s">
        <v>476</v>
      </c>
      <c r="C53" s="17" t="b">
        <v>1</v>
      </c>
      <c r="D53" s="17">
        <v>200.0</v>
      </c>
      <c r="E53" s="17" t="s">
        <v>783</v>
      </c>
      <c r="F53" s="17" t="s">
        <v>783</v>
      </c>
      <c r="G53" s="17" t="b">
        <v>1</v>
      </c>
      <c r="H53" s="17" t="s">
        <v>491</v>
      </c>
      <c r="I53" s="17">
        <v>61.0</v>
      </c>
      <c r="J53" s="17" t="s">
        <v>788</v>
      </c>
      <c r="K53" s="17">
        <v>42.0</v>
      </c>
      <c r="L53" s="17">
        <v>1.0</v>
      </c>
      <c r="M53" s="17" t="s">
        <v>494</v>
      </c>
      <c r="N53" s="17">
        <v>6.0</v>
      </c>
      <c r="O53" s="17" t="s">
        <v>308</v>
      </c>
      <c r="P53" s="17">
        <v>0.0</v>
      </c>
      <c r="Q53" s="17">
        <v>443.0</v>
      </c>
      <c r="R53" s="17">
        <v>6.0</v>
      </c>
      <c r="S53" s="17">
        <v>0.0</v>
      </c>
      <c r="T53" s="17">
        <v>26.0</v>
      </c>
      <c r="U53" s="17">
        <v>0.0</v>
      </c>
      <c r="V53" s="17">
        <v>0.0</v>
      </c>
      <c r="W53" s="19">
        <v>0.0</v>
      </c>
      <c r="X53" s="20"/>
    </row>
    <row r="54" ht="15.75" customHeight="1">
      <c r="A54" s="12" t="s">
        <v>244</v>
      </c>
      <c r="B54" s="12" t="s">
        <v>476</v>
      </c>
      <c r="C54" s="12" t="b">
        <v>1</v>
      </c>
      <c r="D54" s="12">
        <v>200.0</v>
      </c>
      <c r="E54" s="12" t="s">
        <v>244</v>
      </c>
      <c r="F54" s="12" t="s">
        <v>244</v>
      </c>
      <c r="G54" s="12" t="b">
        <v>1</v>
      </c>
      <c r="H54" s="12" t="s">
        <v>246</v>
      </c>
      <c r="I54" s="12">
        <v>91.0</v>
      </c>
      <c r="J54" s="12" t="s">
        <v>796</v>
      </c>
      <c r="K54" s="12">
        <v>93.0</v>
      </c>
      <c r="L54" s="12">
        <v>1.0</v>
      </c>
      <c r="M54" s="12" t="s">
        <v>798</v>
      </c>
      <c r="N54" s="12">
        <v>6.0</v>
      </c>
      <c r="O54" s="12" t="s">
        <v>308</v>
      </c>
      <c r="P54" s="12">
        <v>0.0</v>
      </c>
      <c r="Q54" s="12">
        <v>424.0</v>
      </c>
      <c r="R54" s="12">
        <v>2.0</v>
      </c>
      <c r="S54" s="12">
        <v>0.0</v>
      </c>
      <c r="T54" s="12">
        <v>21.0</v>
      </c>
      <c r="U54" s="12">
        <v>0.0</v>
      </c>
      <c r="V54" s="12">
        <v>21.0</v>
      </c>
      <c r="W54" s="14">
        <v>0.0</v>
      </c>
      <c r="X54" s="15">
        <v>8.38</v>
      </c>
    </row>
    <row r="55" ht="15.75" customHeight="1">
      <c r="A55" s="17" t="s">
        <v>140</v>
      </c>
      <c r="B55" s="17" t="s">
        <v>476</v>
      </c>
      <c r="C55" s="17" t="b">
        <v>0</v>
      </c>
      <c r="D55" s="17">
        <v>200.0</v>
      </c>
      <c r="E55" s="17" t="s">
        <v>157</v>
      </c>
      <c r="F55" s="17" t="s">
        <v>157</v>
      </c>
      <c r="G55" s="17" t="b">
        <v>0</v>
      </c>
      <c r="H55" s="17" t="s">
        <v>159</v>
      </c>
      <c r="I55" s="17">
        <v>82.0</v>
      </c>
      <c r="J55" s="17" t="s">
        <v>635</v>
      </c>
      <c r="K55" s="17">
        <v>30.0</v>
      </c>
      <c r="L55" s="17">
        <v>1.0</v>
      </c>
      <c r="M55" s="17" t="s">
        <v>809</v>
      </c>
      <c r="N55" s="17">
        <v>6.0</v>
      </c>
      <c r="O55" s="17" t="s">
        <v>505</v>
      </c>
      <c r="P55" s="17">
        <v>0.0</v>
      </c>
      <c r="Q55" s="17">
        <v>422.0</v>
      </c>
      <c r="R55" s="17">
        <v>2.0</v>
      </c>
      <c r="S55" s="17">
        <v>0.0</v>
      </c>
      <c r="T55" s="17">
        <v>21.0</v>
      </c>
      <c r="U55" s="17">
        <v>1.0</v>
      </c>
      <c r="V55" s="17">
        <v>71.0</v>
      </c>
      <c r="W55" s="19">
        <v>0.0141</v>
      </c>
      <c r="X55" s="20">
        <v>7.85</v>
      </c>
    </row>
    <row r="56" ht="15.75" customHeight="1">
      <c r="A56" s="12" t="s">
        <v>99</v>
      </c>
      <c r="B56" s="12" t="s">
        <v>476</v>
      </c>
      <c r="C56" s="12" t="b">
        <v>0</v>
      </c>
      <c r="D56" s="12">
        <v>200.0</v>
      </c>
      <c r="E56" s="12" t="s">
        <v>90</v>
      </c>
      <c r="F56" s="12" t="s">
        <v>90</v>
      </c>
      <c r="G56" s="12" t="b">
        <v>0</v>
      </c>
      <c r="H56" s="12" t="s">
        <v>93</v>
      </c>
      <c r="I56" s="12">
        <v>91.0</v>
      </c>
      <c r="J56" s="12" t="s">
        <v>817</v>
      </c>
      <c r="K56" s="12">
        <v>63.0</v>
      </c>
      <c r="L56" s="12">
        <v>1.0</v>
      </c>
      <c r="M56" s="12" t="s">
        <v>818</v>
      </c>
      <c r="N56" s="12">
        <v>6.0</v>
      </c>
      <c r="O56" s="12" t="s">
        <v>308</v>
      </c>
      <c r="P56" s="12">
        <v>0.0</v>
      </c>
      <c r="Q56" s="12">
        <v>498.0</v>
      </c>
      <c r="R56" s="12">
        <v>3.0</v>
      </c>
      <c r="S56" s="12">
        <v>0.0</v>
      </c>
      <c r="T56" s="12">
        <v>22.0</v>
      </c>
      <c r="U56" s="12">
        <v>2.0</v>
      </c>
      <c r="V56" s="12">
        <v>82.0</v>
      </c>
      <c r="W56" s="14">
        <v>0.024399999999999998</v>
      </c>
      <c r="X56" s="15">
        <v>23.22</v>
      </c>
    </row>
    <row r="57" ht="15.75" customHeight="1">
      <c r="A57" s="17" t="s">
        <v>90</v>
      </c>
      <c r="B57" s="17" t="s">
        <v>476</v>
      </c>
      <c r="C57" s="17" t="b">
        <v>0</v>
      </c>
      <c r="D57" s="17">
        <v>200.0</v>
      </c>
      <c r="E57" s="17" t="s">
        <v>90</v>
      </c>
      <c r="F57" s="17" t="s">
        <v>90</v>
      </c>
      <c r="G57" s="17" t="b">
        <v>1</v>
      </c>
      <c r="H57" s="17" t="s">
        <v>93</v>
      </c>
      <c r="I57" s="17">
        <v>91.0</v>
      </c>
      <c r="J57" s="17" t="s">
        <v>817</v>
      </c>
      <c r="K57" s="17">
        <v>63.0</v>
      </c>
      <c r="L57" s="17">
        <v>1.0</v>
      </c>
      <c r="M57" s="17" t="s">
        <v>818</v>
      </c>
      <c r="N57" s="17">
        <v>6.0</v>
      </c>
      <c r="O57" s="17" t="s">
        <v>308</v>
      </c>
      <c r="P57" s="17">
        <v>0.0</v>
      </c>
      <c r="Q57" s="17">
        <v>498.0</v>
      </c>
      <c r="R57" s="17">
        <v>3.0</v>
      </c>
      <c r="S57" s="17">
        <v>0.0</v>
      </c>
      <c r="T57" s="17">
        <v>22.0</v>
      </c>
      <c r="U57" s="17">
        <v>2.0</v>
      </c>
      <c r="V57" s="17">
        <v>116.0</v>
      </c>
      <c r="W57" s="19">
        <v>0.0172</v>
      </c>
      <c r="X57" s="20">
        <v>20.58</v>
      </c>
    </row>
    <row r="58" ht="15.75" customHeight="1">
      <c r="A58" s="12" t="s">
        <v>232</v>
      </c>
      <c r="B58" s="12" t="s">
        <v>476</v>
      </c>
      <c r="C58" s="12" t="b">
        <v>0</v>
      </c>
      <c r="D58" s="12">
        <v>200.0</v>
      </c>
      <c r="E58" s="12" t="s">
        <v>234</v>
      </c>
      <c r="F58" s="12" t="s">
        <v>234</v>
      </c>
      <c r="G58" s="12" t="b">
        <v>0</v>
      </c>
      <c r="H58" s="12" t="s">
        <v>235</v>
      </c>
      <c r="I58" s="12">
        <v>91.0</v>
      </c>
      <c r="J58" s="12" t="s">
        <v>827</v>
      </c>
      <c r="K58" s="12">
        <v>83.0</v>
      </c>
      <c r="L58" s="12">
        <v>1.0</v>
      </c>
      <c r="M58" s="12" t="s">
        <v>828</v>
      </c>
      <c r="N58" s="12">
        <v>6.0</v>
      </c>
      <c r="O58" s="12" t="s">
        <v>308</v>
      </c>
      <c r="P58" s="12">
        <v>0.0</v>
      </c>
      <c r="Q58" s="12">
        <v>530.0</v>
      </c>
      <c r="R58" s="12">
        <v>3.0</v>
      </c>
      <c r="S58" s="12">
        <v>0.0</v>
      </c>
      <c r="T58" s="12">
        <v>22.0</v>
      </c>
      <c r="U58" s="12">
        <v>0.0</v>
      </c>
      <c r="V58" s="12">
        <v>24.0</v>
      </c>
      <c r="W58" s="14">
        <v>0.0</v>
      </c>
      <c r="X58" s="15">
        <v>13.62</v>
      </c>
    </row>
    <row r="59" ht="15.75" customHeight="1">
      <c r="A59" s="17" t="s">
        <v>185</v>
      </c>
      <c r="B59" s="17" t="s">
        <v>476</v>
      </c>
      <c r="C59" s="17" t="b">
        <v>0</v>
      </c>
      <c r="D59" s="17">
        <v>200.0</v>
      </c>
      <c r="E59" s="17" t="s">
        <v>185</v>
      </c>
      <c r="F59" s="17" t="s">
        <v>185</v>
      </c>
      <c r="G59" s="17" t="b">
        <v>1</v>
      </c>
      <c r="H59" s="17" t="s">
        <v>187</v>
      </c>
      <c r="I59" s="17">
        <v>91.0</v>
      </c>
      <c r="J59" s="17" t="s">
        <v>832</v>
      </c>
      <c r="K59" s="17">
        <v>122.0</v>
      </c>
      <c r="L59" s="17">
        <v>1.0</v>
      </c>
      <c r="M59" s="17" t="s">
        <v>833</v>
      </c>
      <c r="N59" s="17">
        <v>6.0</v>
      </c>
      <c r="O59" s="17" t="s">
        <v>308</v>
      </c>
      <c r="P59" s="17">
        <v>0.0</v>
      </c>
      <c r="Q59" s="17">
        <v>677.0</v>
      </c>
      <c r="R59" s="17">
        <v>2.0</v>
      </c>
      <c r="S59" s="17">
        <v>0.0</v>
      </c>
      <c r="T59" s="17">
        <v>34.0</v>
      </c>
      <c r="U59" s="17">
        <v>1.0</v>
      </c>
      <c r="V59" s="17">
        <v>25.0</v>
      </c>
      <c r="W59" s="19">
        <v>0.04</v>
      </c>
      <c r="X59" s="20">
        <v>38.36</v>
      </c>
    </row>
    <row r="60" ht="15.75" customHeight="1">
      <c r="A60" s="12" t="s">
        <v>195</v>
      </c>
      <c r="B60" s="12" t="s">
        <v>476</v>
      </c>
      <c r="C60" s="12" t="b">
        <v>0</v>
      </c>
      <c r="D60" s="12">
        <v>200.0</v>
      </c>
      <c r="E60" s="12" t="s">
        <v>195</v>
      </c>
      <c r="F60" s="12" t="s">
        <v>195</v>
      </c>
      <c r="G60" s="12" t="b">
        <v>1</v>
      </c>
      <c r="H60" s="12" t="s">
        <v>197</v>
      </c>
      <c r="I60" s="12">
        <v>77.0</v>
      </c>
      <c r="J60" s="12" t="s">
        <v>835</v>
      </c>
      <c r="K60" s="12">
        <v>70.0</v>
      </c>
      <c r="L60" s="12">
        <v>1.0</v>
      </c>
      <c r="M60" s="12" t="s">
        <v>836</v>
      </c>
      <c r="N60" s="12">
        <v>6.0</v>
      </c>
      <c r="O60" s="12" t="s">
        <v>594</v>
      </c>
      <c r="P60" s="12">
        <v>0.0</v>
      </c>
      <c r="Q60" s="12">
        <v>574.0</v>
      </c>
      <c r="R60" s="12">
        <v>5.0</v>
      </c>
      <c r="S60" s="12">
        <v>0.0</v>
      </c>
      <c r="T60" s="12">
        <v>35.0</v>
      </c>
      <c r="U60" s="12">
        <v>1.0</v>
      </c>
      <c r="V60" s="12">
        <v>9.0</v>
      </c>
      <c r="W60" s="14">
        <v>0.11109999999999999</v>
      </c>
      <c r="X60" s="15">
        <v>10.22</v>
      </c>
    </row>
    <row r="61" ht="15.75" customHeight="1">
      <c r="A61" s="17" t="s">
        <v>771</v>
      </c>
      <c r="B61" s="17" t="s">
        <v>476</v>
      </c>
      <c r="C61" s="17" t="b">
        <v>1</v>
      </c>
      <c r="D61" s="17">
        <v>200.0</v>
      </c>
      <c r="E61" s="17" t="s">
        <v>771</v>
      </c>
      <c r="F61" s="17" t="s">
        <v>771</v>
      </c>
      <c r="G61" s="17" t="b">
        <v>1</v>
      </c>
      <c r="H61" s="17" t="s">
        <v>391</v>
      </c>
      <c r="I61" s="17">
        <v>89.0</v>
      </c>
      <c r="J61" s="17" t="s">
        <v>609</v>
      </c>
      <c r="K61" s="17">
        <v>145.0</v>
      </c>
      <c r="L61" s="17">
        <v>1.0</v>
      </c>
      <c r="M61" s="17" t="s">
        <v>838</v>
      </c>
      <c r="N61" s="17">
        <v>6.0</v>
      </c>
      <c r="O61" s="17" t="s">
        <v>616</v>
      </c>
      <c r="P61" s="17">
        <v>0.0</v>
      </c>
      <c r="Q61" s="17">
        <v>1088.0</v>
      </c>
      <c r="R61" s="17">
        <v>26.0</v>
      </c>
      <c r="S61" s="17">
        <v>0.0</v>
      </c>
      <c r="T61" s="17">
        <v>32.0</v>
      </c>
      <c r="U61" s="17">
        <v>0.0</v>
      </c>
      <c r="V61" s="17">
        <v>0.0</v>
      </c>
      <c r="W61" s="19">
        <v>0.0</v>
      </c>
      <c r="X61" s="20"/>
    </row>
    <row r="62" ht="15.75" customHeight="1">
      <c r="A62" s="12" t="s">
        <v>781</v>
      </c>
      <c r="B62" s="12" t="s">
        <v>476</v>
      </c>
      <c r="C62" s="12" t="b">
        <v>1</v>
      </c>
      <c r="D62" s="12">
        <v>200.0</v>
      </c>
      <c r="E62" s="12" t="s">
        <v>781</v>
      </c>
      <c r="F62" s="12" t="s">
        <v>781</v>
      </c>
      <c r="G62" s="12" t="b">
        <v>1</v>
      </c>
      <c r="H62" s="12" t="s">
        <v>628</v>
      </c>
      <c r="I62" s="12">
        <v>89.0</v>
      </c>
      <c r="J62" s="12" t="s">
        <v>629</v>
      </c>
      <c r="K62" s="12">
        <v>107.0</v>
      </c>
      <c r="L62" s="12">
        <v>1.0</v>
      </c>
      <c r="M62" s="12" t="s">
        <v>841</v>
      </c>
      <c r="N62" s="12">
        <v>6.0</v>
      </c>
      <c r="O62" s="12" t="s">
        <v>616</v>
      </c>
      <c r="P62" s="12">
        <v>0.0</v>
      </c>
      <c r="Q62" s="12">
        <v>907.0</v>
      </c>
      <c r="R62" s="12">
        <v>12.0</v>
      </c>
      <c r="S62" s="12">
        <v>0.0</v>
      </c>
      <c r="T62" s="12">
        <v>31.0</v>
      </c>
      <c r="U62" s="12">
        <v>0.0</v>
      </c>
      <c r="V62" s="12">
        <v>0.0</v>
      </c>
      <c r="W62" s="14">
        <v>0.0</v>
      </c>
      <c r="X62" s="15"/>
    </row>
    <row r="63" ht="15.75" customHeight="1">
      <c r="A63" s="17" t="s">
        <v>40</v>
      </c>
      <c r="B63" s="17" t="s">
        <v>669</v>
      </c>
      <c r="C63" s="17" t="b">
        <v>1</v>
      </c>
      <c r="D63" s="17">
        <v>200.0</v>
      </c>
      <c r="E63" s="17" t="s">
        <v>40</v>
      </c>
      <c r="F63" s="17" t="s">
        <v>40</v>
      </c>
      <c r="G63" s="17" t="b">
        <v>1</v>
      </c>
      <c r="H63" s="17" t="s">
        <v>41</v>
      </c>
      <c r="I63" s="17">
        <v>53.0</v>
      </c>
      <c r="J63" s="17" t="s">
        <v>303</v>
      </c>
      <c r="K63" s="17">
        <v>27.0</v>
      </c>
      <c r="L63" s="17">
        <v>1.0</v>
      </c>
      <c r="M63" s="17" t="s">
        <v>306</v>
      </c>
      <c r="N63" s="17">
        <v>6.0</v>
      </c>
      <c r="O63" s="17" t="s">
        <v>308</v>
      </c>
      <c r="P63" s="17">
        <v>0.0</v>
      </c>
      <c r="Q63" s="17">
        <v>544.0</v>
      </c>
      <c r="R63" s="17">
        <v>12.0</v>
      </c>
      <c r="S63" s="17">
        <v>0.0</v>
      </c>
      <c r="T63" s="17">
        <v>32.0</v>
      </c>
      <c r="U63" s="17">
        <v>12.0</v>
      </c>
      <c r="V63" s="17">
        <v>1248.0</v>
      </c>
      <c r="W63" s="19">
        <v>0.0096</v>
      </c>
      <c r="X63" s="20">
        <v>7.79</v>
      </c>
    </row>
    <row r="64" ht="15.75" customHeight="1">
      <c r="A64" s="12" t="s">
        <v>300</v>
      </c>
      <c r="B64" s="12" t="s">
        <v>669</v>
      </c>
      <c r="C64" s="12" t="b">
        <v>0</v>
      </c>
      <c r="D64" s="12">
        <v>200.0</v>
      </c>
      <c r="E64" s="12" t="s">
        <v>300</v>
      </c>
      <c r="F64" s="12" t="s">
        <v>300</v>
      </c>
      <c r="G64" s="12" t="b">
        <v>1</v>
      </c>
      <c r="H64" s="12" t="s">
        <v>302</v>
      </c>
      <c r="I64" s="12">
        <v>79.0</v>
      </c>
      <c r="J64" s="12" t="s">
        <v>303</v>
      </c>
      <c r="K64" s="12">
        <v>27.0</v>
      </c>
      <c r="L64" s="12">
        <v>1.0</v>
      </c>
      <c r="M64" s="12" t="s">
        <v>860</v>
      </c>
      <c r="N64" s="12">
        <v>6.0</v>
      </c>
      <c r="O64" s="12" t="s">
        <v>862</v>
      </c>
      <c r="P64" s="12">
        <v>0.0</v>
      </c>
      <c r="Q64" s="12">
        <v>380.0</v>
      </c>
      <c r="R64" s="12">
        <v>2.0</v>
      </c>
      <c r="S64" s="12">
        <v>0.0</v>
      </c>
      <c r="T64" s="12">
        <v>21.0</v>
      </c>
      <c r="U64" s="12">
        <v>0.0</v>
      </c>
      <c r="V64" s="12">
        <v>10.0</v>
      </c>
      <c r="W64" s="14">
        <v>0.0</v>
      </c>
      <c r="X64" s="15">
        <v>9.3</v>
      </c>
    </row>
    <row r="65" ht="15.75" customHeight="1">
      <c r="A65" s="17" t="s">
        <v>226</v>
      </c>
      <c r="B65" s="17" t="s">
        <v>669</v>
      </c>
      <c r="C65" s="17" t="b">
        <v>0</v>
      </c>
      <c r="D65" s="17">
        <v>200.0</v>
      </c>
      <c r="E65" s="17" t="s">
        <v>226</v>
      </c>
      <c r="F65" s="17" t="s">
        <v>226</v>
      </c>
      <c r="G65" s="17" t="b">
        <v>1</v>
      </c>
      <c r="H65" s="17" t="s">
        <v>228</v>
      </c>
      <c r="I65" s="17">
        <v>91.0</v>
      </c>
      <c r="J65" s="17" t="s">
        <v>874</v>
      </c>
      <c r="K65" s="17">
        <v>156.0</v>
      </c>
      <c r="L65" s="17">
        <v>1.0</v>
      </c>
      <c r="M65" s="17" t="s">
        <v>732</v>
      </c>
      <c r="N65" s="17">
        <v>6.0</v>
      </c>
      <c r="O65" s="17" t="s">
        <v>308</v>
      </c>
      <c r="P65" s="17">
        <v>0.0</v>
      </c>
      <c r="Q65" s="17">
        <v>395.0</v>
      </c>
      <c r="R65" s="17">
        <v>2.0</v>
      </c>
      <c r="S65" s="17">
        <v>0.0</v>
      </c>
      <c r="T65" s="17">
        <v>21.0</v>
      </c>
      <c r="U65" s="17">
        <v>0.0</v>
      </c>
      <c r="V65" s="17">
        <v>32.0</v>
      </c>
      <c r="W65" s="19">
        <v>0.0</v>
      </c>
      <c r="X65" s="20">
        <v>4.41</v>
      </c>
    </row>
    <row r="66" ht="15.75" customHeight="1">
      <c r="A66" s="12" t="s">
        <v>264</v>
      </c>
      <c r="B66" s="12" t="s">
        <v>669</v>
      </c>
      <c r="C66" s="12" t="b">
        <v>1</v>
      </c>
      <c r="D66" s="12">
        <v>200.0</v>
      </c>
      <c r="E66" s="12" t="s">
        <v>264</v>
      </c>
      <c r="F66" s="12" t="s">
        <v>264</v>
      </c>
      <c r="G66" s="12" t="b">
        <v>1</v>
      </c>
      <c r="H66" s="12" t="s">
        <v>268</v>
      </c>
      <c r="I66" s="12">
        <v>91.0</v>
      </c>
      <c r="J66" s="12" t="s">
        <v>303</v>
      </c>
      <c r="K66" s="12">
        <v>27.0</v>
      </c>
      <c r="L66" s="12">
        <v>1.0</v>
      </c>
      <c r="M66" s="12" t="s">
        <v>885</v>
      </c>
      <c r="N66" s="12">
        <v>6.0</v>
      </c>
      <c r="O66" s="12" t="s">
        <v>308</v>
      </c>
      <c r="P66" s="12">
        <v>0.0</v>
      </c>
      <c r="Q66" s="12">
        <v>552.0</v>
      </c>
      <c r="R66" s="12">
        <v>14.0</v>
      </c>
      <c r="S66" s="12">
        <v>0.0</v>
      </c>
      <c r="T66" s="12">
        <v>33.0</v>
      </c>
      <c r="U66" s="12">
        <v>0.0</v>
      </c>
      <c r="V66" s="12">
        <v>13.0</v>
      </c>
      <c r="W66" s="14">
        <v>0.0</v>
      </c>
      <c r="X66" s="15">
        <v>10.54</v>
      </c>
    </row>
    <row r="67" ht="15.75" customHeight="1">
      <c r="A67" s="17" t="s">
        <v>94</v>
      </c>
      <c r="B67" s="17" t="s">
        <v>669</v>
      </c>
      <c r="C67" s="17" t="b">
        <v>1</v>
      </c>
      <c r="D67" s="17">
        <v>200.0</v>
      </c>
      <c r="E67" s="17" t="s">
        <v>94</v>
      </c>
      <c r="F67" s="17" t="s">
        <v>94</v>
      </c>
      <c r="G67" s="17" t="b">
        <v>1</v>
      </c>
      <c r="H67" s="17" t="s">
        <v>97</v>
      </c>
      <c r="I67" s="17">
        <v>91.0</v>
      </c>
      <c r="J67" s="17" t="s">
        <v>303</v>
      </c>
      <c r="K67" s="17">
        <v>27.0</v>
      </c>
      <c r="L67" s="17">
        <v>1.0</v>
      </c>
      <c r="M67" s="17" t="s">
        <v>898</v>
      </c>
      <c r="N67" s="17">
        <v>6.0</v>
      </c>
      <c r="O67" s="17" t="s">
        <v>308</v>
      </c>
      <c r="P67" s="17">
        <v>0.0</v>
      </c>
      <c r="Q67" s="17">
        <v>563.0</v>
      </c>
      <c r="R67" s="17">
        <v>14.0</v>
      </c>
      <c r="S67" s="17">
        <v>0.0</v>
      </c>
      <c r="T67" s="17">
        <v>33.0</v>
      </c>
      <c r="U67" s="17">
        <v>2.0</v>
      </c>
      <c r="V67" s="17">
        <v>100.0</v>
      </c>
      <c r="W67" s="19">
        <v>0.02</v>
      </c>
      <c r="X67" s="20">
        <v>15.5</v>
      </c>
    </row>
    <row r="68" ht="15.75" customHeight="1">
      <c r="A68" s="12" t="s">
        <v>903</v>
      </c>
      <c r="B68" s="12" t="s">
        <v>669</v>
      </c>
      <c r="C68" s="12" t="b">
        <v>1</v>
      </c>
      <c r="D68" s="12">
        <v>200.0</v>
      </c>
      <c r="E68" s="12" t="s">
        <v>903</v>
      </c>
      <c r="F68" s="12" t="s">
        <v>903</v>
      </c>
      <c r="G68" s="12" t="b">
        <v>1</v>
      </c>
      <c r="H68" s="12" t="s">
        <v>374</v>
      </c>
      <c r="I68" s="12">
        <v>77.0</v>
      </c>
      <c r="J68" s="12" t="s">
        <v>303</v>
      </c>
      <c r="K68" s="12">
        <v>27.0</v>
      </c>
      <c r="L68" s="12">
        <v>1.0</v>
      </c>
      <c r="M68" s="12" t="s">
        <v>377</v>
      </c>
      <c r="N68" s="12">
        <v>6.0</v>
      </c>
      <c r="O68" s="12" t="s">
        <v>379</v>
      </c>
      <c r="P68" s="12">
        <v>0.0</v>
      </c>
      <c r="Q68" s="12">
        <v>468.0</v>
      </c>
      <c r="R68" s="12">
        <v>6.0</v>
      </c>
      <c r="S68" s="12">
        <v>0.0</v>
      </c>
      <c r="T68" s="12">
        <v>25.0</v>
      </c>
      <c r="U68" s="12">
        <v>0.0</v>
      </c>
      <c r="V68" s="12">
        <v>0.0</v>
      </c>
      <c r="W68" s="14">
        <v>0.0</v>
      </c>
      <c r="X68" s="15"/>
    </row>
    <row r="69" ht="15.75" customHeight="1">
      <c r="A69" s="17" t="s">
        <v>327</v>
      </c>
      <c r="B69" s="17" t="s">
        <v>669</v>
      </c>
      <c r="C69" s="17" t="b">
        <v>1</v>
      </c>
      <c r="D69" s="17">
        <v>200.0</v>
      </c>
      <c r="E69" s="17" t="s">
        <v>327</v>
      </c>
      <c r="F69" s="17" t="s">
        <v>327</v>
      </c>
      <c r="G69" s="17" t="b">
        <v>1</v>
      </c>
      <c r="H69" s="17" t="s">
        <v>329</v>
      </c>
      <c r="I69" s="17">
        <v>62.0</v>
      </c>
      <c r="J69" s="17" t="s">
        <v>303</v>
      </c>
      <c r="K69" s="17">
        <v>27.0</v>
      </c>
      <c r="L69" s="17">
        <v>1.0</v>
      </c>
      <c r="M69" s="17" t="s">
        <v>390</v>
      </c>
      <c r="N69" s="17">
        <v>6.0</v>
      </c>
      <c r="O69" s="17" t="s">
        <v>379</v>
      </c>
      <c r="P69" s="17">
        <v>0.0</v>
      </c>
      <c r="Q69" s="17">
        <v>465.0</v>
      </c>
      <c r="R69" s="17">
        <v>6.0</v>
      </c>
      <c r="S69" s="17">
        <v>0.0</v>
      </c>
      <c r="T69" s="17">
        <v>25.0</v>
      </c>
      <c r="U69" s="17">
        <v>0.0</v>
      </c>
      <c r="V69" s="17">
        <v>6.0</v>
      </c>
      <c r="W69" s="19">
        <v>0.0</v>
      </c>
      <c r="X69" s="20">
        <v>10.33</v>
      </c>
    </row>
    <row r="70" ht="15.75" customHeight="1">
      <c r="A70" s="12" t="s">
        <v>363</v>
      </c>
      <c r="B70" s="12" t="s">
        <v>669</v>
      </c>
      <c r="C70" s="12" t="b">
        <v>1</v>
      </c>
      <c r="D70" s="12">
        <v>200.0</v>
      </c>
      <c r="E70" s="12" t="s">
        <v>363</v>
      </c>
      <c r="F70" s="12" t="s">
        <v>363</v>
      </c>
      <c r="G70" s="12" t="b">
        <v>1</v>
      </c>
      <c r="H70" s="12" t="s">
        <v>207</v>
      </c>
      <c r="I70" s="12">
        <v>64.0</v>
      </c>
      <c r="J70" s="12" t="s">
        <v>303</v>
      </c>
      <c r="K70" s="12">
        <v>27.0</v>
      </c>
      <c r="L70" s="12">
        <v>1.0</v>
      </c>
      <c r="M70" s="12" t="s">
        <v>400</v>
      </c>
      <c r="N70" s="12">
        <v>6.0</v>
      </c>
      <c r="O70" s="12" t="s">
        <v>379</v>
      </c>
      <c r="P70" s="12">
        <v>0.0</v>
      </c>
      <c r="Q70" s="12">
        <v>464.0</v>
      </c>
      <c r="R70" s="12">
        <v>6.0</v>
      </c>
      <c r="S70" s="12">
        <v>0.0</v>
      </c>
      <c r="T70" s="12">
        <v>25.0</v>
      </c>
      <c r="U70" s="12">
        <v>0.0</v>
      </c>
      <c r="V70" s="12">
        <v>2.0</v>
      </c>
      <c r="W70" s="14">
        <v>0.0</v>
      </c>
      <c r="X70" s="15">
        <v>7.0</v>
      </c>
    </row>
    <row r="71" ht="15.75" customHeight="1">
      <c r="A71" s="17" t="s">
        <v>931</v>
      </c>
      <c r="B71" s="17" t="s">
        <v>669</v>
      </c>
      <c r="C71" s="17" t="b">
        <v>1</v>
      </c>
      <c r="D71" s="17">
        <v>200.0</v>
      </c>
      <c r="E71" s="17" t="s">
        <v>931</v>
      </c>
      <c r="F71" s="17" t="s">
        <v>931</v>
      </c>
      <c r="G71" s="17" t="b">
        <v>1</v>
      </c>
      <c r="H71" s="17" t="s">
        <v>406</v>
      </c>
      <c r="I71" s="17">
        <v>67.0</v>
      </c>
      <c r="J71" s="17" t="s">
        <v>303</v>
      </c>
      <c r="K71" s="17">
        <v>27.0</v>
      </c>
      <c r="L71" s="17">
        <v>1.0</v>
      </c>
      <c r="M71" s="17" t="s">
        <v>408</v>
      </c>
      <c r="N71" s="17">
        <v>6.0</v>
      </c>
      <c r="O71" s="17" t="s">
        <v>379</v>
      </c>
      <c r="P71" s="17">
        <v>0.0</v>
      </c>
      <c r="Q71" s="17">
        <v>467.0</v>
      </c>
      <c r="R71" s="17">
        <v>6.0</v>
      </c>
      <c r="S71" s="17">
        <v>0.0</v>
      </c>
      <c r="T71" s="17">
        <v>25.0</v>
      </c>
      <c r="U71" s="17">
        <v>0.0</v>
      </c>
      <c r="V71" s="17">
        <v>0.0</v>
      </c>
      <c r="W71" s="19">
        <v>0.0</v>
      </c>
      <c r="X71" s="20"/>
    </row>
    <row r="72" ht="15.75" customHeight="1">
      <c r="A72" s="12" t="s">
        <v>222</v>
      </c>
      <c r="B72" s="12" t="s">
        <v>669</v>
      </c>
      <c r="C72" s="12" t="b">
        <v>1</v>
      </c>
      <c r="D72" s="12">
        <v>200.0</v>
      </c>
      <c r="E72" s="12" t="s">
        <v>222</v>
      </c>
      <c r="F72" s="12" t="s">
        <v>222</v>
      </c>
      <c r="G72" s="12" t="b">
        <v>1</v>
      </c>
      <c r="H72" s="12" t="s">
        <v>225</v>
      </c>
      <c r="I72" s="12">
        <v>62.0</v>
      </c>
      <c r="J72" s="12" t="s">
        <v>303</v>
      </c>
      <c r="K72" s="12">
        <v>27.0</v>
      </c>
      <c r="L72" s="12">
        <v>1.0</v>
      </c>
      <c r="M72" s="12" t="s">
        <v>416</v>
      </c>
      <c r="N72" s="12">
        <v>6.0</v>
      </c>
      <c r="O72" s="12" t="s">
        <v>379</v>
      </c>
      <c r="P72" s="12">
        <v>0.0</v>
      </c>
      <c r="Q72" s="12">
        <v>464.0</v>
      </c>
      <c r="R72" s="12">
        <v>6.0</v>
      </c>
      <c r="S72" s="12">
        <v>0.0</v>
      </c>
      <c r="T72" s="12">
        <v>25.0</v>
      </c>
      <c r="U72" s="12">
        <v>0.0</v>
      </c>
      <c r="V72" s="12">
        <v>35.0</v>
      </c>
      <c r="W72" s="14">
        <v>0.0</v>
      </c>
      <c r="X72" s="15">
        <v>4.66</v>
      </c>
    </row>
    <row r="73" ht="15.75" customHeight="1">
      <c r="A73" s="17" t="s">
        <v>956</v>
      </c>
      <c r="B73" s="17" t="s">
        <v>669</v>
      </c>
      <c r="C73" s="17" t="b">
        <v>1</v>
      </c>
      <c r="D73" s="17">
        <v>200.0</v>
      </c>
      <c r="E73" s="17" t="s">
        <v>956</v>
      </c>
      <c r="F73" s="17" t="s">
        <v>956</v>
      </c>
      <c r="G73" s="17" t="b">
        <v>1</v>
      </c>
      <c r="H73" s="17" t="s">
        <v>384</v>
      </c>
      <c r="I73" s="17">
        <v>63.0</v>
      </c>
      <c r="J73" s="17" t="s">
        <v>303</v>
      </c>
      <c r="K73" s="17">
        <v>27.0</v>
      </c>
      <c r="L73" s="17">
        <v>1.0</v>
      </c>
      <c r="M73" s="17" t="s">
        <v>422</v>
      </c>
      <c r="N73" s="17">
        <v>6.0</v>
      </c>
      <c r="O73" s="17" t="s">
        <v>379</v>
      </c>
      <c r="P73" s="17">
        <v>0.0</v>
      </c>
      <c r="Q73" s="17">
        <v>465.0</v>
      </c>
      <c r="R73" s="17">
        <v>6.0</v>
      </c>
      <c r="S73" s="17">
        <v>0.0</v>
      </c>
      <c r="T73" s="17">
        <v>25.0</v>
      </c>
      <c r="U73" s="17">
        <v>0.0</v>
      </c>
      <c r="V73" s="17">
        <v>0.0</v>
      </c>
      <c r="W73" s="19">
        <v>0.0</v>
      </c>
      <c r="X73" s="20"/>
    </row>
    <row r="74" ht="15.75" customHeight="1">
      <c r="A74" s="12" t="s">
        <v>966</v>
      </c>
      <c r="B74" s="12" t="s">
        <v>669</v>
      </c>
      <c r="C74" s="12" t="b">
        <v>1</v>
      </c>
      <c r="D74" s="12">
        <v>200.0</v>
      </c>
      <c r="E74" s="12" t="s">
        <v>966</v>
      </c>
      <c r="F74" s="12" t="s">
        <v>966</v>
      </c>
      <c r="G74" s="12" t="b">
        <v>1</v>
      </c>
      <c r="H74" s="12" t="s">
        <v>321</v>
      </c>
      <c r="I74" s="12">
        <v>63.0</v>
      </c>
      <c r="J74" s="12" t="s">
        <v>303</v>
      </c>
      <c r="K74" s="12">
        <v>27.0</v>
      </c>
      <c r="L74" s="12">
        <v>1.0</v>
      </c>
      <c r="M74" s="12" t="s">
        <v>428</v>
      </c>
      <c r="N74" s="12">
        <v>6.0</v>
      </c>
      <c r="O74" s="12" t="s">
        <v>379</v>
      </c>
      <c r="P74" s="12">
        <v>0.0</v>
      </c>
      <c r="Q74" s="12">
        <v>462.0</v>
      </c>
      <c r="R74" s="12">
        <v>6.0</v>
      </c>
      <c r="S74" s="12">
        <v>0.0</v>
      </c>
      <c r="T74" s="12">
        <v>25.0</v>
      </c>
      <c r="U74" s="12">
        <v>0.0</v>
      </c>
      <c r="V74" s="12">
        <v>0.0</v>
      </c>
      <c r="W74" s="14">
        <v>0.0</v>
      </c>
      <c r="X74" s="15"/>
    </row>
    <row r="75" ht="15.75" customHeight="1">
      <c r="A75" s="17" t="s">
        <v>295</v>
      </c>
      <c r="B75" s="17" t="s">
        <v>669</v>
      </c>
      <c r="C75" s="17" t="b">
        <v>1</v>
      </c>
      <c r="D75" s="17">
        <v>200.0</v>
      </c>
      <c r="E75" s="17" t="s">
        <v>295</v>
      </c>
      <c r="F75" s="17" t="s">
        <v>295</v>
      </c>
      <c r="G75" s="17" t="b">
        <v>1</v>
      </c>
      <c r="H75" s="17" t="s">
        <v>299</v>
      </c>
      <c r="I75" s="17">
        <v>64.0</v>
      </c>
      <c r="J75" s="17" t="s">
        <v>303</v>
      </c>
      <c r="K75" s="17">
        <v>27.0</v>
      </c>
      <c r="L75" s="17">
        <v>1.0</v>
      </c>
      <c r="M75" s="17" t="s">
        <v>434</v>
      </c>
      <c r="N75" s="17">
        <v>6.0</v>
      </c>
      <c r="O75" s="17" t="s">
        <v>379</v>
      </c>
      <c r="P75" s="17">
        <v>0.0</v>
      </c>
      <c r="Q75" s="17">
        <v>463.0</v>
      </c>
      <c r="R75" s="17">
        <v>6.0</v>
      </c>
      <c r="S75" s="17">
        <v>0.0</v>
      </c>
      <c r="T75" s="17">
        <v>25.0</v>
      </c>
      <c r="U75" s="17">
        <v>0.0</v>
      </c>
      <c r="V75" s="17">
        <v>10.0</v>
      </c>
      <c r="W75" s="19">
        <v>0.0</v>
      </c>
      <c r="X75" s="20">
        <v>3.1</v>
      </c>
    </row>
    <row r="76" ht="15.75" customHeight="1">
      <c r="A76" s="12" t="s">
        <v>986</v>
      </c>
      <c r="B76" s="12" t="s">
        <v>669</v>
      </c>
      <c r="C76" s="12" t="b">
        <v>1</v>
      </c>
      <c r="D76" s="12">
        <v>200.0</v>
      </c>
      <c r="E76" s="12" t="s">
        <v>986</v>
      </c>
      <c r="F76" s="12" t="s">
        <v>986</v>
      </c>
      <c r="G76" s="12" t="b">
        <v>1</v>
      </c>
      <c r="H76" s="12" t="s">
        <v>387</v>
      </c>
      <c r="I76" s="12">
        <v>63.0</v>
      </c>
      <c r="J76" s="12" t="s">
        <v>303</v>
      </c>
      <c r="K76" s="12">
        <v>27.0</v>
      </c>
      <c r="L76" s="12">
        <v>1.0</v>
      </c>
      <c r="M76" s="12" t="s">
        <v>438</v>
      </c>
      <c r="N76" s="12">
        <v>6.0</v>
      </c>
      <c r="O76" s="12" t="s">
        <v>379</v>
      </c>
      <c r="P76" s="12">
        <v>0.0</v>
      </c>
      <c r="Q76" s="12">
        <v>463.0</v>
      </c>
      <c r="R76" s="12">
        <v>6.0</v>
      </c>
      <c r="S76" s="12">
        <v>0.0</v>
      </c>
      <c r="T76" s="12">
        <v>25.0</v>
      </c>
      <c r="U76" s="12">
        <v>0.0</v>
      </c>
      <c r="V76" s="12">
        <v>0.0</v>
      </c>
      <c r="W76" s="14">
        <v>0.0</v>
      </c>
      <c r="X76" s="15"/>
    </row>
    <row r="77" ht="15.75" customHeight="1">
      <c r="A77" s="17" t="s">
        <v>48</v>
      </c>
      <c r="B77" s="17" t="s">
        <v>669</v>
      </c>
      <c r="C77" s="17" t="b">
        <v>1</v>
      </c>
      <c r="D77" s="17">
        <v>200.0</v>
      </c>
      <c r="E77" s="17" t="s">
        <v>48</v>
      </c>
      <c r="F77" s="17" t="s">
        <v>48</v>
      </c>
      <c r="G77" s="17" t="b">
        <v>1</v>
      </c>
      <c r="H77" s="17" t="s">
        <v>49</v>
      </c>
      <c r="I77" s="17">
        <v>68.0</v>
      </c>
      <c r="J77" s="17" t="s">
        <v>303</v>
      </c>
      <c r="K77" s="17">
        <v>27.0</v>
      </c>
      <c r="L77" s="17">
        <v>1.0</v>
      </c>
      <c r="M77" s="17" t="s">
        <v>447</v>
      </c>
      <c r="N77" s="17">
        <v>6.0</v>
      </c>
      <c r="O77" s="17" t="s">
        <v>379</v>
      </c>
      <c r="P77" s="17">
        <v>0.0</v>
      </c>
      <c r="Q77" s="17">
        <v>468.0</v>
      </c>
      <c r="R77" s="17">
        <v>6.0</v>
      </c>
      <c r="S77" s="17">
        <v>0.0</v>
      </c>
      <c r="T77" s="17">
        <v>25.0</v>
      </c>
      <c r="U77" s="17">
        <v>9.0</v>
      </c>
      <c r="V77" s="17">
        <v>58.0</v>
      </c>
      <c r="W77" s="19">
        <v>0.1552</v>
      </c>
      <c r="X77" s="20">
        <v>4.19</v>
      </c>
    </row>
    <row r="78" ht="15.75" customHeight="1">
      <c r="A78" s="12" t="s">
        <v>1012</v>
      </c>
      <c r="B78" s="12" t="s">
        <v>669</v>
      </c>
      <c r="C78" s="12" t="b">
        <v>1</v>
      </c>
      <c r="D78" s="12">
        <v>200.0</v>
      </c>
      <c r="E78" s="12" t="s">
        <v>1012</v>
      </c>
      <c r="F78" s="12" t="s">
        <v>1012</v>
      </c>
      <c r="G78" s="12" t="b">
        <v>1</v>
      </c>
      <c r="H78" s="12" t="s">
        <v>128</v>
      </c>
      <c r="I78" s="12">
        <v>65.0</v>
      </c>
      <c r="J78" s="12" t="s">
        <v>303</v>
      </c>
      <c r="K78" s="12">
        <v>27.0</v>
      </c>
      <c r="L78" s="12">
        <v>1.0</v>
      </c>
      <c r="M78" s="12" t="s">
        <v>460</v>
      </c>
      <c r="N78" s="12">
        <v>6.0</v>
      </c>
      <c r="O78" s="12" t="s">
        <v>379</v>
      </c>
      <c r="P78" s="12">
        <v>0.0</v>
      </c>
      <c r="Q78" s="12">
        <v>467.0</v>
      </c>
      <c r="R78" s="12">
        <v>6.0</v>
      </c>
      <c r="S78" s="12">
        <v>0.0</v>
      </c>
      <c r="T78" s="12">
        <v>25.0</v>
      </c>
      <c r="U78" s="12">
        <v>0.0</v>
      </c>
      <c r="V78" s="12">
        <v>0.0</v>
      </c>
      <c r="W78" s="14">
        <v>0.0</v>
      </c>
      <c r="X78" s="15"/>
    </row>
    <row r="79" ht="15.75" customHeight="1">
      <c r="A79" s="17" t="s">
        <v>371</v>
      </c>
      <c r="B79" s="17" t="s">
        <v>669</v>
      </c>
      <c r="C79" s="17" t="b">
        <v>1</v>
      </c>
      <c r="D79" s="17">
        <v>200.0</v>
      </c>
      <c r="E79" s="17" t="s">
        <v>371</v>
      </c>
      <c r="F79" s="17" t="s">
        <v>371</v>
      </c>
      <c r="G79" s="17" t="b">
        <v>1</v>
      </c>
      <c r="H79" s="17" t="s">
        <v>373</v>
      </c>
      <c r="I79" s="17">
        <v>70.0</v>
      </c>
      <c r="J79" s="17" t="s">
        <v>303</v>
      </c>
      <c r="K79" s="17">
        <v>27.0</v>
      </c>
      <c r="L79" s="17">
        <v>1.0</v>
      </c>
      <c r="M79" s="17" t="s">
        <v>467</v>
      </c>
      <c r="N79" s="17">
        <v>6.0</v>
      </c>
      <c r="O79" s="17" t="s">
        <v>379</v>
      </c>
      <c r="P79" s="17">
        <v>0.0</v>
      </c>
      <c r="Q79" s="17">
        <v>467.0</v>
      </c>
      <c r="R79" s="17">
        <v>6.0</v>
      </c>
      <c r="S79" s="17">
        <v>0.0</v>
      </c>
      <c r="T79" s="17">
        <v>25.0</v>
      </c>
      <c r="U79" s="17">
        <v>0.0</v>
      </c>
      <c r="V79" s="17">
        <v>2.0</v>
      </c>
      <c r="W79" s="19">
        <v>0.0</v>
      </c>
      <c r="X79" s="20">
        <v>28.5</v>
      </c>
    </row>
    <row r="80" ht="15.75" customHeight="1">
      <c r="A80" s="12" t="s">
        <v>1026</v>
      </c>
      <c r="B80" s="12" t="s">
        <v>669</v>
      </c>
      <c r="C80" s="12" t="b">
        <v>1</v>
      </c>
      <c r="D80" s="12">
        <v>200.0</v>
      </c>
      <c r="E80" s="12" t="s">
        <v>1026</v>
      </c>
      <c r="F80" s="12" t="s">
        <v>1026</v>
      </c>
      <c r="G80" s="12" t="b">
        <v>1</v>
      </c>
      <c r="H80" s="12" t="s">
        <v>1044</v>
      </c>
      <c r="I80" s="12">
        <v>66.0</v>
      </c>
      <c r="J80" s="12" t="s">
        <v>1048</v>
      </c>
      <c r="K80" s="12">
        <v>44.0</v>
      </c>
      <c r="L80" s="12">
        <v>1.0</v>
      </c>
      <c r="M80" s="12" t="s">
        <v>1051</v>
      </c>
      <c r="N80" s="12">
        <v>6.0</v>
      </c>
      <c r="O80" s="12" t="s">
        <v>308</v>
      </c>
      <c r="P80" s="12">
        <v>0.0</v>
      </c>
      <c r="Q80" s="12">
        <v>433.0</v>
      </c>
      <c r="R80" s="12">
        <v>8.0</v>
      </c>
      <c r="S80" s="12">
        <v>0.0</v>
      </c>
      <c r="T80" s="12">
        <v>28.0</v>
      </c>
      <c r="U80" s="12">
        <v>0.0</v>
      </c>
      <c r="V80" s="12">
        <v>0.0</v>
      </c>
      <c r="W80" s="14">
        <v>0.0</v>
      </c>
      <c r="X80" s="15"/>
    </row>
    <row r="81" ht="15.75" customHeight="1">
      <c r="A81" s="17" t="s">
        <v>1033</v>
      </c>
      <c r="B81" s="17" t="s">
        <v>669</v>
      </c>
      <c r="C81" s="17" t="b">
        <v>1</v>
      </c>
      <c r="D81" s="17">
        <v>200.0</v>
      </c>
      <c r="E81" s="17" t="s">
        <v>1033</v>
      </c>
      <c r="F81" s="17" t="s">
        <v>1033</v>
      </c>
      <c r="G81" s="17" t="b">
        <v>1</v>
      </c>
      <c r="H81" s="17" t="s">
        <v>1065</v>
      </c>
      <c r="I81" s="17">
        <v>70.0</v>
      </c>
      <c r="J81" s="17" t="s">
        <v>1066</v>
      </c>
      <c r="K81" s="17">
        <v>48.0</v>
      </c>
      <c r="L81" s="17">
        <v>1.0</v>
      </c>
      <c r="M81" s="17" t="s">
        <v>1069</v>
      </c>
      <c r="N81" s="17">
        <v>6.0</v>
      </c>
      <c r="O81" s="17" t="s">
        <v>308</v>
      </c>
      <c r="P81" s="17">
        <v>0.0</v>
      </c>
      <c r="Q81" s="17">
        <v>384.0</v>
      </c>
      <c r="R81" s="17">
        <v>3.0</v>
      </c>
      <c r="S81" s="17">
        <v>0.0</v>
      </c>
      <c r="T81" s="17">
        <v>23.0</v>
      </c>
      <c r="U81" s="17">
        <v>0.0</v>
      </c>
      <c r="V81" s="17">
        <v>0.0</v>
      </c>
      <c r="W81" s="19">
        <v>0.0</v>
      </c>
      <c r="X81" s="20"/>
    </row>
    <row r="82" ht="15.75" customHeight="1">
      <c r="A82" s="12" t="s">
        <v>1038</v>
      </c>
      <c r="B82" s="12" t="s">
        <v>669</v>
      </c>
      <c r="C82" s="12" t="b">
        <v>1</v>
      </c>
      <c r="D82" s="12">
        <v>200.0</v>
      </c>
      <c r="E82" s="12" t="s">
        <v>1038</v>
      </c>
      <c r="F82" s="12" t="s">
        <v>1038</v>
      </c>
      <c r="G82" s="12" t="b">
        <v>1</v>
      </c>
      <c r="H82" s="12" t="s">
        <v>491</v>
      </c>
      <c r="I82" s="12">
        <v>61.0</v>
      </c>
      <c r="J82" s="12" t="s">
        <v>1083</v>
      </c>
      <c r="K82" s="12">
        <v>39.0</v>
      </c>
      <c r="L82" s="12">
        <v>1.0</v>
      </c>
      <c r="M82" s="12" t="s">
        <v>494</v>
      </c>
      <c r="N82" s="12">
        <v>6.0</v>
      </c>
      <c r="O82" s="12" t="s">
        <v>308</v>
      </c>
      <c r="P82" s="12">
        <v>0.0</v>
      </c>
      <c r="Q82" s="12">
        <v>413.0</v>
      </c>
      <c r="R82" s="12">
        <v>6.0</v>
      </c>
      <c r="S82" s="12">
        <v>0.0</v>
      </c>
      <c r="T82" s="12">
        <v>26.0</v>
      </c>
      <c r="U82" s="12">
        <v>0.0</v>
      </c>
      <c r="V82" s="12">
        <v>0.0</v>
      </c>
      <c r="W82" s="14">
        <v>0.0</v>
      </c>
      <c r="X82" s="15"/>
    </row>
    <row r="83" ht="15.75" customHeight="1">
      <c r="A83" s="17" t="s">
        <v>18</v>
      </c>
      <c r="B83" s="17" t="s">
        <v>669</v>
      </c>
      <c r="C83" s="17" t="b">
        <v>0</v>
      </c>
      <c r="D83" s="17">
        <v>404.0</v>
      </c>
      <c r="E83" s="17" t="s">
        <v>18</v>
      </c>
      <c r="F83" s="17"/>
      <c r="G83" s="17" t="b">
        <v>0</v>
      </c>
      <c r="H83" s="17" t="s">
        <v>24</v>
      </c>
      <c r="I83" s="17">
        <v>34.0</v>
      </c>
      <c r="J83" s="17"/>
      <c r="K83" s="17">
        <v>0.0</v>
      </c>
      <c r="L83" s="17">
        <v>1.0</v>
      </c>
      <c r="M83" s="17" t="s">
        <v>1096</v>
      </c>
      <c r="N83" s="17">
        <v>0.0</v>
      </c>
      <c r="O83" s="17"/>
      <c r="P83" s="17">
        <v>0.0</v>
      </c>
      <c r="Q83" s="17">
        <v>14.0</v>
      </c>
      <c r="R83" s="17">
        <v>0.0</v>
      </c>
      <c r="S83" s="17">
        <v>0.0</v>
      </c>
      <c r="T83" s="17">
        <v>0.0</v>
      </c>
      <c r="U83" s="17">
        <v>100.0</v>
      </c>
      <c r="V83" s="17">
        <v>2800.0</v>
      </c>
      <c r="W83" s="19">
        <v>0.035699999999999996</v>
      </c>
      <c r="X83" s="20">
        <v>10.58</v>
      </c>
    </row>
    <row r="84" ht="15.75" customHeight="1">
      <c r="A84" s="12" t="s">
        <v>229</v>
      </c>
      <c r="B84" s="12" t="s">
        <v>669</v>
      </c>
      <c r="C84" s="12" t="b">
        <v>1</v>
      </c>
      <c r="D84" s="12">
        <v>200.0</v>
      </c>
      <c r="E84" s="12" t="s">
        <v>229</v>
      </c>
      <c r="F84" s="12" t="s">
        <v>229</v>
      </c>
      <c r="G84" s="12" t="b">
        <v>1</v>
      </c>
      <c r="H84" s="12" t="s">
        <v>231</v>
      </c>
      <c r="I84" s="12">
        <v>91.0</v>
      </c>
      <c r="J84" s="12" t="s">
        <v>1109</v>
      </c>
      <c r="K84" s="12">
        <v>142.0</v>
      </c>
      <c r="L84" s="12">
        <v>1.0</v>
      </c>
      <c r="M84" s="12" t="s">
        <v>1110</v>
      </c>
      <c r="N84" s="12">
        <v>6.0</v>
      </c>
      <c r="O84" s="12" t="s">
        <v>308</v>
      </c>
      <c r="P84" s="12">
        <v>0.0</v>
      </c>
      <c r="Q84" s="12">
        <v>387.0</v>
      </c>
      <c r="R84" s="12">
        <v>2.0</v>
      </c>
      <c r="S84" s="12">
        <v>0.0</v>
      </c>
      <c r="T84" s="12">
        <v>21.0</v>
      </c>
      <c r="U84" s="12">
        <v>0.0</v>
      </c>
      <c r="V84" s="12">
        <v>25.0</v>
      </c>
      <c r="W84" s="14">
        <v>0.0</v>
      </c>
      <c r="X84" s="15">
        <v>7.52</v>
      </c>
    </row>
    <row r="85" ht="15.75" customHeight="1">
      <c r="A85" s="17" t="s">
        <v>239</v>
      </c>
      <c r="B85" s="17" t="s">
        <v>669</v>
      </c>
      <c r="C85" s="17" t="b">
        <v>0</v>
      </c>
      <c r="D85" s="17">
        <v>200.0</v>
      </c>
      <c r="E85" s="17" t="s">
        <v>239</v>
      </c>
      <c r="F85" s="17" t="s">
        <v>239</v>
      </c>
      <c r="G85" s="17" t="b">
        <v>1</v>
      </c>
      <c r="H85" s="17" t="s">
        <v>240</v>
      </c>
      <c r="I85" s="17">
        <v>96.0</v>
      </c>
      <c r="J85" s="17" t="s">
        <v>1121</v>
      </c>
      <c r="K85" s="17">
        <v>147.0</v>
      </c>
      <c r="L85" s="17">
        <v>1.0</v>
      </c>
      <c r="M85" s="17" t="s">
        <v>1124</v>
      </c>
      <c r="N85" s="17">
        <v>6.0</v>
      </c>
      <c r="O85" s="17" t="s">
        <v>308</v>
      </c>
      <c r="P85" s="17">
        <v>0.0</v>
      </c>
      <c r="Q85" s="17">
        <v>1042.0</v>
      </c>
      <c r="R85" s="17">
        <v>3.0</v>
      </c>
      <c r="S85" s="17">
        <v>0.0</v>
      </c>
      <c r="T85" s="17">
        <v>22.0</v>
      </c>
      <c r="U85" s="17">
        <v>0.0</v>
      </c>
      <c r="V85" s="17">
        <v>22.0</v>
      </c>
      <c r="W85" s="19">
        <v>0.0</v>
      </c>
      <c r="X85" s="20">
        <v>10.09</v>
      </c>
    </row>
    <row r="86" ht="15.75" customHeight="1">
      <c r="A86" s="12" t="s">
        <v>26</v>
      </c>
      <c r="B86" s="12" t="s">
        <v>669</v>
      </c>
      <c r="C86" s="12" t="b">
        <v>0</v>
      </c>
      <c r="D86" s="12">
        <v>200.0</v>
      </c>
      <c r="E86" s="12" t="s">
        <v>28</v>
      </c>
      <c r="F86" s="12" t="s">
        <v>28</v>
      </c>
      <c r="G86" s="12" t="b">
        <v>0</v>
      </c>
      <c r="H86" s="12" t="s">
        <v>29</v>
      </c>
      <c r="I86" s="12">
        <v>79.0</v>
      </c>
      <c r="J86" s="12" t="s">
        <v>303</v>
      </c>
      <c r="K86" s="12">
        <v>27.0</v>
      </c>
      <c r="L86" s="12">
        <v>1.0</v>
      </c>
      <c r="M86" s="12" t="s">
        <v>1130</v>
      </c>
      <c r="N86" s="12">
        <v>6.0</v>
      </c>
      <c r="O86" s="12" t="s">
        <v>505</v>
      </c>
      <c r="P86" s="12">
        <v>0.0</v>
      </c>
      <c r="Q86" s="12">
        <v>389.0</v>
      </c>
      <c r="R86" s="12">
        <v>2.0</v>
      </c>
      <c r="S86" s="12">
        <v>0.0</v>
      </c>
      <c r="T86" s="12">
        <v>21.0</v>
      </c>
      <c r="U86" s="12">
        <v>31.0</v>
      </c>
      <c r="V86" s="12">
        <v>1442.0</v>
      </c>
      <c r="W86" s="14">
        <v>0.0215</v>
      </c>
      <c r="X86" s="15">
        <v>7.89</v>
      </c>
    </row>
    <row r="87" ht="15.75" customHeight="1">
      <c r="A87" s="17" t="s">
        <v>62</v>
      </c>
      <c r="B87" s="17" t="s">
        <v>669</v>
      </c>
      <c r="C87" s="17" t="b">
        <v>0</v>
      </c>
      <c r="D87" s="17">
        <v>200.0</v>
      </c>
      <c r="E87" s="17" t="s">
        <v>62</v>
      </c>
      <c r="F87" s="17" t="s">
        <v>62</v>
      </c>
      <c r="G87" s="17" t="b">
        <v>1</v>
      </c>
      <c r="H87" s="17" t="s">
        <v>64</v>
      </c>
      <c r="I87" s="17">
        <v>91.0</v>
      </c>
      <c r="J87" s="17" t="s">
        <v>1131</v>
      </c>
      <c r="K87" s="17">
        <v>112.0</v>
      </c>
      <c r="L87" s="17">
        <v>1.0</v>
      </c>
      <c r="M87" s="17" t="s">
        <v>1132</v>
      </c>
      <c r="N87" s="17">
        <v>6.0</v>
      </c>
      <c r="O87" s="17" t="s">
        <v>308</v>
      </c>
      <c r="P87" s="17">
        <v>0.0</v>
      </c>
      <c r="Q87" s="17">
        <v>964.0</v>
      </c>
      <c r="R87" s="17">
        <v>3.0</v>
      </c>
      <c r="S87" s="17">
        <v>0.0</v>
      </c>
      <c r="T87" s="17">
        <v>22.0</v>
      </c>
      <c r="U87" s="17">
        <v>3.0</v>
      </c>
      <c r="V87" s="17">
        <v>194.0</v>
      </c>
      <c r="W87" s="19">
        <v>0.0155</v>
      </c>
      <c r="X87" s="20">
        <v>7.24</v>
      </c>
    </row>
    <row r="88" ht="15.75" customHeight="1">
      <c r="A88" s="12" t="s">
        <v>36</v>
      </c>
      <c r="B88" s="12" t="s">
        <v>669</v>
      </c>
      <c r="C88" s="12" t="b">
        <v>0</v>
      </c>
      <c r="D88" s="12">
        <v>200.0</v>
      </c>
      <c r="E88" s="12" t="s">
        <v>38</v>
      </c>
      <c r="F88" s="12" t="s">
        <v>38</v>
      </c>
      <c r="G88" s="12" t="b">
        <v>0</v>
      </c>
      <c r="H88" s="12" t="s">
        <v>39</v>
      </c>
      <c r="I88" s="12">
        <v>90.0</v>
      </c>
      <c r="J88" s="12" t="s">
        <v>1133</v>
      </c>
      <c r="K88" s="12">
        <v>146.0</v>
      </c>
      <c r="L88" s="12">
        <v>1.0</v>
      </c>
      <c r="M88" s="12" t="s">
        <v>1134</v>
      </c>
      <c r="N88" s="12">
        <v>6.0</v>
      </c>
      <c r="O88" s="12" t="s">
        <v>308</v>
      </c>
      <c r="P88" s="12">
        <v>0.0</v>
      </c>
      <c r="Q88" s="12">
        <v>1089.0</v>
      </c>
      <c r="R88" s="12">
        <v>3.0</v>
      </c>
      <c r="S88" s="12">
        <v>0.0</v>
      </c>
      <c r="T88" s="12">
        <v>22.0</v>
      </c>
      <c r="U88" s="12">
        <v>12.0</v>
      </c>
      <c r="V88" s="12">
        <v>1390.0</v>
      </c>
      <c r="W88" s="14">
        <v>0.0086</v>
      </c>
      <c r="X88" s="15">
        <v>8.31</v>
      </c>
    </row>
    <row r="89" ht="15.75" customHeight="1">
      <c r="A89" s="17" t="s">
        <v>50</v>
      </c>
      <c r="B89" s="17" t="s">
        <v>669</v>
      </c>
      <c r="C89" s="17" t="b">
        <v>0</v>
      </c>
      <c r="D89" s="17">
        <v>200.0</v>
      </c>
      <c r="E89" s="17" t="s">
        <v>51</v>
      </c>
      <c r="F89" s="17" t="s">
        <v>51</v>
      </c>
      <c r="G89" s="17" t="b">
        <v>0</v>
      </c>
      <c r="H89" s="17" t="s">
        <v>52</v>
      </c>
      <c r="I89" s="17">
        <v>91.0</v>
      </c>
      <c r="J89" s="17" t="s">
        <v>1135</v>
      </c>
      <c r="K89" s="17">
        <v>159.0</v>
      </c>
      <c r="L89" s="17">
        <v>1.0</v>
      </c>
      <c r="M89" s="17" t="s">
        <v>1136</v>
      </c>
      <c r="N89" s="17">
        <v>6.0</v>
      </c>
      <c r="O89" s="17" t="s">
        <v>308</v>
      </c>
      <c r="P89" s="17">
        <v>0.0</v>
      </c>
      <c r="Q89" s="17">
        <v>611.0</v>
      </c>
      <c r="R89" s="17">
        <v>3.0</v>
      </c>
      <c r="S89" s="17">
        <v>0.0</v>
      </c>
      <c r="T89" s="17">
        <v>22.0</v>
      </c>
      <c r="U89" s="17">
        <v>7.0</v>
      </c>
      <c r="V89" s="17">
        <v>161.0</v>
      </c>
      <c r="W89" s="19">
        <v>0.0435</v>
      </c>
      <c r="X89" s="20">
        <v>6.43</v>
      </c>
    </row>
    <row r="90" ht="15.75" customHeight="1">
      <c r="A90" s="12" t="s">
        <v>169</v>
      </c>
      <c r="B90" s="12" t="s">
        <v>669</v>
      </c>
      <c r="C90" s="12" t="b">
        <v>0</v>
      </c>
      <c r="D90" s="12">
        <v>200.0</v>
      </c>
      <c r="E90" s="12" t="s">
        <v>169</v>
      </c>
      <c r="F90" s="12" t="s">
        <v>169</v>
      </c>
      <c r="G90" s="12" t="b">
        <v>1</v>
      </c>
      <c r="H90" s="12" t="s">
        <v>171</v>
      </c>
      <c r="I90" s="12">
        <v>91.0</v>
      </c>
      <c r="J90" s="12" t="s">
        <v>1138</v>
      </c>
      <c r="K90" s="12">
        <v>158.0</v>
      </c>
      <c r="L90" s="12">
        <v>1.0</v>
      </c>
      <c r="M90" s="12" t="s">
        <v>1139</v>
      </c>
      <c r="N90" s="12">
        <v>6.0</v>
      </c>
      <c r="O90" s="12" t="s">
        <v>308</v>
      </c>
      <c r="P90" s="12">
        <v>0.0</v>
      </c>
      <c r="Q90" s="12">
        <v>993.0</v>
      </c>
      <c r="R90" s="12">
        <v>3.0</v>
      </c>
      <c r="S90" s="12">
        <v>0.0</v>
      </c>
      <c r="T90" s="12">
        <v>22.0</v>
      </c>
      <c r="U90" s="12">
        <v>1.0</v>
      </c>
      <c r="V90" s="12">
        <v>45.0</v>
      </c>
      <c r="W90" s="14">
        <v>0.0222</v>
      </c>
      <c r="X90" s="15">
        <v>7.07</v>
      </c>
    </row>
    <row r="91" ht="15.75" customHeight="1">
      <c r="A91" s="17" t="s">
        <v>51</v>
      </c>
      <c r="B91" s="17" t="s">
        <v>669</v>
      </c>
      <c r="C91" s="17" t="b">
        <v>0</v>
      </c>
      <c r="D91" s="17">
        <v>200.0</v>
      </c>
      <c r="E91" s="17" t="s">
        <v>51</v>
      </c>
      <c r="F91" s="17" t="s">
        <v>51</v>
      </c>
      <c r="G91" s="17" t="b">
        <v>1</v>
      </c>
      <c r="H91" s="17" t="s">
        <v>52</v>
      </c>
      <c r="I91" s="17">
        <v>91.0</v>
      </c>
      <c r="J91" s="17" t="s">
        <v>1135</v>
      </c>
      <c r="K91" s="17">
        <v>159.0</v>
      </c>
      <c r="L91" s="17">
        <v>1.0</v>
      </c>
      <c r="M91" s="17" t="s">
        <v>1136</v>
      </c>
      <c r="N91" s="17">
        <v>6.0</v>
      </c>
      <c r="O91" s="17" t="s">
        <v>308</v>
      </c>
      <c r="P91" s="17">
        <v>0.0</v>
      </c>
      <c r="Q91" s="17">
        <v>611.0</v>
      </c>
      <c r="R91" s="17">
        <v>3.0</v>
      </c>
      <c r="S91" s="17">
        <v>0.0</v>
      </c>
      <c r="T91" s="17">
        <v>22.0</v>
      </c>
      <c r="U91" s="17">
        <v>1.0</v>
      </c>
      <c r="V91" s="17">
        <v>467.0</v>
      </c>
      <c r="W91" s="19">
        <v>0.0021</v>
      </c>
      <c r="X91" s="20">
        <v>5.37</v>
      </c>
    </row>
    <row r="92" ht="15.75" customHeight="1">
      <c r="A92" s="12" t="s">
        <v>82</v>
      </c>
      <c r="B92" s="12" t="s">
        <v>669</v>
      </c>
      <c r="C92" s="12" t="b">
        <v>0</v>
      </c>
      <c r="D92" s="12">
        <v>200.0</v>
      </c>
      <c r="E92" s="12" t="s">
        <v>38</v>
      </c>
      <c r="F92" s="12" t="s">
        <v>38</v>
      </c>
      <c r="G92" s="12" t="b">
        <v>0</v>
      </c>
      <c r="H92" s="12" t="s">
        <v>39</v>
      </c>
      <c r="I92" s="12">
        <v>90.0</v>
      </c>
      <c r="J92" s="12" t="s">
        <v>1133</v>
      </c>
      <c r="K92" s="12">
        <v>146.0</v>
      </c>
      <c r="L92" s="12">
        <v>1.0</v>
      </c>
      <c r="M92" s="12" t="s">
        <v>1134</v>
      </c>
      <c r="N92" s="12">
        <v>6.0</v>
      </c>
      <c r="O92" s="12" t="s">
        <v>308</v>
      </c>
      <c r="P92" s="12">
        <v>0.0</v>
      </c>
      <c r="Q92" s="12">
        <v>1089.0</v>
      </c>
      <c r="R92" s="12">
        <v>3.0</v>
      </c>
      <c r="S92" s="12">
        <v>0.0</v>
      </c>
      <c r="T92" s="12">
        <v>22.0</v>
      </c>
      <c r="U92" s="12">
        <v>2.0</v>
      </c>
      <c r="V92" s="12">
        <v>380.0</v>
      </c>
      <c r="W92" s="14">
        <v>0.0053</v>
      </c>
      <c r="X92" s="15">
        <v>5.53</v>
      </c>
    </row>
    <row r="93" ht="15.75" customHeight="1">
      <c r="A93" s="17" t="s">
        <v>86</v>
      </c>
      <c r="B93" s="17" t="s">
        <v>669</v>
      </c>
      <c r="C93" s="17" t="b">
        <v>0</v>
      </c>
      <c r="D93" s="17">
        <v>200.0</v>
      </c>
      <c r="E93" s="17" t="s">
        <v>88</v>
      </c>
      <c r="F93" s="17" t="s">
        <v>88</v>
      </c>
      <c r="G93" s="17" t="b">
        <v>0</v>
      </c>
      <c r="H93" s="17" t="s">
        <v>89</v>
      </c>
      <c r="I93" s="17">
        <v>91.0</v>
      </c>
      <c r="J93" s="17" t="s">
        <v>1142</v>
      </c>
      <c r="K93" s="17">
        <v>168.0</v>
      </c>
      <c r="L93" s="17">
        <v>1.0</v>
      </c>
      <c r="M93" s="17" t="s">
        <v>1143</v>
      </c>
      <c r="N93" s="17">
        <v>6.0</v>
      </c>
      <c r="O93" s="17" t="s">
        <v>308</v>
      </c>
      <c r="P93" s="17">
        <v>0.0</v>
      </c>
      <c r="Q93" s="17">
        <v>882.0</v>
      </c>
      <c r="R93" s="17">
        <v>3.0</v>
      </c>
      <c r="S93" s="17">
        <v>0.0</v>
      </c>
      <c r="T93" s="17">
        <v>22.0</v>
      </c>
      <c r="U93" s="17">
        <v>2.0</v>
      </c>
      <c r="V93" s="17">
        <v>148.0</v>
      </c>
      <c r="W93" s="19">
        <v>0.013500000000000002</v>
      </c>
      <c r="X93" s="20">
        <v>10.28</v>
      </c>
    </row>
    <row r="94" ht="15.75" customHeight="1">
      <c r="A94" s="12" t="s">
        <v>44</v>
      </c>
      <c r="B94" s="12" t="s">
        <v>669</v>
      </c>
      <c r="C94" s="12" t="b">
        <v>0</v>
      </c>
      <c r="D94" s="12">
        <v>200.0</v>
      </c>
      <c r="E94" s="12" t="s">
        <v>44</v>
      </c>
      <c r="F94" s="12" t="s">
        <v>44</v>
      </c>
      <c r="G94" s="12" t="b">
        <v>1</v>
      </c>
      <c r="H94" s="12" t="s">
        <v>46</v>
      </c>
      <c r="I94" s="12">
        <v>91.0</v>
      </c>
      <c r="J94" s="12" t="s">
        <v>1145</v>
      </c>
      <c r="K94" s="12">
        <v>161.0</v>
      </c>
      <c r="L94" s="12">
        <v>1.0</v>
      </c>
      <c r="M94" s="12" t="s">
        <v>1146</v>
      </c>
      <c r="N94" s="12">
        <v>6.0</v>
      </c>
      <c r="O94" s="12" t="s">
        <v>308</v>
      </c>
      <c r="P94" s="12">
        <v>0.0</v>
      </c>
      <c r="Q94" s="12">
        <v>372.0</v>
      </c>
      <c r="R94" s="12">
        <v>2.0</v>
      </c>
      <c r="S94" s="12">
        <v>0.0</v>
      </c>
      <c r="T94" s="12">
        <v>21.0</v>
      </c>
      <c r="U94" s="12">
        <v>9.0</v>
      </c>
      <c r="V94" s="12">
        <v>173.0</v>
      </c>
      <c r="W94" s="14">
        <v>0.052000000000000005</v>
      </c>
      <c r="X94" s="15">
        <v>6.69</v>
      </c>
    </row>
    <row r="95" ht="15.75" customHeight="1">
      <c r="A95" s="17" t="s">
        <v>71</v>
      </c>
      <c r="B95" s="17" t="s">
        <v>669</v>
      </c>
      <c r="C95" s="17" t="b">
        <v>0</v>
      </c>
      <c r="D95" s="17">
        <v>200.0</v>
      </c>
      <c r="E95" s="17" t="s">
        <v>71</v>
      </c>
      <c r="F95" s="17" t="s">
        <v>71</v>
      </c>
      <c r="G95" s="17" t="b">
        <v>1</v>
      </c>
      <c r="H95" s="17" t="s">
        <v>73</v>
      </c>
      <c r="I95" s="17">
        <v>72.0</v>
      </c>
      <c r="J95" s="17" t="s">
        <v>1152</v>
      </c>
      <c r="K95" s="17">
        <v>43.0</v>
      </c>
      <c r="L95" s="17">
        <v>1.0</v>
      </c>
      <c r="M95" s="17" t="s">
        <v>1153</v>
      </c>
      <c r="N95" s="17">
        <v>6.0</v>
      </c>
      <c r="O95" s="17" t="s">
        <v>594</v>
      </c>
      <c r="P95" s="17">
        <v>0.0</v>
      </c>
      <c r="Q95" s="17">
        <v>531.0</v>
      </c>
      <c r="R95" s="17">
        <v>5.0</v>
      </c>
      <c r="S95" s="17">
        <v>0.0</v>
      </c>
      <c r="T95" s="17">
        <v>35.0</v>
      </c>
      <c r="U95" s="17">
        <v>3.0</v>
      </c>
      <c r="V95" s="17">
        <v>69.0</v>
      </c>
      <c r="W95" s="19">
        <v>0.0435</v>
      </c>
      <c r="X95" s="20">
        <v>7.45</v>
      </c>
    </row>
    <row r="96" ht="15.75" customHeight="1">
      <c r="A96" s="12" t="s">
        <v>220</v>
      </c>
      <c r="B96" s="12" t="s">
        <v>669</v>
      </c>
      <c r="C96" s="12" t="b">
        <v>0</v>
      </c>
      <c r="D96" s="12">
        <v>200.0</v>
      </c>
      <c r="E96" s="12" t="s">
        <v>220</v>
      </c>
      <c r="F96" s="12" t="s">
        <v>220</v>
      </c>
      <c r="G96" s="12" t="b">
        <v>1</v>
      </c>
      <c r="H96" s="12" t="s">
        <v>221</v>
      </c>
      <c r="I96" s="12">
        <v>74.0</v>
      </c>
      <c r="J96" s="12" t="s">
        <v>1162</v>
      </c>
      <c r="K96" s="12">
        <v>52.0</v>
      </c>
      <c r="L96" s="12">
        <v>1.0</v>
      </c>
      <c r="M96" s="12" t="s">
        <v>1163</v>
      </c>
      <c r="N96" s="12">
        <v>6.0</v>
      </c>
      <c r="O96" s="12" t="s">
        <v>594</v>
      </c>
      <c r="P96" s="12">
        <v>0.0</v>
      </c>
      <c r="Q96" s="12">
        <v>510.0</v>
      </c>
      <c r="R96" s="12">
        <v>3.0</v>
      </c>
      <c r="S96" s="12">
        <v>0.0</v>
      </c>
      <c r="T96" s="12">
        <v>33.0</v>
      </c>
      <c r="U96" s="12">
        <v>0.0</v>
      </c>
      <c r="V96" s="12">
        <v>68.0</v>
      </c>
      <c r="W96" s="14">
        <v>0.0</v>
      </c>
      <c r="X96" s="15">
        <v>12.44</v>
      </c>
    </row>
    <row r="97" ht="15.75" customHeight="1">
      <c r="A97" s="17" t="s">
        <v>287</v>
      </c>
      <c r="B97" s="17" t="s">
        <v>669</v>
      </c>
      <c r="C97" s="17" t="b">
        <v>0</v>
      </c>
      <c r="D97" s="17">
        <v>200.0</v>
      </c>
      <c r="E97" s="17" t="s">
        <v>287</v>
      </c>
      <c r="F97" s="17" t="s">
        <v>287</v>
      </c>
      <c r="G97" s="17" t="b">
        <v>1</v>
      </c>
      <c r="H97" s="17" t="s">
        <v>293</v>
      </c>
      <c r="I97" s="17">
        <v>81.0</v>
      </c>
      <c r="J97" s="17" t="s">
        <v>1173</v>
      </c>
      <c r="K97" s="17">
        <v>39.0</v>
      </c>
      <c r="L97" s="17">
        <v>1.0</v>
      </c>
      <c r="M97" s="17" t="s">
        <v>1175</v>
      </c>
      <c r="N97" s="17">
        <v>6.0</v>
      </c>
      <c r="O97" s="17" t="s">
        <v>594</v>
      </c>
      <c r="P97" s="17">
        <v>0.0</v>
      </c>
      <c r="Q97" s="17">
        <v>563.0</v>
      </c>
      <c r="R97" s="17">
        <v>5.0</v>
      </c>
      <c r="S97" s="17">
        <v>0.0</v>
      </c>
      <c r="T97" s="17">
        <v>35.0</v>
      </c>
      <c r="U97" s="17">
        <v>0.0</v>
      </c>
      <c r="V97" s="17">
        <v>11.0</v>
      </c>
      <c r="W97" s="19">
        <v>0.0</v>
      </c>
      <c r="X97" s="20">
        <v>10.0</v>
      </c>
    </row>
    <row r="98" ht="15.75" customHeight="1">
      <c r="A98" s="12" t="s">
        <v>765</v>
      </c>
      <c r="B98" s="12" t="s">
        <v>669</v>
      </c>
      <c r="C98" s="12" t="b">
        <v>1</v>
      </c>
      <c r="D98" s="12">
        <v>200.0</v>
      </c>
      <c r="E98" s="12" t="s">
        <v>765</v>
      </c>
      <c r="F98" s="12" t="s">
        <v>765</v>
      </c>
      <c r="G98" s="12" t="b">
        <v>1</v>
      </c>
      <c r="H98" s="12" t="s">
        <v>391</v>
      </c>
      <c r="I98" s="12">
        <v>89.0</v>
      </c>
      <c r="J98" s="12" t="s">
        <v>609</v>
      </c>
      <c r="K98" s="12">
        <v>145.0</v>
      </c>
      <c r="L98" s="12">
        <v>1.0</v>
      </c>
      <c r="M98" s="12" t="s">
        <v>1187</v>
      </c>
      <c r="N98" s="12">
        <v>6.0</v>
      </c>
      <c r="O98" s="12" t="s">
        <v>616</v>
      </c>
      <c r="P98" s="12">
        <v>0.0</v>
      </c>
      <c r="Q98" s="12">
        <v>1180.0</v>
      </c>
      <c r="R98" s="12">
        <v>26.0</v>
      </c>
      <c r="S98" s="12">
        <v>0.0</v>
      </c>
      <c r="T98" s="12">
        <v>32.0</v>
      </c>
      <c r="U98" s="12">
        <v>0.0</v>
      </c>
      <c r="V98" s="12">
        <v>0.0</v>
      </c>
      <c r="W98" s="14">
        <v>0.0</v>
      </c>
      <c r="X98" s="15"/>
    </row>
    <row r="99" ht="15.75" customHeight="1">
      <c r="A99" s="17" t="s">
        <v>773</v>
      </c>
      <c r="B99" s="17" t="s">
        <v>669</v>
      </c>
      <c r="C99" s="17" t="b">
        <v>1</v>
      </c>
      <c r="D99" s="17">
        <v>200.0</v>
      </c>
      <c r="E99" s="17" t="s">
        <v>773</v>
      </c>
      <c r="F99" s="17" t="s">
        <v>773</v>
      </c>
      <c r="G99" s="17" t="b">
        <v>1</v>
      </c>
      <c r="H99" s="17" t="s">
        <v>628</v>
      </c>
      <c r="I99" s="17">
        <v>89.0</v>
      </c>
      <c r="J99" s="17" t="s">
        <v>629</v>
      </c>
      <c r="K99" s="17">
        <v>107.0</v>
      </c>
      <c r="L99" s="17">
        <v>1.0</v>
      </c>
      <c r="M99" s="17" t="s">
        <v>1193</v>
      </c>
      <c r="N99" s="17">
        <v>6.0</v>
      </c>
      <c r="O99" s="17" t="s">
        <v>616</v>
      </c>
      <c r="P99" s="17">
        <v>0.0</v>
      </c>
      <c r="Q99" s="17">
        <v>857.0</v>
      </c>
      <c r="R99" s="17">
        <v>12.0</v>
      </c>
      <c r="S99" s="17">
        <v>0.0</v>
      </c>
      <c r="T99" s="17">
        <v>31.0</v>
      </c>
      <c r="U99" s="17">
        <v>0.0</v>
      </c>
      <c r="V99" s="17">
        <v>0.0</v>
      </c>
      <c r="W99" s="19">
        <v>0.0</v>
      </c>
      <c r="X99" s="20"/>
    </row>
    <row r="100" ht="15.75" customHeight="1">
      <c r="A100" s="12" t="s">
        <v>251</v>
      </c>
      <c r="B100" s="12" t="s">
        <v>669</v>
      </c>
      <c r="C100" s="12" t="b">
        <v>0</v>
      </c>
      <c r="D100" s="12">
        <v>200.0</v>
      </c>
      <c r="E100" s="12" t="s">
        <v>251</v>
      </c>
      <c r="F100" s="12" t="s">
        <v>251</v>
      </c>
      <c r="G100" s="12" t="b">
        <v>1</v>
      </c>
      <c r="H100" s="12" t="s">
        <v>254</v>
      </c>
      <c r="I100" s="12">
        <v>70.0</v>
      </c>
      <c r="J100" s="12" t="s">
        <v>1203</v>
      </c>
      <c r="K100" s="12">
        <v>155.0</v>
      </c>
      <c r="L100" s="12">
        <v>1.0</v>
      </c>
      <c r="M100" s="12" t="s">
        <v>1204</v>
      </c>
      <c r="N100" s="12">
        <v>6.0</v>
      </c>
      <c r="O100" s="12" t="s">
        <v>308</v>
      </c>
      <c r="P100" s="12">
        <v>0.0</v>
      </c>
      <c r="Q100" s="12">
        <v>818.0</v>
      </c>
      <c r="R100" s="12">
        <v>2.0</v>
      </c>
      <c r="S100" s="12">
        <v>0.0</v>
      </c>
      <c r="T100" s="12">
        <v>21.0</v>
      </c>
      <c r="U100" s="12">
        <v>0.0</v>
      </c>
      <c r="V100" s="12">
        <v>14.0</v>
      </c>
      <c r="W100" s="14">
        <v>0.0</v>
      </c>
      <c r="X100" s="15">
        <v>5.57</v>
      </c>
    </row>
    <row r="101" ht="15.75" customHeight="1">
      <c r="A101" s="17" t="s">
        <v>335</v>
      </c>
      <c r="B101" s="17" t="s">
        <v>1212</v>
      </c>
      <c r="C101" s="17" t="b">
        <v>1</v>
      </c>
      <c r="D101" s="17">
        <v>200.0</v>
      </c>
      <c r="E101" s="17" t="s">
        <v>335</v>
      </c>
      <c r="F101" s="17" t="s">
        <v>335</v>
      </c>
      <c r="G101" s="17" t="b">
        <v>1</v>
      </c>
      <c r="H101" s="17" t="s">
        <v>338</v>
      </c>
      <c r="I101" s="17">
        <v>53.0</v>
      </c>
      <c r="J101" s="17" t="s">
        <v>1219</v>
      </c>
      <c r="K101" s="17">
        <v>27.0</v>
      </c>
      <c r="L101" s="17">
        <v>1.0</v>
      </c>
      <c r="M101" s="17" t="s">
        <v>1222</v>
      </c>
      <c r="N101" s="17">
        <v>6.0</v>
      </c>
      <c r="O101" s="17" t="s">
        <v>308</v>
      </c>
      <c r="P101" s="17">
        <v>0.0</v>
      </c>
      <c r="Q101" s="17">
        <v>560.0</v>
      </c>
      <c r="R101" s="17">
        <v>12.0</v>
      </c>
      <c r="S101" s="17">
        <v>0.0</v>
      </c>
      <c r="T101" s="17">
        <v>32.0</v>
      </c>
      <c r="U101" s="17">
        <v>0.0</v>
      </c>
      <c r="V101" s="17">
        <v>5.0</v>
      </c>
      <c r="W101" s="19">
        <v>0.0</v>
      </c>
      <c r="X101" s="20">
        <v>4.8</v>
      </c>
    </row>
    <row r="102" ht="15.75" customHeight="1">
      <c r="A102" s="12" t="s">
        <v>1229</v>
      </c>
      <c r="B102" s="12" t="s">
        <v>1212</v>
      </c>
      <c r="C102" s="12" t="b">
        <v>1</v>
      </c>
      <c r="D102" s="12">
        <v>200.0</v>
      </c>
      <c r="E102" s="12" t="s">
        <v>1229</v>
      </c>
      <c r="F102" s="12" t="s">
        <v>1229</v>
      </c>
      <c r="G102" s="12" t="b">
        <v>1</v>
      </c>
      <c r="H102" s="12" t="s">
        <v>1233</v>
      </c>
      <c r="I102" s="12">
        <v>91.0</v>
      </c>
      <c r="J102" s="12" t="s">
        <v>1219</v>
      </c>
      <c r="K102" s="12">
        <v>27.0</v>
      </c>
      <c r="L102" s="12">
        <v>1.0</v>
      </c>
      <c r="M102" s="12" t="s">
        <v>1239</v>
      </c>
      <c r="N102" s="12">
        <v>6.0</v>
      </c>
      <c r="O102" s="12" t="s">
        <v>308</v>
      </c>
      <c r="P102" s="12">
        <v>0.0</v>
      </c>
      <c r="Q102" s="12">
        <v>568.0</v>
      </c>
      <c r="R102" s="12">
        <v>14.0</v>
      </c>
      <c r="S102" s="12">
        <v>0.0</v>
      </c>
      <c r="T102" s="12">
        <v>33.0</v>
      </c>
      <c r="U102" s="12">
        <v>0.0</v>
      </c>
      <c r="V102" s="12">
        <v>0.0</v>
      </c>
      <c r="W102" s="14">
        <v>0.0</v>
      </c>
      <c r="X102" s="15"/>
    </row>
    <row r="103" ht="15.75" customHeight="1">
      <c r="A103" s="17" t="s">
        <v>332</v>
      </c>
      <c r="B103" s="17" t="s">
        <v>1212</v>
      </c>
      <c r="C103" s="17" t="b">
        <v>1</v>
      </c>
      <c r="D103" s="17">
        <v>200.0</v>
      </c>
      <c r="E103" s="17" t="s">
        <v>332</v>
      </c>
      <c r="F103" s="17" t="s">
        <v>332</v>
      </c>
      <c r="G103" s="17" t="b">
        <v>1</v>
      </c>
      <c r="H103" s="17" t="s">
        <v>334</v>
      </c>
      <c r="I103" s="17">
        <v>91.0</v>
      </c>
      <c r="J103" s="17" t="s">
        <v>1219</v>
      </c>
      <c r="K103" s="17">
        <v>27.0</v>
      </c>
      <c r="L103" s="17">
        <v>1.0</v>
      </c>
      <c r="M103" s="17" t="s">
        <v>1254</v>
      </c>
      <c r="N103" s="17">
        <v>6.0</v>
      </c>
      <c r="O103" s="17" t="s">
        <v>308</v>
      </c>
      <c r="P103" s="17">
        <v>0.0</v>
      </c>
      <c r="Q103" s="17">
        <v>577.0</v>
      </c>
      <c r="R103" s="17">
        <v>14.0</v>
      </c>
      <c r="S103" s="17">
        <v>0.0</v>
      </c>
      <c r="T103" s="17">
        <v>33.0</v>
      </c>
      <c r="U103" s="17">
        <v>0.0</v>
      </c>
      <c r="V103" s="17">
        <v>6.0</v>
      </c>
      <c r="W103" s="19">
        <v>0.0</v>
      </c>
      <c r="X103" s="20">
        <v>62.17</v>
      </c>
    </row>
    <row r="104" ht="15.75" customHeight="1">
      <c r="A104" s="12" t="s">
        <v>1263</v>
      </c>
      <c r="B104" s="12" t="s">
        <v>1212</v>
      </c>
      <c r="C104" s="12" t="b">
        <v>1</v>
      </c>
      <c r="D104" s="12">
        <v>200.0</v>
      </c>
      <c r="E104" s="12" t="s">
        <v>1263</v>
      </c>
      <c r="F104" s="12" t="s">
        <v>1263</v>
      </c>
      <c r="G104" s="12" t="b">
        <v>1</v>
      </c>
      <c r="H104" s="12" t="s">
        <v>374</v>
      </c>
      <c r="I104" s="12">
        <v>77.0</v>
      </c>
      <c r="J104" s="12" t="s">
        <v>1219</v>
      </c>
      <c r="K104" s="12">
        <v>27.0</v>
      </c>
      <c r="L104" s="12">
        <v>1.0</v>
      </c>
      <c r="M104" s="12" t="s">
        <v>377</v>
      </c>
      <c r="N104" s="12">
        <v>6.0</v>
      </c>
      <c r="O104" s="12" t="s">
        <v>379</v>
      </c>
      <c r="P104" s="12">
        <v>0.0</v>
      </c>
      <c r="Q104" s="12">
        <v>478.0</v>
      </c>
      <c r="R104" s="12">
        <v>6.0</v>
      </c>
      <c r="S104" s="12">
        <v>0.0</v>
      </c>
      <c r="T104" s="12">
        <v>25.0</v>
      </c>
      <c r="U104" s="12">
        <v>0.0</v>
      </c>
      <c r="V104" s="12">
        <v>0.0</v>
      </c>
      <c r="W104" s="14">
        <v>0.0</v>
      </c>
      <c r="X104" s="15"/>
    </row>
    <row r="105" ht="15.75" customHeight="1">
      <c r="A105" s="17" t="s">
        <v>1276</v>
      </c>
      <c r="B105" s="17" t="s">
        <v>1212</v>
      </c>
      <c r="C105" s="17" t="b">
        <v>1</v>
      </c>
      <c r="D105" s="17">
        <v>200.0</v>
      </c>
      <c r="E105" s="17" t="s">
        <v>1276</v>
      </c>
      <c r="F105" s="17" t="s">
        <v>1276</v>
      </c>
      <c r="G105" s="17" t="b">
        <v>1</v>
      </c>
      <c r="H105" s="17" t="s">
        <v>329</v>
      </c>
      <c r="I105" s="17">
        <v>62.0</v>
      </c>
      <c r="J105" s="17" t="s">
        <v>1219</v>
      </c>
      <c r="K105" s="17">
        <v>27.0</v>
      </c>
      <c r="L105" s="17">
        <v>1.0</v>
      </c>
      <c r="M105" s="17" t="s">
        <v>390</v>
      </c>
      <c r="N105" s="17">
        <v>6.0</v>
      </c>
      <c r="O105" s="17" t="s">
        <v>379</v>
      </c>
      <c r="P105" s="17">
        <v>0.0</v>
      </c>
      <c r="Q105" s="17">
        <v>475.0</v>
      </c>
      <c r="R105" s="17">
        <v>6.0</v>
      </c>
      <c r="S105" s="17">
        <v>0.0</v>
      </c>
      <c r="T105" s="17">
        <v>25.0</v>
      </c>
      <c r="U105" s="17">
        <v>0.0</v>
      </c>
      <c r="V105" s="17">
        <v>0.0</v>
      </c>
      <c r="W105" s="19">
        <v>0.0</v>
      </c>
      <c r="X105" s="20"/>
    </row>
    <row r="106" ht="15.75" customHeight="1">
      <c r="A106" s="12" t="s">
        <v>1291</v>
      </c>
      <c r="B106" s="12" t="s">
        <v>1212</v>
      </c>
      <c r="C106" s="12" t="b">
        <v>1</v>
      </c>
      <c r="D106" s="12">
        <v>200.0</v>
      </c>
      <c r="E106" s="12" t="s">
        <v>1291</v>
      </c>
      <c r="F106" s="12" t="s">
        <v>1291</v>
      </c>
      <c r="G106" s="12" t="b">
        <v>1</v>
      </c>
      <c r="H106" s="12" t="s">
        <v>207</v>
      </c>
      <c r="I106" s="12">
        <v>64.0</v>
      </c>
      <c r="J106" s="12" t="s">
        <v>1219</v>
      </c>
      <c r="K106" s="12">
        <v>27.0</v>
      </c>
      <c r="L106" s="12">
        <v>1.0</v>
      </c>
      <c r="M106" s="12" t="s">
        <v>400</v>
      </c>
      <c r="N106" s="12">
        <v>6.0</v>
      </c>
      <c r="O106" s="12" t="s">
        <v>379</v>
      </c>
      <c r="P106" s="12">
        <v>0.0</v>
      </c>
      <c r="Q106" s="12">
        <v>474.0</v>
      </c>
      <c r="R106" s="12">
        <v>6.0</v>
      </c>
      <c r="S106" s="12">
        <v>0.0</v>
      </c>
      <c r="T106" s="12">
        <v>25.0</v>
      </c>
      <c r="U106" s="12">
        <v>0.0</v>
      </c>
      <c r="V106" s="12">
        <v>0.0</v>
      </c>
      <c r="W106" s="14">
        <v>0.0</v>
      </c>
      <c r="X106" s="15"/>
    </row>
    <row r="107" ht="15.75" customHeight="1">
      <c r="A107" s="17" t="s">
        <v>1305</v>
      </c>
      <c r="B107" s="17" t="s">
        <v>1212</v>
      </c>
      <c r="C107" s="17" t="b">
        <v>1</v>
      </c>
      <c r="D107" s="17">
        <v>200.0</v>
      </c>
      <c r="E107" s="17" t="s">
        <v>1305</v>
      </c>
      <c r="F107" s="17" t="s">
        <v>1305</v>
      </c>
      <c r="G107" s="17" t="b">
        <v>1</v>
      </c>
      <c r="H107" s="17" t="s">
        <v>406</v>
      </c>
      <c r="I107" s="17">
        <v>67.0</v>
      </c>
      <c r="J107" s="17" t="s">
        <v>1219</v>
      </c>
      <c r="K107" s="17">
        <v>27.0</v>
      </c>
      <c r="L107" s="17">
        <v>1.0</v>
      </c>
      <c r="M107" s="17" t="s">
        <v>408</v>
      </c>
      <c r="N107" s="17">
        <v>6.0</v>
      </c>
      <c r="O107" s="17" t="s">
        <v>379</v>
      </c>
      <c r="P107" s="17">
        <v>0.0</v>
      </c>
      <c r="Q107" s="17">
        <v>477.0</v>
      </c>
      <c r="R107" s="17">
        <v>6.0</v>
      </c>
      <c r="S107" s="17">
        <v>0.0</v>
      </c>
      <c r="T107" s="17">
        <v>25.0</v>
      </c>
      <c r="U107" s="17">
        <v>0.0</v>
      </c>
      <c r="V107" s="17">
        <v>0.0</v>
      </c>
      <c r="W107" s="19">
        <v>0.0</v>
      </c>
      <c r="X107" s="20"/>
    </row>
    <row r="108" ht="15.75" customHeight="1">
      <c r="A108" s="12" t="s">
        <v>343</v>
      </c>
      <c r="B108" s="12" t="s">
        <v>1212</v>
      </c>
      <c r="C108" s="12" t="b">
        <v>1</v>
      </c>
      <c r="D108" s="12">
        <v>200.0</v>
      </c>
      <c r="E108" s="12" t="s">
        <v>343</v>
      </c>
      <c r="F108" s="12" t="s">
        <v>343</v>
      </c>
      <c r="G108" s="12" t="b">
        <v>1</v>
      </c>
      <c r="H108" s="12" t="s">
        <v>225</v>
      </c>
      <c r="I108" s="12">
        <v>62.0</v>
      </c>
      <c r="J108" s="12" t="s">
        <v>1219</v>
      </c>
      <c r="K108" s="12">
        <v>27.0</v>
      </c>
      <c r="L108" s="12">
        <v>1.0</v>
      </c>
      <c r="M108" s="12" t="s">
        <v>416</v>
      </c>
      <c r="N108" s="12">
        <v>6.0</v>
      </c>
      <c r="O108" s="12" t="s">
        <v>379</v>
      </c>
      <c r="P108" s="12">
        <v>0.0</v>
      </c>
      <c r="Q108" s="12">
        <v>474.0</v>
      </c>
      <c r="R108" s="12">
        <v>6.0</v>
      </c>
      <c r="S108" s="12">
        <v>0.0</v>
      </c>
      <c r="T108" s="12">
        <v>25.0</v>
      </c>
      <c r="U108" s="12">
        <v>0.0</v>
      </c>
      <c r="V108" s="12">
        <v>3.0</v>
      </c>
      <c r="W108" s="14">
        <v>0.0</v>
      </c>
      <c r="X108" s="15">
        <v>2.0</v>
      </c>
    </row>
    <row r="109" ht="15.75" customHeight="1">
      <c r="A109" s="17" t="s">
        <v>1327</v>
      </c>
      <c r="B109" s="17" t="s">
        <v>1212</v>
      </c>
      <c r="C109" s="17" t="b">
        <v>1</v>
      </c>
      <c r="D109" s="17">
        <v>200.0</v>
      </c>
      <c r="E109" s="17" t="s">
        <v>1327</v>
      </c>
      <c r="F109" s="17" t="s">
        <v>1327</v>
      </c>
      <c r="G109" s="17" t="b">
        <v>1</v>
      </c>
      <c r="H109" s="17" t="s">
        <v>384</v>
      </c>
      <c r="I109" s="17">
        <v>63.0</v>
      </c>
      <c r="J109" s="17" t="s">
        <v>1219</v>
      </c>
      <c r="K109" s="17">
        <v>27.0</v>
      </c>
      <c r="L109" s="17">
        <v>1.0</v>
      </c>
      <c r="M109" s="17" t="s">
        <v>422</v>
      </c>
      <c r="N109" s="17">
        <v>6.0</v>
      </c>
      <c r="O109" s="17" t="s">
        <v>379</v>
      </c>
      <c r="P109" s="17">
        <v>0.0</v>
      </c>
      <c r="Q109" s="17">
        <v>475.0</v>
      </c>
      <c r="R109" s="17">
        <v>6.0</v>
      </c>
      <c r="S109" s="17">
        <v>0.0</v>
      </c>
      <c r="T109" s="17">
        <v>25.0</v>
      </c>
      <c r="U109" s="17">
        <v>0.0</v>
      </c>
      <c r="V109" s="17">
        <v>0.0</v>
      </c>
      <c r="W109" s="19">
        <v>0.0</v>
      </c>
      <c r="X109" s="20"/>
    </row>
    <row r="110" ht="15.75" customHeight="1">
      <c r="A110" s="12" t="s">
        <v>1332</v>
      </c>
      <c r="B110" s="12" t="s">
        <v>1212</v>
      </c>
      <c r="C110" s="12" t="b">
        <v>1</v>
      </c>
      <c r="D110" s="12">
        <v>200.0</v>
      </c>
      <c r="E110" s="12" t="s">
        <v>1332</v>
      </c>
      <c r="F110" s="12" t="s">
        <v>1332</v>
      </c>
      <c r="G110" s="12" t="b">
        <v>1</v>
      </c>
      <c r="H110" s="12" t="s">
        <v>321</v>
      </c>
      <c r="I110" s="12">
        <v>63.0</v>
      </c>
      <c r="J110" s="12" t="s">
        <v>1219</v>
      </c>
      <c r="K110" s="12">
        <v>27.0</v>
      </c>
      <c r="L110" s="12">
        <v>1.0</v>
      </c>
      <c r="M110" s="12" t="s">
        <v>428</v>
      </c>
      <c r="N110" s="12">
        <v>6.0</v>
      </c>
      <c r="O110" s="12" t="s">
        <v>379</v>
      </c>
      <c r="P110" s="12">
        <v>0.0</v>
      </c>
      <c r="Q110" s="12">
        <v>472.0</v>
      </c>
      <c r="R110" s="12">
        <v>6.0</v>
      </c>
      <c r="S110" s="12">
        <v>0.0</v>
      </c>
      <c r="T110" s="12">
        <v>25.0</v>
      </c>
      <c r="U110" s="12">
        <v>0.0</v>
      </c>
      <c r="V110" s="12">
        <v>0.0</v>
      </c>
      <c r="W110" s="14">
        <v>0.0</v>
      </c>
      <c r="X110" s="15"/>
    </row>
    <row r="111" ht="15.75" customHeight="1">
      <c r="A111" s="17" t="s">
        <v>1341</v>
      </c>
      <c r="B111" s="17" t="s">
        <v>1212</v>
      </c>
      <c r="C111" s="17" t="b">
        <v>1</v>
      </c>
      <c r="D111" s="17">
        <v>200.0</v>
      </c>
      <c r="E111" s="17" t="s">
        <v>1341</v>
      </c>
      <c r="F111" s="17" t="s">
        <v>1341</v>
      </c>
      <c r="G111" s="17" t="b">
        <v>1</v>
      </c>
      <c r="H111" s="17" t="s">
        <v>299</v>
      </c>
      <c r="I111" s="17">
        <v>64.0</v>
      </c>
      <c r="J111" s="17" t="s">
        <v>1219</v>
      </c>
      <c r="K111" s="17">
        <v>27.0</v>
      </c>
      <c r="L111" s="17">
        <v>1.0</v>
      </c>
      <c r="M111" s="17" t="s">
        <v>434</v>
      </c>
      <c r="N111" s="17">
        <v>6.0</v>
      </c>
      <c r="O111" s="17" t="s">
        <v>379</v>
      </c>
      <c r="P111" s="17">
        <v>0.0</v>
      </c>
      <c r="Q111" s="17">
        <v>473.0</v>
      </c>
      <c r="R111" s="17">
        <v>6.0</v>
      </c>
      <c r="S111" s="17">
        <v>0.0</v>
      </c>
      <c r="T111" s="17">
        <v>25.0</v>
      </c>
      <c r="U111" s="17">
        <v>0.0</v>
      </c>
      <c r="V111" s="17">
        <v>0.0</v>
      </c>
      <c r="W111" s="19">
        <v>0.0</v>
      </c>
      <c r="X111" s="20"/>
    </row>
    <row r="112" ht="15.75" customHeight="1">
      <c r="A112" s="12" t="s">
        <v>1352</v>
      </c>
      <c r="B112" s="12" t="s">
        <v>1212</v>
      </c>
      <c r="C112" s="12" t="b">
        <v>1</v>
      </c>
      <c r="D112" s="12">
        <v>200.0</v>
      </c>
      <c r="E112" s="12" t="s">
        <v>1352</v>
      </c>
      <c r="F112" s="12" t="s">
        <v>1352</v>
      </c>
      <c r="G112" s="12" t="b">
        <v>1</v>
      </c>
      <c r="H112" s="12" t="s">
        <v>387</v>
      </c>
      <c r="I112" s="12">
        <v>63.0</v>
      </c>
      <c r="J112" s="12" t="s">
        <v>1219</v>
      </c>
      <c r="K112" s="12">
        <v>27.0</v>
      </c>
      <c r="L112" s="12">
        <v>1.0</v>
      </c>
      <c r="M112" s="12" t="s">
        <v>438</v>
      </c>
      <c r="N112" s="12">
        <v>6.0</v>
      </c>
      <c r="O112" s="12" t="s">
        <v>379</v>
      </c>
      <c r="P112" s="12">
        <v>0.0</v>
      </c>
      <c r="Q112" s="12">
        <v>473.0</v>
      </c>
      <c r="R112" s="12">
        <v>6.0</v>
      </c>
      <c r="S112" s="12">
        <v>0.0</v>
      </c>
      <c r="T112" s="12">
        <v>25.0</v>
      </c>
      <c r="U112" s="12">
        <v>0.0</v>
      </c>
      <c r="V112" s="12">
        <v>0.0</v>
      </c>
      <c r="W112" s="14">
        <v>0.0</v>
      </c>
      <c r="X112" s="15"/>
    </row>
    <row r="113" ht="15.75" customHeight="1">
      <c r="A113" s="17" t="s">
        <v>1363</v>
      </c>
      <c r="B113" s="17" t="s">
        <v>1212</v>
      </c>
      <c r="C113" s="17" t="b">
        <v>1</v>
      </c>
      <c r="D113" s="17">
        <v>200.0</v>
      </c>
      <c r="E113" s="17" t="s">
        <v>1363</v>
      </c>
      <c r="F113" s="17" t="s">
        <v>1363</v>
      </c>
      <c r="G113" s="17" t="b">
        <v>1</v>
      </c>
      <c r="H113" s="17" t="s">
        <v>49</v>
      </c>
      <c r="I113" s="17">
        <v>68.0</v>
      </c>
      <c r="J113" s="17" t="s">
        <v>1219</v>
      </c>
      <c r="K113" s="17">
        <v>27.0</v>
      </c>
      <c r="L113" s="17">
        <v>1.0</v>
      </c>
      <c r="M113" s="17" t="s">
        <v>447</v>
      </c>
      <c r="N113" s="17">
        <v>6.0</v>
      </c>
      <c r="O113" s="17" t="s">
        <v>379</v>
      </c>
      <c r="P113" s="17">
        <v>0.0</v>
      </c>
      <c r="Q113" s="17">
        <v>478.0</v>
      </c>
      <c r="R113" s="17">
        <v>6.0</v>
      </c>
      <c r="S113" s="17">
        <v>0.0</v>
      </c>
      <c r="T113" s="17">
        <v>25.0</v>
      </c>
      <c r="U113" s="17">
        <v>0.0</v>
      </c>
      <c r="V113" s="17">
        <v>0.0</v>
      </c>
      <c r="W113" s="19">
        <v>0.0</v>
      </c>
      <c r="X113" s="20"/>
    </row>
    <row r="114" ht="15.75" customHeight="1">
      <c r="A114" s="12" t="s">
        <v>375</v>
      </c>
      <c r="B114" s="12" t="s">
        <v>1212</v>
      </c>
      <c r="C114" s="12" t="b">
        <v>1</v>
      </c>
      <c r="D114" s="12">
        <v>200.0</v>
      </c>
      <c r="E114" s="12" t="s">
        <v>375</v>
      </c>
      <c r="F114" s="12" t="s">
        <v>375</v>
      </c>
      <c r="G114" s="12" t="b">
        <v>1</v>
      </c>
      <c r="H114" s="12" t="s">
        <v>128</v>
      </c>
      <c r="I114" s="12">
        <v>65.0</v>
      </c>
      <c r="J114" s="12" t="s">
        <v>1219</v>
      </c>
      <c r="K114" s="12">
        <v>27.0</v>
      </c>
      <c r="L114" s="12">
        <v>1.0</v>
      </c>
      <c r="M114" s="12" t="s">
        <v>460</v>
      </c>
      <c r="N114" s="12">
        <v>6.0</v>
      </c>
      <c r="O114" s="12" t="s">
        <v>379</v>
      </c>
      <c r="P114" s="12">
        <v>0.0</v>
      </c>
      <c r="Q114" s="12">
        <v>475.0</v>
      </c>
      <c r="R114" s="12">
        <v>6.0</v>
      </c>
      <c r="S114" s="12">
        <v>0.0</v>
      </c>
      <c r="T114" s="12">
        <v>25.0</v>
      </c>
      <c r="U114" s="12">
        <v>0.0</v>
      </c>
      <c r="V114" s="12">
        <v>1.0</v>
      </c>
      <c r="W114" s="14">
        <v>0.0</v>
      </c>
      <c r="X114" s="15">
        <v>1.0</v>
      </c>
    </row>
    <row r="115" ht="15.75" customHeight="1">
      <c r="A115" s="17" t="s">
        <v>1392</v>
      </c>
      <c r="B115" s="17" t="s">
        <v>1212</v>
      </c>
      <c r="C115" s="17" t="b">
        <v>1</v>
      </c>
      <c r="D115" s="17">
        <v>200.0</v>
      </c>
      <c r="E115" s="17" t="s">
        <v>1392</v>
      </c>
      <c r="F115" s="17" t="s">
        <v>1392</v>
      </c>
      <c r="G115" s="17" t="b">
        <v>1</v>
      </c>
      <c r="H115" s="17" t="s">
        <v>373</v>
      </c>
      <c r="I115" s="17">
        <v>70.0</v>
      </c>
      <c r="J115" s="17" t="s">
        <v>1219</v>
      </c>
      <c r="K115" s="17">
        <v>27.0</v>
      </c>
      <c r="L115" s="17">
        <v>1.0</v>
      </c>
      <c r="M115" s="17" t="s">
        <v>467</v>
      </c>
      <c r="N115" s="17">
        <v>6.0</v>
      </c>
      <c r="O115" s="17" t="s">
        <v>379</v>
      </c>
      <c r="P115" s="17">
        <v>0.0</v>
      </c>
      <c r="Q115" s="17">
        <v>477.0</v>
      </c>
      <c r="R115" s="17">
        <v>6.0</v>
      </c>
      <c r="S115" s="17">
        <v>0.0</v>
      </c>
      <c r="T115" s="17">
        <v>25.0</v>
      </c>
      <c r="U115" s="17">
        <v>0.0</v>
      </c>
      <c r="V115" s="17">
        <v>0.0</v>
      </c>
      <c r="W115" s="19">
        <v>0.0</v>
      </c>
      <c r="X115" s="20"/>
    </row>
    <row r="116" ht="15.75" customHeight="1">
      <c r="A116" s="12" t="s">
        <v>1411</v>
      </c>
      <c r="B116" s="12" t="s">
        <v>1212</v>
      </c>
      <c r="C116" s="12" t="b">
        <v>1</v>
      </c>
      <c r="D116" s="12">
        <v>200.0</v>
      </c>
      <c r="E116" s="12" t="s">
        <v>1411</v>
      </c>
      <c r="F116" s="12" t="s">
        <v>1411</v>
      </c>
      <c r="G116" s="12" t="b">
        <v>1</v>
      </c>
      <c r="H116" s="12" t="s">
        <v>1420</v>
      </c>
      <c r="I116" s="12">
        <v>72.0</v>
      </c>
      <c r="J116" s="12" t="s">
        <v>1423</v>
      </c>
      <c r="K116" s="12">
        <v>50.0</v>
      </c>
      <c r="L116" s="12">
        <v>1.0</v>
      </c>
      <c r="M116" s="12" t="s">
        <v>1424</v>
      </c>
      <c r="N116" s="12">
        <v>6.0</v>
      </c>
      <c r="O116" s="12" t="s">
        <v>308</v>
      </c>
      <c r="P116" s="12">
        <v>0.0</v>
      </c>
      <c r="Q116" s="12">
        <v>443.0</v>
      </c>
      <c r="R116" s="12">
        <v>8.0</v>
      </c>
      <c r="S116" s="12">
        <v>0.0</v>
      </c>
      <c r="T116" s="12">
        <v>28.0</v>
      </c>
      <c r="U116" s="12">
        <v>0.0</v>
      </c>
      <c r="V116" s="12">
        <v>0.0</v>
      </c>
      <c r="W116" s="14">
        <v>0.0</v>
      </c>
      <c r="X116" s="15"/>
    </row>
    <row r="117" ht="15.75" customHeight="1">
      <c r="A117" s="17" t="s">
        <v>1437</v>
      </c>
      <c r="B117" s="17" t="s">
        <v>1212</v>
      </c>
      <c r="C117" s="17" t="b">
        <v>1</v>
      </c>
      <c r="D117" s="17">
        <v>200.0</v>
      </c>
      <c r="E117" s="17" t="s">
        <v>1437</v>
      </c>
      <c r="F117" s="17" t="s">
        <v>1437</v>
      </c>
      <c r="G117" s="17" t="b">
        <v>1</v>
      </c>
      <c r="H117" s="17" t="s">
        <v>1443</v>
      </c>
      <c r="I117" s="17">
        <v>71.0</v>
      </c>
      <c r="J117" s="17" t="s">
        <v>1445</v>
      </c>
      <c r="K117" s="17">
        <v>49.0</v>
      </c>
      <c r="L117" s="17">
        <v>1.0</v>
      </c>
      <c r="M117" s="17" t="s">
        <v>1449</v>
      </c>
      <c r="N117" s="17">
        <v>6.0</v>
      </c>
      <c r="O117" s="17" t="s">
        <v>308</v>
      </c>
      <c r="P117" s="17">
        <v>0.0</v>
      </c>
      <c r="Q117" s="17">
        <v>394.0</v>
      </c>
      <c r="R117" s="17">
        <v>3.0</v>
      </c>
      <c r="S117" s="17">
        <v>0.0</v>
      </c>
      <c r="T117" s="17">
        <v>23.0</v>
      </c>
      <c r="U117" s="17">
        <v>0.0</v>
      </c>
      <c r="V117" s="17">
        <v>0.0</v>
      </c>
      <c r="W117" s="19">
        <v>0.0</v>
      </c>
      <c r="X117" s="20"/>
    </row>
    <row r="118" ht="15.75" customHeight="1">
      <c r="A118" s="12" t="s">
        <v>1454</v>
      </c>
      <c r="B118" s="12" t="s">
        <v>1212</v>
      </c>
      <c r="C118" s="12" t="b">
        <v>1</v>
      </c>
      <c r="D118" s="12">
        <v>200.0</v>
      </c>
      <c r="E118" s="12" t="s">
        <v>1454</v>
      </c>
      <c r="F118" s="12" t="s">
        <v>1454</v>
      </c>
      <c r="G118" s="12" t="b">
        <v>1</v>
      </c>
      <c r="H118" s="12" t="s">
        <v>491</v>
      </c>
      <c r="I118" s="12">
        <v>61.0</v>
      </c>
      <c r="J118" s="12" t="s">
        <v>1465</v>
      </c>
      <c r="K118" s="12">
        <v>39.0</v>
      </c>
      <c r="L118" s="12">
        <v>1.0</v>
      </c>
      <c r="M118" s="12" t="s">
        <v>494</v>
      </c>
      <c r="N118" s="12">
        <v>6.0</v>
      </c>
      <c r="O118" s="12" t="s">
        <v>308</v>
      </c>
      <c r="P118" s="12">
        <v>0.0</v>
      </c>
      <c r="Q118" s="12">
        <v>423.0</v>
      </c>
      <c r="R118" s="12">
        <v>6.0</v>
      </c>
      <c r="S118" s="12">
        <v>0.0</v>
      </c>
      <c r="T118" s="12">
        <v>26.0</v>
      </c>
      <c r="U118" s="12">
        <v>0.0</v>
      </c>
      <c r="V118" s="12">
        <v>0.0</v>
      </c>
      <c r="W118" s="14">
        <v>0.0</v>
      </c>
      <c r="X118" s="15"/>
    </row>
    <row r="119" ht="15.75" customHeight="1">
      <c r="A119" s="17" t="s">
        <v>189</v>
      </c>
      <c r="B119" s="17" t="s">
        <v>1212</v>
      </c>
      <c r="C119" s="17" t="b">
        <v>1</v>
      </c>
      <c r="D119" s="17">
        <v>200.0</v>
      </c>
      <c r="E119" s="17" t="s">
        <v>189</v>
      </c>
      <c r="F119" s="17" t="s">
        <v>189</v>
      </c>
      <c r="G119" s="17" t="b">
        <v>1</v>
      </c>
      <c r="H119" s="17" t="s">
        <v>191</v>
      </c>
      <c r="I119" s="17">
        <v>90.0</v>
      </c>
      <c r="J119" s="17" t="s">
        <v>1482</v>
      </c>
      <c r="K119" s="17">
        <v>114.0</v>
      </c>
      <c r="L119" s="17">
        <v>1.0</v>
      </c>
      <c r="M119" s="17" t="s">
        <v>1487</v>
      </c>
      <c r="N119" s="17">
        <v>6.0</v>
      </c>
      <c r="O119" s="17" t="s">
        <v>308</v>
      </c>
      <c r="P119" s="17">
        <v>0.0</v>
      </c>
      <c r="Q119" s="17">
        <v>402.0</v>
      </c>
      <c r="R119" s="17">
        <v>2.0</v>
      </c>
      <c r="S119" s="17">
        <v>0.0</v>
      </c>
      <c r="T119" s="17">
        <v>21.0</v>
      </c>
      <c r="U119" s="17">
        <v>1.0</v>
      </c>
      <c r="V119" s="17">
        <v>13.0</v>
      </c>
      <c r="W119" s="19">
        <v>0.07690000000000001</v>
      </c>
      <c r="X119" s="20">
        <v>8.54</v>
      </c>
    </row>
    <row r="120" ht="15.75" customHeight="1">
      <c r="A120" s="12" t="s">
        <v>172</v>
      </c>
      <c r="B120" s="12" t="s">
        <v>1212</v>
      </c>
      <c r="C120" s="12" t="b">
        <v>0</v>
      </c>
      <c r="D120" s="12">
        <v>200.0</v>
      </c>
      <c r="E120" s="12" t="s">
        <v>174</v>
      </c>
      <c r="F120" s="12" t="s">
        <v>174</v>
      </c>
      <c r="G120" s="12" t="b">
        <v>0</v>
      </c>
      <c r="H120" s="12" t="s">
        <v>175</v>
      </c>
      <c r="I120" s="12">
        <v>79.0</v>
      </c>
      <c r="J120" s="12" t="s">
        <v>1219</v>
      </c>
      <c r="K120" s="12">
        <v>27.0</v>
      </c>
      <c r="L120" s="12">
        <v>1.0</v>
      </c>
      <c r="M120" s="12" t="s">
        <v>1497</v>
      </c>
      <c r="N120" s="12">
        <v>6.0</v>
      </c>
      <c r="O120" s="12" t="s">
        <v>505</v>
      </c>
      <c r="P120" s="12">
        <v>0.0</v>
      </c>
      <c r="Q120" s="12">
        <v>400.0</v>
      </c>
      <c r="R120" s="12">
        <v>2.0</v>
      </c>
      <c r="S120" s="12">
        <v>0.0</v>
      </c>
      <c r="T120" s="12">
        <v>21.0</v>
      </c>
      <c r="U120" s="12">
        <v>1.0</v>
      </c>
      <c r="V120" s="12">
        <v>45.0</v>
      </c>
      <c r="W120" s="14">
        <v>0.0222</v>
      </c>
      <c r="X120" s="15">
        <v>8.38</v>
      </c>
    </row>
    <row r="121" ht="15.75" customHeight="1">
      <c r="A121" s="17" t="s">
        <v>198</v>
      </c>
      <c r="B121" s="17" t="s">
        <v>1212</v>
      </c>
      <c r="C121" s="17" t="b">
        <v>0</v>
      </c>
      <c r="D121" s="17">
        <v>200.0</v>
      </c>
      <c r="E121" s="17" t="s">
        <v>200</v>
      </c>
      <c r="F121" s="17" t="s">
        <v>200</v>
      </c>
      <c r="G121" s="17" t="b">
        <v>0</v>
      </c>
      <c r="H121" s="17" t="s">
        <v>201</v>
      </c>
      <c r="I121" s="17">
        <v>91.0</v>
      </c>
      <c r="J121" s="17" t="s">
        <v>1503</v>
      </c>
      <c r="K121" s="17">
        <v>62.0</v>
      </c>
      <c r="L121" s="17">
        <v>1.0</v>
      </c>
      <c r="M121" s="17" t="s">
        <v>1505</v>
      </c>
      <c r="N121" s="17">
        <v>6.0</v>
      </c>
      <c r="O121" s="17" t="s">
        <v>308</v>
      </c>
      <c r="P121" s="17">
        <v>0.0</v>
      </c>
      <c r="Q121" s="17">
        <v>489.0</v>
      </c>
      <c r="R121" s="17">
        <v>3.0</v>
      </c>
      <c r="S121" s="17">
        <v>0.0</v>
      </c>
      <c r="T121" s="17">
        <v>22.0</v>
      </c>
      <c r="U121" s="17">
        <v>1.0</v>
      </c>
      <c r="V121" s="17">
        <v>9.0</v>
      </c>
      <c r="W121" s="19">
        <v>0.11109999999999999</v>
      </c>
      <c r="X121" s="20">
        <v>18.89</v>
      </c>
    </row>
    <row r="122" ht="15.75" customHeight="1">
      <c r="A122" s="12" t="s">
        <v>180</v>
      </c>
      <c r="B122" s="12" t="s">
        <v>1212</v>
      </c>
      <c r="C122" s="12" t="b">
        <v>0</v>
      </c>
      <c r="D122" s="12">
        <v>200.0</v>
      </c>
      <c r="E122" s="12" t="s">
        <v>180</v>
      </c>
      <c r="F122" s="12" t="s">
        <v>180</v>
      </c>
      <c r="G122" s="12" t="b">
        <v>1</v>
      </c>
      <c r="H122" s="12" t="s">
        <v>181</v>
      </c>
      <c r="I122" s="12">
        <v>76.0</v>
      </c>
      <c r="J122" s="12" t="s">
        <v>1510</v>
      </c>
      <c r="K122" s="12">
        <v>31.0</v>
      </c>
      <c r="L122" s="12">
        <v>1.0</v>
      </c>
      <c r="M122" s="12" t="s">
        <v>1512</v>
      </c>
      <c r="N122" s="12">
        <v>6.0</v>
      </c>
      <c r="O122" s="12" t="s">
        <v>594</v>
      </c>
      <c r="P122" s="12">
        <v>0.0</v>
      </c>
      <c r="Q122" s="12">
        <v>544.0</v>
      </c>
      <c r="R122" s="12">
        <v>5.0</v>
      </c>
      <c r="S122" s="12">
        <v>0.0</v>
      </c>
      <c r="T122" s="12">
        <v>35.0</v>
      </c>
      <c r="U122" s="12">
        <v>1.0</v>
      </c>
      <c r="V122" s="12">
        <v>32.0</v>
      </c>
      <c r="W122" s="14">
        <v>0.031200000000000002</v>
      </c>
      <c r="X122" s="15">
        <v>11.44</v>
      </c>
    </row>
    <row r="123" ht="15.75" customHeight="1">
      <c r="A123" s="17" t="s">
        <v>278</v>
      </c>
      <c r="B123" s="17" t="s">
        <v>1212</v>
      </c>
      <c r="C123" s="17" t="b">
        <v>0</v>
      </c>
      <c r="D123" s="17">
        <v>200.0</v>
      </c>
      <c r="E123" s="17" t="s">
        <v>278</v>
      </c>
      <c r="F123" s="17" t="s">
        <v>278</v>
      </c>
      <c r="G123" s="17" t="b">
        <v>1</v>
      </c>
      <c r="H123" s="17" t="s">
        <v>284</v>
      </c>
      <c r="I123" s="17">
        <v>66.0</v>
      </c>
      <c r="J123" s="17" t="s">
        <v>1517</v>
      </c>
      <c r="K123" s="17">
        <v>17.0</v>
      </c>
      <c r="L123" s="17">
        <v>1.0</v>
      </c>
      <c r="M123" s="17" t="s">
        <v>1519</v>
      </c>
      <c r="N123" s="17">
        <v>6.0</v>
      </c>
      <c r="O123" s="17" t="s">
        <v>594</v>
      </c>
      <c r="P123" s="17">
        <v>0.0</v>
      </c>
      <c r="Q123" s="17">
        <v>530.0</v>
      </c>
      <c r="R123" s="17">
        <v>5.0</v>
      </c>
      <c r="S123" s="17">
        <v>0.0</v>
      </c>
      <c r="T123" s="17">
        <v>35.0</v>
      </c>
      <c r="U123" s="17">
        <v>0.0</v>
      </c>
      <c r="V123" s="17">
        <v>11.0</v>
      </c>
      <c r="W123" s="19">
        <v>0.0</v>
      </c>
      <c r="X123" s="20">
        <v>7.36</v>
      </c>
    </row>
    <row r="124" ht="15.75" customHeight="1">
      <c r="A124" s="12" t="s">
        <v>1522</v>
      </c>
      <c r="B124" s="12" t="s">
        <v>1212</v>
      </c>
      <c r="C124" s="12" t="b">
        <v>1</v>
      </c>
      <c r="D124" s="12">
        <v>200.0</v>
      </c>
      <c r="E124" s="12" t="s">
        <v>1522</v>
      </c>
      <c r="F124" s="12" t="s">
        <v>1522</v>
      </c>
      <c r="G124" s="12" t="b">
        <v>1</v>
      </c>
      <c r="H124" s="12" t="s">
        <v>391</v>
      </c>
      <c r="I124" s="12">
        <v>89.0</v>
      </c>
      <c r="J124" s="12" t="s">
        <v>609</v>
      </c>
      <c r="K124" s="12">
        <v>145.0</v>
      </c>
      <c r="L124" s="12">
        <v>1.0</v>
      </c>
      <c r="M124" s="12" t="s">
        <v>1527</v>
      </c>
      <c r="N124" s="12">
        <v>6.0</v>
      </c>
      <c r="O124" s="12" t="s">
        <v>616</v>
      </c>
      <c r="P124" s="12">
        <v>0.0</v>
      </c>
      <c r="Q124" s="12">
        <v>1051.0</v>
      </c>
      <c r="R124" s="12">
        <v>26.0</v>
      </c>
      <c r="S124" s="12">
        <v>0.0</v>
      </c>
      <c r="T124" s="12">
        <v>32.0</v>
      </c>
      <c r="U124" s="12">
        <v>0.0</v>
      </c>
      <c r="V124" s="12">
        <v>0.0</v>
      </c>
      <c r="W124" s="14">
        <v>0.0</v>
      </c>
      <c r="X124" s="15"/>
    </row>
    <row r="125" ht="15.75" customHeight="1">
      <c r="A125" s="17" t="s">
        <v>1535</v>
      </c>
      <c r="B125" s="17" t="s">
        <v>1212</v>
      </c>
      <c r="C125" s="17" t="b">
        <v>1</v>
      </c>
      <c r="D125" s="17">
        <v>200.0</v>
      </c>
      <c r="E125" s="17" t="s">
        <v>1535</v>
      </c>
      <c r="F125" s="17" t="s">
        <v>1535</v>
      </c>
      <c r="G125" s="17" t="b">
        <v>1</v>
      </c>
      <c r="H125" s="17" t="s">
        <v>628</v>
      </c>
      <c r="I125" s="17">
        <v>89.0</v>
      </c>
      <c r="J125" s="17" t="s">
        <v>629</v>
      </c>
      <c r="K125" s="17">
        <v>107.0</v>
      </c>
      <c r="L125" s="17">
        <v>1.0</v>
      </c>
      <c r="M125" s="17" t="s">
        <v>1555</v>
      </c>
      <c r="N125" s="17">
        <v>6.0</v>
      </c>
      <c r="O125" s="17" t="s">
        <v>616</v>
      </c>
      <c r="P125" s="17">
        <v>0.0</v>
      </c>
      <c r="Q125" s="17">
        <v>762.0</v>
      </c>
      <c r="R125" s="17">
        <v>12.0</v>
      </c>
      <c r="S125" s="17">
        <v>0.0</v>
      </c>
      <c r="T125" s="17">
        <v>31.0</v>
      </c>
      <c r="U125" s="17">
        <v>0.0</v>
      </c>
      <c r="V125" s="17">
        <v>0.0</v>
      </c>
      <c r="W125" s="19">
        <v>0.0</v>
      </c>
      <c r="X125" s="20"/>
    </row>
    <row r="126" ht="15.75" customHeight="1">
      <c r="A126" s="12" t="s">
        <v>192</v>
      </c>
      <c r="B126" s="12" t="s">
        <v>1563</v>
      </c>
      <c r="C126" s="12" t="b">
        <v>1</v>
      </c>
      <c r="D126" s="12">
        <v>200.0</v>
      </c>
      <c r="E126" s="12" t="s">
        <v>192</v>
      </c>
      <c r="F126" s="12" t="s">
        <v>192</v>
      </c>
      <c r="G126" s="12" t="b">
        <v>1</v>
      </c>
      <c r="H126" s="12" t="s">
        <v>194</v>
      </c>
      <c r="I126" s="12">
        <v>47.0</v>
      </c>
      <c r="J126" s="12" t="s">
        <v>1566</v>
      </c>
      <c r="K126" s="12">
        <v>21.0</v>
      </c>
      <c r="L126" s="12">
        <v>1.0</v>
      </c>
      <c r="M126" s="12" t="s">
        <v>1569</v>
      </c>
      <c r="N126" s="12">
        <v>6.0</v>
      </c>
      <c r="O126" s="12" t="s">
        <v>308</v>
      </c>
      <c r="P126" s="12">
        <v>0.0</v>
      </c>
      <c r="Q126" s="12">
        <v>525.0</v>
      </c>
      <c r="R126" s="12">
        <v>12.0</v>
      </c>
      <c r="S126" s="12">
        <v>0.0</v>
      </c>
      <c r="T126" s="12">
        <v>32.0</v>
      </c>
      <c r="U126" s="12">
        <v>1.0</v>
      </c>
      <c r="V126" s="12">
        <v>10.0</v>
      </c>
      <c r="W126" s="14">
        <v>0.1</v>
      </c>
      <c r="X126" s="15">
        <v>6.2</v>
      </c>
    </row>
    <row r="127" ht="15.75" customHeight="1">
      <c r="A127" s="17" t="s">
        <v>309</v>
      </c>
      <c r="B127" s="17" t="s">
        <v>1563</v>
      </c>
      <c r="C127" s="17" t="b">
        <v>1</v>
      </c>
      <c r="D127" s="17">
        <v>200.0</v>
      </c>
      <c r="E127" s="17" t="s">
        <v>309</v>
      </c>
      <c r="F127" s="17" t="s">
        <v>309</v>
      </c>
      <c r="G127" s="17" t="b">
        <v>1</v>
      </c>
      <c r="H127" s="17" t="s">
        <v>311</v>
      </c>
      <c r="I127" s="17">
        <v>90.0</v>
      </c>
      <c r="J127" s="17" t="s">
        <v>1566</v>
      </c>
      <c r="K127" s="17">
        <v>21.0</v>
      </c>
      <c r="L127" s="17">
        <v>1.0</v>
      </c>
      <c r="M127" s="17" t="s">
        <v>1587</v>
      </c>
      <c r="N127" s="17">
        <v>6.0</v>
      </c>
      <c r="O127" s="17" t="s">
        <v>308</v>
      </c>
      <c r="P127" s="17">
        <v>0.0</v>
      </c>
      <c r="Q127" s="17">
        <v>536.0</v>
      </c>
      <c r="R127" s="17">
        <v>14.0</v>
      </c>
      <c r="S127" s="17">
        <v>0.0</v>
      </c>
      <c r="T127" s="17">
        <v>33.0</v>
      </c>
      <c r="U127" s="17">
        <v>0.0</v>
      </c>
      <c r="V127" s="17">
        <v>8.0</v>
      </c>
      <c r="W127" s="19">
        <v>0.0</v>
      </c>
      <c r="X127" s="20">
        <v>6.38</v>
      </c>
    </row>
    <row r="128" ht="15.75" customHeight="1">
      <c r="A128" s="12" t="s">
        <v>1591</v>
      </c>
      <c r="B128" s="12" t="s">
        <v>1563</v>
      </c>
      <c r="C128" s="12" t="b">
        <v>1</v>
      </c>
      <c r="D128" s="12">
        <v>200.0</v>
      </c>
      <c r="E128" s="12" t="s">
        <v>1591</v>
      </c>
      <c r="F128" s="12" t="s">
        <v>1591</v>
      </c>
      <c r="G128" s="12" t="b">
        <v>1</v>
      </c>
      <c r="H128" s="12" t="s">
        <v>1594</v>
      </c>
      <c r="I128" s="12">
        <v>91.0</v>
      </c>
      <c r="J128" s="12" t="s">
        <v>1566</v>
      </c>
      <c r="K128" s="12">
        <v>21.0</v>
      </c>
      <c r="L128" s="12">
        <v>1.0</v>
      </c>
      <c r="M128" s="12" t="s">
        <v>1595</v>
      </c>
      <c r="N128" s="12">
        <v>6.0</v>
      </c>
      <c r="O128" s="12" t="s">
        <v>308</v>
      </c>
      <c r="P128" s="12">
        <v>0.0</v>
      </c>
      <c r="Q128" s="12">
        <v>545.0</v>
      </c>
      <c r="R128" s="12">
        <v>14.0</v>
      </c>
      <c r="S128" s="12">
        <v>0.0</v>
      </c>
      <c r="T128" s="12">
        <v>33.0</v>
      </c>
      <c r="U128" s="12">
        <v>0.0</v>
      </c>
      <c r="V128" s="12">
        <v>0.0</v>
      </c>
      <c r="W128" s="14">
        <v>0.0</v>
      </c>
      <c r="X128" s="15"/>
    </row>
    <row r="129" ht="15.75" customHeight="1">
      <c r="A129" s="17" t="s">
        <v>1597</v>
      </c>
      <c r="B129" s="17" t="s">
        <v>1563</v>
      </c>
      <c r="C129" s="17" t="b">
        <v>1</v>
      </c>
      <c r="D129" s="17">
        <v>200.0</v>
      </c>
      <c r="E129" s="17" t="s">
        <v>1597</v>
      </c>
      <c r="F129" s="17" t="s">
        <v>1597</v>
      </c>
      <c r="G129" s="17" t="b">
        <v>1</v>
      </c>
      <c r="H129" s="17" t="s">
        <v>374</v>
      </c>
      <c r="I129" s="17">
        <v>77.0</v>
      </c>
      <c r="J129" s="17" t="s">
        <v>1566</v>
      </c>
      <c r="K129" s="17">
        <v>21.0</v>
      </c>
      <c r="L129" s="17">
        <v>1.0</v>
      </c>
      <c r="M129" s="17" t="s">
        <v>377</v>
      </c>
      <c r="N129" s="17">
        <v>6.0</v>
      </c>
      <c r="O129" s="17" t="s">
        <v>379</v>
      </c>
      <c r="P129" s="17">
        <v>0.0</v>
      </c>
      <c r="Q129" s="17">
        <v>449.0</v>
      </c>
      <c r="R129" s="17">
        <v>6.0</v>
      </c>
      <c r="S129" s="17">
        <v>0.0</v>
      </c>
      <c r="T129" s="17">
        <v>25.0</v>
      </c>
      <c r="U129" s="17">
        <v>0.0</v>
      </c>
      <c r="V129" s="17">
        <v>0.0</v>
      </c>
      <c r="W129" s="19">
        <v>0.0</v>
      </c>
      <c r="X129" s="20"/>
    </row>
    <row r="130" ht="15.75" customHeight="1">
      <c r="A130" s="12" t="s">
        <v>1601</v>
      </c>
      <c r="B130" s="12" t="s">
        <v>1563</v>
      </c>
      <c r="C130" s="12" t="b">
        <v>1</v>
      </c>
      <c r="D130" s="12">
        <v>200.0</v>
      </c>
      <c r="E130" s="12" t="s">
        <v>1601</v>
      </c>
      <c r="F130" s="12" t="s">
        <v>1601</v>
      </c>
      <c r="G130" s="12" t="b">
        <v>1</v>
      </c>
      <c r="H130" s="12" t="s">
        <v>329</v>
      </c>
      <c r="I130" s="12">
        <v>62.0</v>
      </c>
      <c r="J130" s="12" t="s">
        <v>1566</v>
      </c>
      <c r="K130" s="12">
        <v>21.0</v>
      </c>
      <c r="L130" s="12">
        <v>1.0</v>
      </c>
      <c r="M130" s="12" t="s">
        <v>390</v>
      </c>
      <c r="N130" s="12">
        <v>6.0</v>
      </c>
      <c r="O130" s="12" t="s">
        <v>379</v>
      </c>
      <c r="P130" s="12">
        <v>0.0</v>
      </c>
      <c r="Q130" s="12">
        <v>446.0</v>
      </c>
      <c r="R130" s="12">
        <v>6.0</v>
      </c>
      <c r="S130" s="12">
        <v>0.0</v>
      </c>
      <c r="T130" s="12">
        <v>25.0</v>
      </c>
      <c r="U130" s="12">
        <v>0.0</v>
      </c>
      <c r="V130" s="12">
        <v>0.0</v>
      </c>
      <c r="W130" s="14">
        <v>0.0</v>
      </c>
      <c r="X130" s="15"/>
    </row>
    <row r="131" ht="15.75" customHeight="1">
      <c r="A131" s="17" t="s">
        <v>1605</v>
      </c>
      <c r="B131" s="17" t="s">
        <v>1563</v>
      </c>
      <c r="C131" s="17" t="b">
        <v>1</v>
      </c>
      <c r="D131" s="17">
        <v>200.0</v>
      </c>
      <c r="E131" s="17" t="s">
        <v>1605</v>
      </c>
      <c r="F131" s="17" t="s">
        <v>1605</v>
      </c>
      <c r="G131" s="17" t="b">
        <v>1</v>
      </c>
      <c r="H131" s="17" t="s">
        <v>207</v>
      </c>
      <c r="I131" s="17">
        <v>64.0</v>
      </c>
      <c r="J131" s="17" t="s">
        <v>1566</v>
      </c>
      <c r="K131" s="17">
        <v>21.0</v>
      </c>
      <c r="L131" s="17">
        <v>1.0</v>
      </c>
      <c r="M131" s="17" t="s">
        <v>400</v>
      </c>
      <c r="N131" s="17">
        <v>6.0</v>
      </c>
      <c r="O131" s="17" t="s">
        <v>379</v>
      </c>
      <c r="P131" s="17">
        <v>0.0</v>
      </c>
      <c r="Q131" s="17">
        <v>445.0</v>
      </c>
      <c r="R131" s="17">
        <v>6.0</v>
      </c>
      <c r="S131" s="17">
        <v>0.0</v>
      </c>
      <c r="T131" s="17">
        <v>25.0</v>
      </c>
      <c r="U131" s="17">
        <v>0.0</v>
      </c>
      <c r="V131" s="17">
        <v>0.0</v>
      </c>
      <c r="W131" s="19">
        <v>0.0</v>
      </c>
      <c r="X131" s="20"/>
    </row>
    <row r="132" ht="15.75" customHeight="1">
      <c r="A132" s="12" t="s">
        <v>1610</v>
      </c>
      <c r="B132" s="12" t="s">
        <v>1563</v>
      </c>
      <c r="C132" s="12" t="b">
        <v>1</v>
      </c>
      <c r="D132" s="12">
        <v>200.0</v>
      </c>
      <c r="E132" s="12" t="s">
        <v>1610</v>
      </c>
      <c r="F132" s="12" t="s">
        <v>1610</v>
      </c>
      <c r="G132" s="12" t="b">
        <v>1</v>
      </c>
      <c r="H132" s="12" t="s">
        <v>406</v>
      </c>
      <c r="I132" s="12">
        <v>67.0</v>
      </c>
      <c r="J132" s="12" t="s">
        <v>1566</v>
      </c>
      <c r="K132" s="12">
        <v>21.0</v>
      </c>
      <c r="L132" s="12">
        <v>1.0</v>
      </c>
      <c r="M132" s="12" t="s">
        <v>408</v>
      </c>
      <c r="N132" s="12">
        <v>6.0</v>
      </c>
      <c r="O132" s="12" t="s">
        <v>379</v>
      </c>
      <c r="P132" s="12">
        <v>0.0</v>
      </c>
      <c r="Q132" s="12">
        <v>448.0</v>
      </c>
      <c r="R132" s="12">
        <v>6.0</v>
      </c>
      <c r="S132" s="12">
        <v>0.0</v>
      </c>
      <c r="T132" s="12">
        <v>25.0</v>
      </c>
      <c r="U132" s="12">
        <v>0.0</v>
      </c>
      <c r="V132" s="12">
        <v>0.0</v>
      </c>
      <c r="W132" s="14">
        <v>0.0</v>
      </c>
      <c r="X132" s="15"/>
    </row>
    <row r="133" ht="15.75" customHeight="1">
      <c r="A133" s="17" t="s">
        <v>1629</v>
      </c>
      <c r="B133" s="17" t="s">
        <v>1563</v>
      </c>
      <c r="C133" s="17" t="b">
        <v>1</v>
      </c>
      <c r="D133" s="17">
        <v>200.0</v>
      </c>
      <c r="E133" s="17" t="s">
        <v>1629</v>
      </c>
      <c r="F133" s="17" t="s">
        <v>1629</v>
      </c>
      <c r="G133" s="17" t="b">
        <v>1</v>
      </c>
      <c r="H133" s="17" t="s">
        <v>225</v>
      </c>
      <c r="I133" s="17">
        <v>62.0</v>
      </c>
      <c r="J133" s="17" t="s">
        <v>1566</v>
      </c>
      <c r="K133" s="17">
        <v>21.0</v>
      </c>
      <c r="L133" s="17">
        <v>1.0</v>
      </c>
      <c r="M133" s="17" t="s">
        <v>416</v>
      </c>
      <c r="N133" s="17">
        <v>6.0</v>
      </c>
      <c r="O133" s="17" t="s">
        <v>379</v>
      </c>
      <c r="P133" s="17">
        <v>0.0</v>
      </c>
      <c r="Q133" s="17">
        <v>445.0</v>
      </c>
      <c r="R133" s="17">
        <v>6.0</v>
      </c>
      <c r="S133" s="17">
        <v>0.0</v>
      </c>
      <c r="T133" s="17">
        <v>25.0</v>
      </c>
      <c r="U133" s="17">
        <v>0.0</v>
      </c>
      <c r="V133" s="17">
        <v>0.0</v>
      </c>
      <c r="W133" s="19">
        <v>0.0</v>
      </c>
      <c r="X133" s="20"/>
    </row>
    <row r="134" ht="15.75" customHeight="1">
      <c r="A134" s="12" t="s">
        <v>1652</v>
      </c>
      <c r="B134" s="12" t="s">
        <v>1563</v>
      </c>
      <c r="C134" s="12" t="b">
        <v>1</v>
      </c>
      <c r="D134" s="12">
        <v>200.0</v>
      </c>
      <c r="E134" s="12" t="s">
        <v>1652</v>
      </c>
      <c r="F134" s="12" t="s">
        <v>1652</v>
      </c>
      <c r="G134" s="12" t="b">
        <v>1</v>
      </c>
      <c r="H134" s="12" t="s">
        <v>384</v>
      </c>
      <c r="I134" s="12">
        <v>63.0</v>
      </c>
      <c r="J134" s="12" t="s">
        <v>1566</v>
      </c>
      <c r="K134" s="12">
        <v>21.0</v>
      </c>
      <c r="L134" s="12">
        <v>1.0</v>
      </c>
      <c r="M134" s="12" t="s">
        <v>422</v>
      </c>
      <c r="N134" s="12">
        <v>6.0</v>
      </c>
      <c r="O134" s="12" t="s">
        <v>379</v>
      </c>
      <c r="P134" s="12">
        <v>0.0</v>
      </c>
      <c r="Q134" s="12">
        <v>446.0</v>
      </c>
      <c r="R134" s="12">
        <v>6.0</v>
      </c>
      <c r="S134" s="12">
        <v>0.0</v>
      </c>
      <c r="T134" s="12">
        <v>25.0</v>
      </c>
      <c r="U134" s="12">
        <v>0.0</v>
      </c>
      <c r="V134" s="12">
        <v>0.0</v>
      </c>
      <c r="W134" s="14">
        <v>0.0</v>
      </c>
      <c r="X134" s="15"/>
    </row>
    <row r="135" ht="15.75" customHeight="1">
      <c r="A135" s="17" t="s">
        <v>1660</v>
      </c>
      <c r="B135" s="17" t="s">
        <v>1563</v>
      </c>
      <c r="C135" s="17" t="b">
        <v>1</v>
      </c>
      <c r="D135" s="17">
        <v>200.0</v>
      </c>
      <c r="E135" s="17" t="s">
        <v>1660</v>
      </c>
      <c r="F135" s="17" t="s">
        <v>1660</v>
      </c>
      <c r="G135" s="17" t="b">
        <v>1</v>
      </c>
      <c r="H135" s="17" t="s">
        <v>321</v>
      </c>
      <c r="I135" s="17">
        <v>63.0</v>
      </c>
      <c r="J135" s="17" t="s">
        <v>1566</v>
      </c>
      <c r="K135" s="17">
        <v>21.0</v>
      </c>
      <c r="L135" s="17">
        <v>1.0</v>
      </c>
      <c r="M135" s="17" t="s">
        <v>428</v>
      </c>
      <c r="N135" s="17">
        <v>6.0</v>
      </c>
      <c r="O135" s="17" t="s">
        <v>379</v>
      </c>
      <c r="P135" s="17">
        <v>0.0</v>
      </c>
      <c r="Q135" s="17">
        <v>443.0</v>
      </c>
      <c r="R135" s="17">
        <v>6.0</v>
      </c>
      <c r="S135" s="17">
        <v>0.0</v>
      </c>
      <c r="T135" s="17">
        <v>25.0</v>
      </c>
      <c r="U135" s="17">
        <v>0.0</v>
      </c>
      <c r="V135" s="17">
        <v>0.0</v>
      </c>
      <c r="W135" s="19">
        <v>0.0</v>
      </c>
      <c r="X135" s="20"/>
    </row>
    <row r="136" ht="15.75" customHeight="1">
      <c r="A136" s="12" t="s">
        <v>1669</v>
      </c>
      <c r="B136" s="12" t="s">
        <v>1563</v>
      </c>
      <c r="C136" s="12" t="b">
        <v>1</v>
      </c>
      <c r="D136" s="12">
        <v>200.0</v>
      </c>
      <c r="E136" s="12" t="s">
        <v>1669</v>
      </c>
      <c r="F136" s="12" t="s">
        <v>1669</v>
      </c>
      <c r="G136" s="12" t="b">
        <v>1</v>
      </c>
      <c r="H136" s="12" t="s">
        <v>299</v>
      </c>
      <c r="I136" s="12">
        <v>64.0</v>
      </c>
      <c r="J136" s="12" t="s">
        <v>1566</v>
      </c>
      <c r="K136" s="12">
        <v>21.0</v>
      </c>
      <c r="L136" s="12">
        <v>1.0</v>
      </c>
      <c r="M136" s="12" t="s">
        <v>434</v>
      </c>
      <c r="N136" s="12">
        <v>6.0</v>
      </c>
      <c r="O136" s="12" t="s">
        <v>379</v>
      </c>
      <c r="P136" s="12">
        <v>0.0</v>
      </c>
      <c r="Q136" s="12">
        <v>444.0</v>
      </c>
      <c r="R136" s="12">
        <v>6.0</v>
      </c>
      <c r="S136" s="12">
        <v>0.0</v>
      </c>
      <c r="T136" s="12">
        <v>25.0</v>
      </c>
      <c r="U136" s="12">
        <v>0.0</v>
      </c>
      <c r="V136" s="12">
        <v>0.0</v>
      </c>
      <c r="W136" s="14">
        <v>0.0</v>
      </c>
      <c r="X136" s="15"/>
    </row>
    <row r="137" ht="15.75" customHeight="1">
      <c r="A137" s="17" t="s">
        <v>1677</v>
      </c>
      <c r="B137" s="17" t="s">
        <v>1563</v>
      </c>
      <c r="C137" s="17" t="b">
        <v>1</v>
      </c>
      <c r="D137" s="17">
        <v>200.0</v>
      </c>
      <c r="E137" s="17" t="s">
        <v>1677</v>
      </c>
      <c r="F137" s="17" t="s">
        <v>1677</v>
      </c>
      <c r="G137" s="17" t="b">
        <v>1</v>
      </c>
      <c r="H137" s="17" t="s">
        <v>387</v>
      </c>
      <c r="I137" s="17">
        <v>63.0</v>
      </c>
      <c r="J137" s="17" t="s">
        <v>1566</v>
      </c>
      <c r="K137" s="17">
        <v>21.0</v>
      </c>
      <c r="L137" s="17">
        <v>1.0</v>
      </c>
      <c r="M137" s="17" t="s">
        <v>438</v>
      </c>
      <c r="N137" s="17">
        <v>6.0</v>
      </c>
      <c r="O137" s="17" t="s">
        <v>379</v>
      </c>
      <c r="P137" s="17">
        <v>0.0</v>
      </c>
      <c r="Q137" s="17">
        <v>444.0</v>
      </c>
      <c r="R137" s="17">
        <v>6.0</v>
      </c>
      <c r="S137" s="17">
        <v>0.0</v>
      </c>
      <c r="T137" s="17">
        <v>25.0</v>
      </c>
      <c r="U137" s="17">
        <v>0.0</v>
      </c>
      <c r="V137" s="17">
        <v>0.0</v>
      </c>
      <c r="W137" s="19">
        <v>0.0</v>
      </c>
      <c r="X137" s="20"/>
    </row>
    <row r="138" ht="15.75" customHeight="1">
      <c r="A138" s="12" t="s">
        <v>1688</v>
      </c>
      <c r="B138" s="12" t="s">
        <v>1563</v>
      </c>
      <c r="C138" s="12" t="b">
        <v>1</v>
      </c>
      <c r="D138" s="12">
        <v>200.0</v>
      </c>
      <c r="E138" s="12" t="s">
        <v>1688</v>
      </c>
      <c r="F138" s="12" t="s">
        <v>1688</v>
      </c>
      <c r="G138" s="12" t="b">
        <v>1</v>
      </c>
      <c r="H138" s="12" t="s">
        <v>49</v>
      </c>
      <c r="I138" s="12">
        <v>68.0</v>
      </c>
      <c r="J138" s="12" t="s">
        <v>1566</v>
      </c>
      <c r="K138" s="12">
        <v>21.0</v>
      </c>
      <c r="L138" s="12">
        <v>1.0</v>
      </c>
      <c r="M138" s="12" t="s">
        <v>447</v>
      </c>
      <c r="N138" s="12">
        <v>6.0</v>
      </c>
      <c r="O138" s="12" t="s">
        <v>379</v>
      </c>
      <c r="P138" s="12">
        <v>0.0</v>
      </c>
      <c r="Q138" s="12">
        <v>449.0</v>
      </c>
      <c r="R138" s="12">
        <v>6.0</v>
      </c>
      <c r="S138" s="12">
        <v>0.0</v>
      </c>
      <c r="T138" s="12">
        <v>25.0</v>
      </c>
      <c r="U138" s="12">
        <v>0.0</v>
      </c>
      <c r="V138" s="12">
        <v>0.0</v>
      </c>
      <c r="W138" s="14">
        <v>0.0</v>
      </c>
      <c r="X138" s="15"/>
    </row>
    <row r="139" ht="15.75" customHeight="1">
      <c r="A139" s="17" t="s">
        <v>1715</v>
      </c>
      <c r="B139" s="17" t="s">
        <v>1563</v>
      </c>
      <c r="C139" s="17" t="b">
        <v>1</v>
      </c>
      <c r="D139" s="17">
        <v>200.0</v>
      </c>
      <c r="E139" s="17" t="s">
        <v>1715</v>
      </c>
      <c r="F139" s="17" t="s">
        <v>1715</v>
      </c>
      <c r="G139" s="17" t="b">
        <v>1</v>
      </c>
      <c r="H139" s="17" t="s">
        <v>128</v>
      </c>
      <c r="I139" s="17">
        <v>65.0</v>
      </c>
      <c r="J139" s="17" t="s">
        <v>1566</v>
      </c>
      <c r="K139" s="17">
        <v>21.0</v>
      </c>
      <c r="L139" s="17">
        <v>1.0</v>
      </c>
      <c r="M139" s="17" t="s">
        <v>460</v>
      </c>
      <c r="N139" s="17">
        <v>6.0</v>
      </c>
      <c r="O139" s="17" t="s">
        <v>379</v>
      </c>
      <c r="P139" s="17">
        <v>0.0</v>
      </c>
      <c r="Q139" s="17">
        <v>447.0</v>
      </c>
      <c r="R139" s="17">
        <v>6.0</v>
      </c>
      <c r="S139" s="17">
        <v>0.0</v>
      </c>
      <c r="T139" s="17">
        <v>25.0</v>
      </c>
      <c r="U139" s="17">
        <v>0.0</v>
      </c>
      <c r="V139" s="17">
        <v>0.0</v>
      </c>
      <c r="W139" s="19">
        <v>0.0</v>
      </c>
      <c r="X139" s="20"/>
    </row>
    <row r="140" ht="15.75" customHeight="1">
      <c r="A140" s="12" t="s">
        <v>1734</v>
      </c>
      <c r="B140" s="12" t="s">
        <v>1563</v>
      </c>
      <c r="C140" s="12" t="b">
        <v>1</v>
      </c>
      <c r="D140" s="12">
        <v>200.0</v>
      </c>
      <c r="E140" s="12" t="s">
        <v>1734</v>
      </c>
      <c r="F140" s="12" t="s">
        <v>1734</v>
      </c>
      <c r="G140" s="12" t="b">
        <v>1</v>
      </c>
      <c r="H140" s="12" t="s">
        <v>373</v>
      </c>
      <c r="I140" s="12">
        <v>70.0</v>
      </c>
      <c r="J140" s="12" t="s">
        <v>1566</v>
      </c>
      <c r="K140" s="12">
        <v>21.0</v>
      </c>
      <c r="L140" s="12">
        <v>1.0</v>
      </c>
      <c r="M140" s="12" t="s">
        <v>467</v>
      </c>
      <c r="N140" s="12">
        <v>6.0</v>
      </c>
      <c r="O140" s="12" t="s">
        <v>379</v>
      </c>
      <c r="P140" s="12">
        <v>0.0</v>
      </c>
      <c r="Q140" s="12">
        <v>448.0</v>
      </c>
      <c r="R140" s="12">
        <v>6.0</v>
      </c>
      <c r="S140" s="12">
        <v>0.0</v>
      </c>
      <c r="T140" s="12">
        <v>25.0</v>
      </c>
      <c r="U140" s="12">
        <v>0.0</v>
      </c>
      <c r="V140" s="12">
        <v>0.0</v>
      </c>
      <c r="W140" s="14">
        <v>0.0</v>
      </c>
      <c r="X140" s="15"/>
    </row>
    <row r="141" ht="15.75" customHeight="1">
      <c r="A141" s="17" t="s">
        <v>1760</v>
      </c>
      <c r="B141" s="17" t="s">
        <v>1563</v>
      </c>
      <c r="C141" s="17" t="b">
        <v>1</v>
      </c>
      <c r="D141" s="17">
        <v>200.0</v>
      </c>
      <c r="E141" s="17" t="s">
        <v>1760</v>
      </c>
      <c r="F141" s="17" t="s">
        <v>1760</v>
      </c>
      <c r="G141" s="17" t="b">
        <v>1</v>
      </c>
      <c r="H141" s="17" t="s">
        <v>1766</v>
      </c>
      <c r="I141" s="17">
        <v>67.0</v>
      </c>
      <c r="J141" s="17" t="s">
        <v>1769</v>
      </c>
      <c r="K141" s="17">
        <v>39.0</v>
      </c>
      <c r="L141" s="17">
        <v>1.0</v>
      </c>
      <c r="M141" s="17" t="s">
        <v>1772</v>
      </c>
      <c r="N141" s="17">
        <v>6.0</v>
      </c>
      <c r="O141" s="17" t="s">
        <v>308</v>
      </c>
      <c r="P141" s="17">
        <v>0.0</v>
      </c>
      <c r="Q141" s="17">
        <v>413.0</v>
      </c>
      <c r="R141" s="17">
        <v>8.0</v>
      </c>
      <c r="S141" s="17">
        <v>0.0</v>
      </c>
      <c r="T141" s="17">
        <v>28.0</v>
      </c>
      <c r="U141" s="17">
        <v>0.0</v>
      </c>
      <c r="V141" s="17">
        <v>0.0</v>
      </c>
      <c r="W141" s="19">
        <v>0.0</v>
      </c>
      <c r="X141" s="20"/>
    </row>
    <row r="142" ht="15.75" customHeight="1">
      <c r="A142" s="12" t="s">
        <v>1794</v>
      </c>
      <c r="B142" s="12" t="s">
        <v>1563</v>
      </c>
      <c r="C142" s="12" t="b">
        <v>1</v>
      </c>
      <c r="D142" s="12">
        <v>200.0</v>
      </c>
      <c r="E142" s="12" t="s">
        <v>1794</v>
      </c>
      <c r="F142" s="12" t="s">
        <v>1794</v>
      </c>
      <c r="G142" s="12" t="b">
        <v>1</v>
      </c>
      <c r="H142" s="12" t="s">
        <v>1797</v>
      </c>
      <c r="I142" s="12">
        <v>70.0</v>
      </c>
      <c r="J142" s="12" t="s">
        <v>1799</v>
      </c>
      <c r="K142" s="12">
        <v>42.0</v>
      </c>
      <c r="L142" s="12">
        <v>1.0</v>
      </c>
      <c r="M142" s="12" t="s">
        <v>1801</v>
      </c>
      <c r="N142" s="12">
        <v>6.0</v>
      </c>
      <c r="O142" s="12" t="s">
        <v>308</v>
      </c>
      <c r="P142" s="12">
        <v>0.0</v>
      </c>
      <c r="Q142" s="12">
        <v>364.0</v>
      </c>
      <c r="R142" s="12">
        <v>3.0</v>
      </c>
      <c r="S142" s="12">
        <v>0.0</v>
      </c>
      <c r="T142" s="12">
        <v>23.0</v>
      </c>
      <c r="U142" s="12">
        <v>0.0</v>
      </c>
      <c r="V142" s="12">
        <v>0.0</v>
      </c>
      <c r="W142" s="14">
        <v>0.0</v>
      </c>
      <c r="X142" s="15"/>
    </row>
    <row r="143" ht="15.75" customHeight="1">
      <c r="A143" s="17" t="s">
        <v>1806</v>
      </c>
      <c r="B143" s="17" t="s">
        <v>1563</v>
      </c>
      <c r="C143" s="17" t="b">
        <v>1</v>
      </c>
      <c r="D143" s="17">
        <v>200.0</v>
      </c>
      <c r="E143" s="17" t="s">
        <v>1806</v>
      </c>
      <c r="F143" s="17" t="s">
        <v>1806</v>
      </c>
      <c r="G143" s="17" t="b">
        <v>1</v>
      </c>
      <c r="H143" s="17" t="s">
        <v>491</v>
      </c>
      <c r="I143" s="17">
        <v>61.0</v>
      </c>
      <c r="J143" s="17" t="s">
        <v>1807</v>
      </c>
      <c r="K143" s="17">
        <v>33.0</v>
      </c>
      <c r="L143" s="17">
        <v>1.0</v>
      </c>
      <c r="M143" s="17" t="s">
        <v>494</v>
      </c>
      <c r="N143" s="17">
        <v>6.0</v>
      </c>
      <c r="O143" s="17" t="s">
        <v>308</v>
      </c>
      <c r="P143" s="17">
        <v>0.0</v>
      </c>
      <c r="Q143" s="17">
        <v>393.0</v>
      </c>
      <c r="R143" s="17">
        <v>6.0</v>
      </c>
      <c r="S143" s="17">
        <v>0.0</v>
      </c>
      <c r="T143" s="17">
        <v>26.0</v>
      </c>
      <c r="U143" s="17">
        <v>0.0</v>
      </c>
      <c r="V143" s="17">
        <v>0.0</v>
      </c>
      <c r="W143" s="19">
        <v>0.0</v>
      </c>
      <c r="X143" s="20"/>
    </row>
    <row r="144" ht="15.75" customHeight="1">
      <c r="A144" s="12" t="s">
        <v>399</v>
      </c>
      <c r="B144" s="12" t="s">
        <v>1563</v>
      </c>
      <c r="C144" s="12" t="b">
        <v>1</v>
      </c>
      <c r="D144" s="12">
        <v>200.0</v>
      </c>
      <c r="E144" s="12" t="s">
        <v>399</v>
      </c>
      <c r="F144" s="12" t="s">
        <v>399</v>
      </c>
      <c r="G144" s="12" t="b">
        <v>1</v>
      </c>
      <c r="H144" s="12" t="s">
        <v>402</v>
      </c>
      <c r="I144" s="12">
        <v>90.0</v>
      </c>
      <c r="J144" s="12" t="s">
        <v>1808</v>
      </c>
      <c r="K144" s="12">
        <v>109.0</v>
      </c>
      <c r="L144" s="12">
        <v>1.0</v>
      </c>
      <c r="M144" s="12" t="s">
        <v>1809</v>
      </c>
      <c r="N144" s="12">
        <v>6.0</v>
      </c>
      <c r="O144" s="12" t="s">
        <v>308</v>
      </c>
      <c r="P144" s="12">
        <v>0.0</v>
      </c>
      <c r="Q144" s="12">
        <v>369.0</v>
      </c>
      <c r="R144" s="12">
        <v>2.0</v>
      </c>
      <c r="S144" s="12">
        <v>0.0</v>
      </c>
      <c r="T144" s="12">
        <v>21.0</v>
      </c>
      <c r="U144" s="12">
        <v>0.0</v>
      </c>
      <c r="V144" s="12">
        <v>1.0</v>
      </c>
      <c r="W144" s="14">
        <v>0.0</v>
      </c>
      <c r="X144" s="15">
        <v>12.0</v>
      </c>
    </row>
    <row r="145" ht="15.75" customHeight="1">
      <c r="A145" s="17" t="s">
        <v>270</v>
      </c>
      <c r="B145" s="17" t="s">
        <v>1563</v>
      </c>
      <c r="C145" s="17" t="b">
        <v>0</v>
      </c>
      <c r="D145" s="17">
        <v>200.0</v>
      </c>
      <c r="E145" s="17" t="s">
        <v>270</v>
      </c>
      <c r="F145" s="17" t="s">
        <v>270</v>
      </c>
      <c r="G145" s="17" t="b">
        <v>1</v>
      </c>
      <c r="H145" s="17" t="s">
        <v>276</v>
      </c>
      <c r="I145" s="17">
        <v>83.0</v>
      </c>
      <c r="J145" s="17" t="s">
        <v>1810</v>
      </c>
      <c r="K145" s="17">
        <v>54.0</v>
      </c>
      <c r="L145" s="17">
        <v>1.0</v>
      </c>
      <c r="M145" s="17" t="s">
        <v>1811</v>
      </c>
      <c r="N145" s="17">
        <v>6.0</v>
      </c>
      <c r="O145" s="17" t="s">
        <v>308</v>
      </c>
      <c r="P145" s="17">
        <v>0.0</v>
      </c>
      <c r="Q145" s="17">
        <v>465.0</v>
      </c>
      <c r="R145" s="17">
        <v>3.0</v>
      </c>
      <c r="S145" s="17">
        <v>0.0</v>
      </c>
      <c r="T145" s="17">
        <v>22.0</v>
      </c>
      <c r="U145" s="17">
        <v>0.0</v>
      </c>
      <c r="V145" s="17">
        <v>12.0</v>
      </c>
      <c r="W145" s="19">
        <v>0.0</v>
      </c>
      <c r="X145" s="20">
        <v>6.33</v>
      </c>
    </row>
    <row r="146" ht="15.75" customHeight="1">
      <c r="A146" s="12" t="s">
        <v>55</v>
      </c>
      <c r="B146" s="12" t="s">
        <v>1563</v>
      </c>
      <c r="C146" s="12" t="b">
        <v>0</v>
      </c>
      <c r="D146" s="12">
        <v>200.0</v>
      </c>
      <c r="E146" s="12" t="s">
        <v>56</v>
      </c>
      <c r="F146" s="12" t="s">
        <v>56</v>
      </c>
      <c r="G146" s="12" t="b">
        <v>0</v>
      </c>
      <c r="H146" s="12" t="s">
        <v>57</v>
      </c>
      <c r="I146" s="12">
        <v>73.0</v>
      </c>
      <c r="J146" s="12" t="s">
        <v>1566</v>
      </c>
      <c r="K146" s="12">
        <v>21.0</v>
      </c>
      <c r="L146" s="12">
        <v>1.0</v>
      </c>
      <c r="M146" s="12" t="s">
        <v>1815</v>
      </c>
      <c r="N146" s="12">
        <v>6.0</v>
      </c>
      <c r="O146" s="12" t="s">
        <v>505</v>
      </c>
      <c r="P146" s="12">
        <v>0.0</v>
      </c>
      <c r="Q146" s="12">
        <v>369.0</v>
      </c>
      <c r="R146" s="12">
        <v>2.0</v>
      </c>
      <c r="S146" s="12">
        <v>0.0</v>
      </c>
      <c r="T146" s="12">
        <v>21.0</v>
      </c>
      <c r="U146" s="12">
        <v>4.0</v>
      </c>
      <c r="V146" s="12">
        <v>77.0</v>
      </c>
      <c r="W146" s="14">
        <v>0.0519</v>
      </c>
      <c r="X146" s="15">
        <v>7.84</v>
      </c>
    </row>
    <row r="147" ht="15.75" customHeight="1">
      <c r="A147" s="17" t="s">
        <v>59</v>
      </c>
      <c r="B147" s="17" t="s">
        <v>1563</v>
      </c>
      <c r="C147" s="17" t="b">
        <v>0</v>
      </c>
      <c r="D147" s="17">
        <v>200.0</v>
      </c>
      <c r="E147" s="17" t="s">
        <v>60</v>
      </c>
      <c r="F147" s="17" t="s">
        <v>60</v>
      </c>
      <c r="G147" s="17" t="b">
        <v>0</v>
      </c>
      <c r="H147" s="17" t="s">
        <v>61</v>
      </c>
      <c r="I147" s="17">
        <v>91.0</v>
      </c>
      <c r="J147" s="17" t="s">
        <v>1845</v>
      </c>
      <c r="K147" s="17">
        <v>63.0</v>
      </c>
      <c r="L147" s="17">
        <v>1.0</v>
      </c>
      <c r="M147" s="17" t="s">
        <v>1854</v>
      </c>
      <c r="N147" s="17">
        <v>6.0</v>
      </c>
      <c r="O147" s="17" t="s">
        <v>308</v>
      </c>
      <c r="P147" s="17">
        <v>0.0</v>
      </c>
      <c r="Q147" s="17">
        <v>447.0</v>
      </c>
      <c r="R147" s="17">
        <v>3.0</v>
      </c>
      <c r="S147" s="17">
        <v>0.0</v>
      </c>
      <c r="T147" s="17">
        <v>22.0</v>
      </c>
      <c r="U147" s="17">
        <v>4.0</v>
      </c>
      <c r="V147" s="17">
        <v>60.0</v>
      </c>
      <c r="W147" s="19">
        <v>0.0667</v>
      </c>
      <c r="X147" s="20">
        <v>9.6</v>
      </c>
    </row>
    <row r="148" ht="15.75" customHeight="1">
      <c r="A148" s="12" t="s">
        <v>60</v>
      </c>
      <c r="B148" s="12" t="s">
        <v>1563</v>
      </c>
      <c r="C148" s="12" t="b">
        <v>0</v>
      </c>
      <c r="D148" s="12">
        <v>200.0</v>
      </c>
      <c r="E148" s="12" t="s">
        <v>60</v>
      </c>
      <c r="F148" s="12" t="s">
        <v>60</v>
      </c>
      <c r="G148" s="12" t="b">
        <v>1</v>
      </c>
      <c r="H148" s="12" t="s">
        <v>61</v>
      </c>
      <c r="I148" s="12">
        <v>91.0</v>
      </c>
      <c r="J148" s="12" t="s">
        <v>1845</v>
      </c>
      <c r="K148" s="12">
        <v>63.0</v>
      </c>
      <c r="L148" s="12">
        <v>1.0</v>
      </c>
      <c r="M148" s="12" t="s">
        <v>1854</v>
      </c>
      <c r="N148" s="12">
        <v>6.0</v>
      </c>
      <c r="O148" s="12" t="s">
        <v>308</v>
      </c>
      <c r="P148" s="12">
        <v>0.0</v>
      </c>
      <c r="Q148" s="12">
        <v>447.0</v>
      </c>
      <c r="R148" s="12">
        <v>3.0</v>
      </c>
      <c r="S148" s="12">
        <v>0.0</v>
      </c>
      <c r="T148" s="12">
        <v>22.0</v>
      </c>
      <c r="U148" s="12">
        <v>1.0</v>
      </c>
      <c r="V148" s="12">
        <v>15.0</v>
      </c>
      <c r="W148" s="14">
        <v>0.0667</v>
      </c>
      <c r="X148" s="15">
        <v>18.87</v>
      </c>
    </row>
    <row r="149" ht="15.75" customHeight="1">
      <c r="A149" s="17" t="s">
        <v>31</v>
      </c>
      <c r="B149" s="17" t="s">
        <v>1563</v>
      </c>
      <c r="C149" s="17" t="b">
        <v>0</v>
      </c>
      <c r="D149" s="17">
        <v>200.0</v>
      </c>
      <c r="E149" s="17" t="s">
        <v>31</v>
      </c>
      <c r="F149" s="17" t="s">
        <v>31</v>
      </c>
      <c r="G149" s="17" t="b">
        <v>1</v>
      </c>
      <c r="H149" s="17" t="s">
        <v>35</v>
      </c>
      <c r="I149" s="17">
        <v>83.0</v>
      </c>
      <c r="J149" s="17" t="s">
        <v>1906</v>
      </c>
      <c r="K149" s="17">
        <v>54.0</v>
      </c>
      <c r="L149" s="17">
        <v>1.0</v>
      </c>
      <c r="M149" s="17" t="s">
        <v>1912</v>
      </c>
      <c r="N149" s="17">
        <v>6.0</v>
      </c>
      <c r="O149" s="17" t="s">
        <v>308</v>
      </c>
      <c r="P149" s="17">
        <v>0.0</v>
      </c>
      <c r="Q149" s="17">
        <v>455.0</v>
      </c>
      <c r="R149" s="17">
        <v>3.0</v>
      </c>
      <c r="S149" s="17">
        <v>0.0</v>
      </c>
      <c r="T149" s="17">
        <v>22.0</v>
      </c>
      <c r="U149" s="17">
        <v>18.0</v>
      </c>
      <c r="V149" s="17">
        <v>536.0</v>
      </c>
      <c r="W149" s="19">
        <v>0.0336</v>
      </c>
      <c r="X149" s="20">
        <v>5.9</v>
      </c>
    </row>
    <row r="150" ht="15.75" customHeight="1">
      <c r="A150" s="12" t="s">
        <v>208</v>
      </c>
      <c r="B150" s="12" t="s">
        <v>1563</v>
      </c>
      <c r="C150" s="12" t="b">
        <v>0</v>
      </c>
      <c r="D150" s="12">
        <v>200.0</v>
      </c>
      <c r="E150" s="12" t="s">
        <v>208</v>
      </c>
      <c r="F150" s="12" t="s">
        <v>208</v>
      </c>
      <c r="G150" s="12" t="b">
        <v>1</v>
      </c>
      <c r="H150" s="12" t="s">
        <v>213</v>
      </c>
      <c r="I150" s="12">
        <v>91.0</v>
      </c>
      <c r="J150" s="12" t="s">
        <v>1930</v>
      </c>
      <c r="K150" s="12">
        <v>130.0</v>
      </c>
      <c r="L150" s="12">
        <v>1.0</v>
      </c>
      <c r="M150" s="12" t="s">
        <v>1935</v>
      </c>
      <c r="N150" s="12">
        <v>6.0</v>
      </c>
      <c r="O150" s="12" t="s">
        <v>308</v>
      </c>
      <c r="P150" s="12">
        <v>0.0</v>
      </c>
      <c r="Q150" s="12">
        <v>350.0</v>
      </c>
      <c r="R150" s="12">
        <v>2.0</v>
      </c>
      <c r="S150" s="12">
        <v>0.0</v>
      </c>
      <c r="T150" s="12">
        <v>21.0</v>
      </c>
      <c r="U150" s="12">
        <v>1.0</v>
      </c>
      <c r="V150" s="12">
        <v>7.0</v>
      </c>
      <c r="W150" s="14">
        <v>0.1429</v>
      </c>
      <c r="X150" s="15">
        <v>3.57</v>
      </c>
    </row>
    <row r="151" ht="15.75" customHeight="1">
      <c r="A151" s="17" t="s">
        <v>388</v>
      </c>
      <c r="B151" s="17" t="s">
        <v>1563</v>
      </c>
      <c r="C151" s="17" t="b">
        <v>1</v>
      </c>
      <c r="D151" s="17">
        <v>200.0</v>
      </c>
      <c r="E151" s="17" t="s">
        <v>388</v>
      </c>
      <c r="F151" s="17" t="s">
        <v>388</v>
      </c>
      <c r="G151" s="17" t="b">
        <v>1</v>
      </c>
      <c r="H151" s="17" t="s">
        <v>391</v>
      </c>
      <c r="I151" s="17">
        <v>89.0</v>
      </c>
      <c r="J151" s="17" t="s">
        <v>609</v>
      </c>
      <c r="K151" s="17">
        <v>145.0</v>
      </c>
      <c r="L151" s="17">
        <v>1.0</v>
      </c>
      <c r="M151" s="17" t="s">
        <v>1943</v>
      </c>
      <c r="N151" s="17">
        <v>6.0</v>
      </c>
      <c r="O151" s="17" t="s">
        <v>616</v>
      </c>
      <c r="P151" s="17">
        <v>0.0</v>
      </c>
      <c r="Q151" s="17">
        <v>983.0</v>
      </c>
      <c r="R151" s="17">
        <v>26.0</v>
      </c>
      <c r="S151" s="17">
        <v>0.0</v>
      </c>
      <c r="T151" s="17">
        <v>32.0</v>
      </c>
      <c r="U151" s="17">
        <v>0.0</v>
      </c>
      <c r="V151" s="17">
        <v>1.0</v>
      </c>
      <c r="W151" s="19">
        <v>0.0</v>
      </c>
      <c r="X151" s="20">
        <v>8.0</v>
      </c>
    </row>
    <row r="152" ht="15.75" customHeight="1">
      <c r="A152" s="12" t="s">
        <v>1944</v>
      </c>
      <c r="B152" s="12" t="s">
        <v>1563</v>
      </c>
      <c r="C152" s="12" t="b">
        <v>1</v>
      </c>
      <c r="D152" s="12">
        <v>200.0</v>
      </c>
      <c r="E152" s="12" t="s">
        <v>1944</v>
      </c>
      <c r="F152" s="12" t="s">
        <v>1944</v>
      </c>
      <c r="G152" s="12" t="b">
        <v>1</v>
      </c>
      <c r="H152" s="12" t="s">
        <v>628</v>
      </c>
      <c r="I152" s="12">
        <v>89.0</v>
      </c>
      <c r="J152" s="12" t="s">
        <v>629</v>
      </c>
      <c r="K152" s="12">
        <v>107.0</v>
      </c>
      <c r="L152" s="12">
        <v>1.0</v>
      </c>
      <c r="M152" s="12" t="s">
        <v>1945</v>
      </c>
      <c r="N152" s="12">
        <v>6.0</v>
      </c>
      <c r="O152" s="12" t="s">
        <v>616</v>
      </c>
      <c r="P152" s="12">
        <v>0.0</v>
      </c>
      <c r="Q152" s="12">
        <v>715.0</v>
      </c>
      <c r="R152" s="12">
        <v>12.0</v>
      </c>
      <c r="S152" s="12">
        <v>0.0</v>
      </c>
      <c r="T152" s="12">
        <v>31.0</v>
      </c>
      <c r="U152" s="12">
        <v>0.0</v>
      </c>
      <c r="V152" s="12">
        <v>0.0</v>
      </c>
      <c r="W152" s="14">
        <v>0.0</v>
      </c>
      <c r="X152" s="15"/>
    </row>
    <row r="153" ht="15.75" customHeight="1">
      <c r="A153" s="80" t="s">
        <v>183</v>
      </c>
      <c r="B153" s="80" t="s">
        <v>1563</v>
      </c>
      <c r="C153" s="80" t="b">
        <v>0</v>
      </c>
      <c r="D153" s="80">
        <v>200.0</v>
      </c>
      <c r="E153" s="80" t="s">
        <v>183</v>
      </c>
      <c r="F153" s="80" t="s">
        <v>183</v>
      </c>
      <c r="G153" s="80" t="b">
        <v>1</v>
      </c>
      <c r="H153" s="80" t="s">
        <v>184</v>
      </c>
      <c r="I153" s="80">
        <v>90.0</v>
      </c>
      <c r="J153" s="80" t="s">
        <v>1946</v>
      </c>
      <c r="K153" s="80">
        <v>129.0</v>
      </c>
      <c r="L153" s="80">
        <v>1.0</v>
      </c>
      <c r="M153" s="80" t="s">
        <v>1947</v>
      </c>
      <c r="N153" s="80">
        <v>6.0</v>
      </c>
      <c r="O153" s="80" t="s">
        <v>308</v>
      </c>
      <c r="P153" s="80">
        <v>0.0</v>
      </c>
      <c r="Q153" s="80">
        <v>350.0</v>
      </c>
      <c r="R153" s="80">
        <v>2.0</v>
      </c>
      <c r="S153" s="80">
        <v>0.0</v>
      </c>
      <c r="T153" s="80">
        <v>21.0</v>
      </c>
      <c r="U153" s="80">
        <v>1.0</v>
      </c>
      <c r="V153" s="80">
        <v>30.0</v>
      </c>
      <c r="W153" s="81">
        <v>0.0333</v>
      </c>
      <c r="X153" s="82">
        <v>9.53</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X1"/>
    <mergeCell ref="A2:X2"/>
  </mergeCells>
  <conditionalFormatting sqref="D5:D153">
    <cfRule type="cellIs" dxfId="5" priority="1" operator="notEqual">
      <formula>200</formula>
    </cfRule>
  </conditionalFormatting>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6.0"/>
    <col customWidth="1" min="2" max="2" width="12.0"/>
    <col customWidth="1" min="3" max="3" width="26.0"/>
    <col customWidth="1" min="4" max="4" width="22.0"/>
    <col customWidth="1" min="5" max="5" width="18.0"/>
    <col customWidth="1" min="6" max="6" width="14.0"/>
    <col customWidth="1" min="7" max="8" width="11.0"/>
    <col customWidth="1" min="9" max="9" width="12.0"/>
    <col customWidth="1" min="10" max="10" width="38.0"/>
    <col customWidth="1" min="11" max="11" width="17.0"/>
    <col customWidth="1" min="12" max="12" width="10.0"/>
    <col customWidth="1" min="13" max="26" width="8.63"/>
  </cols>
  <sheetData>
    <row r="1" ht="33.75" customHeight="1">
      <c r="A1" s="1" t="s">
        <v>441</v>
      </c>
    </row>
    <row r="2" ht="31.5" customHeight="1">
      <c r="A2" s="2" t="s">
        <v>444</v>
      </c>
    </row>
    <row r="3">
      <c r="A3" s="3"/>
      <c r="B3" s="3"/>
      <c r="C3" s="3"/>
      <c r="D3" s="3"/>
      <c r="E3" s="3"/>
      <c r="F3" s="3"/>
      <c r="G3" s="3"/>
      <c r="H3" s="3"/>
      <c r="I3" s="3"/>
      <c r="J3" s="3"/>
      <c r="K3" s="3"/>
      <c r="L3" s="3"/>
    </row>
    <row r="4" ht="30.0" customHeight="1">
      <c r="A4" s="4" t="s">
        <v>445</v>
      </c>
      <c r="B4" s="5" t="s">
        <v>6</v>
      </c>
      <c r="C4" s="5" t="s">
        <v>8</v>
      </c>
      <c r="D4" s="5" t="s">
        <v>449</v>
      </c>
      <c r="E4" s="5" t="s">
        <v>450</v>
      </c>
      <c r="F4" s="5" t="s">
        <v>166</v>
      </c>
      <c r="G4" s="5" t="s">
        <v>292</v>
      </c>
      <c r="H4" s="5" t="s">
        <v>294</v>
      </c>
      <c r="I4" s="5" t="s">
        <v>296</v>
      </c>
      <c r="J4" s="5" t="s">
        <v>453</v>
      </c>
      <c r="K4" s="5" t="s">
        <v>454</v>
      </c>
      <c r="L4" s="6" t="s">
        <v>455</v>
      </c>
    </row>
    <row r="5">
      <c r="A5" s="7" t="s">
        <v>20</v>
      </c>
      <c r="B5" s="7" t="s">
        <v>457</v>
      </c>
      <c r="C5" s="7" t="s">
        <v>22</v>
      </c>
      <c r="D5" s="7" t="s">
        <v>458</v>
      </c>
      <c r="E5" s="7">
        <v>5.0</v>
      </c>
      <c r="F5" s="7">
        <v>335.0</v>
      </c>
      <c r="G5" s="7">
        <v>9.0</v>
      </c>
      <c r="H5" s="9">
        <v>0.0269</v>
      </c>
      <c r="I5" s="10">
        <v>5.2</v>
      </c>
      <c r="J5" s="7" t="s">
        <v>462</v>
      </c>
      <c r="K5" s="7">
        <v>97.0</v>
      </c>
      <c r="L5" s="7" t="s">
        <v>463</v>
      </c>
    </row>
    <row r="6">
      <c r="A6" s="12" t="s">
        <v>25</v>
      </c>
      <c r="B6" s="12" t="s">
        <v>457</v>
      </c>
      <c r="C6" s="12" t="s">
        <v>27</v>
      </c>
      <c r="D6" s="12" t="s">
        <v>458</v>
      </c>
      <c r="E6" s="12">
        <v>5.0</v>
      </c>
      <c r="F6" s="12">
        <v>97.0</v>
      </c>
      <c r="G6" s="12">
        <v>4.0</v>
      </c>
      <c r="H6" s="14">
        <v>0.0412</v>
      </c>
      <c r="I6" s="15">
        <v>13.11</v>
      </c>
      <c r="J6" s="12" t="s">
        <v>462</v>
      </c>
      <c r="K6" s="12">
        <v>78.0</v>
      </c>
      <c r="L6" s="12" t="s">
        <v>463</v>
      </c>
    </row>
    <row r="7">
      <c r="A7" s="17" t="s">
        <v>30</v>
      </c>
      <c r="B7" s="17" t="s">
        <v>457</v>
      </c>
      <c r="C7" s="17" t="s">
        <v>32</v>
      </c>
      <c r="D7" s="17" t="s">
        <v>458</v>
      </c>
      <c r="E7" s="17">
        <v>5.0</v>
      </c>
      <c r="F7" s="17">
        <v>260.0</v>
      </c>
      <c r="G7" s="17">
        <v>2.0</v>
      </c>
      <c r="H7" s="19">
        <v>0.0077</v>
      </c>
      <c r="I7" s="20">
        <v>7.8</v>
      </c>
      <c r="J7" s="17" t="s">
        <v>462</v>
      </c>
      <c r="K7" s="17">
        <v>91.0</v>
      </c>
      <c r="L7" s="17" t="s">
        <v>463</v>
      </c>
    </row>
    <row r="8">
      <c r="A8" s="12" t="s">
        <v>33</v>
      </c>
      <c r="B8" s="12" t="s">
        <v>457</v>
      </c>
      <c r="C8" s="12" t="s">
        <v>34</v>
      </c>
      <c r="D8" s="12" t="s">
        <v>458</v>
      </c>
      <c r="E8" s="12">
        <v>5.0</v>
      </c>
      <c r="F8" s="12">
        <v>65.0</v>
      </c>
      <c r="G8" s="12">
        <v>2.0</v>
      </c>
      <c r="H8" s="14">
        <v>0.0308</v>
      </c>
      <c r="I8" s="15">
        <v>9.92</v>
      </c>
      <c r="J8" s="12" t="s">
        <v>462</v>
      </c>
      <c r="K8" s="12">
        <v>75.0</v>
      </c>
      <c r="L8" s="12" t="s">
        <v>463</v>
      </c>
    </row>
    <row r="9">
      <c r="A9" s="17" t="s">
        <v>37</v>
      </c>
      <c r="B9" s="17" t="s">
        <v>457</v>
      </c>
      <c r="C9" s="17" t="s">
        <v>27</v>
      </c>
      <c r="D9" s="17" t="s">
        <v>458</v>
      </c>
      <c r="E9" s="17">
        <v>5.0</v>
      </c>
      <c r="F9" s="17">
        <v>52.0</v>
      </c>
      <c r="G9" s="17">
        <v>2.0</v>
      </c>
      <c r="H9" s="19">
        <v>0.0385</v>
      </c>
      <c r="I9" s="20">
        <v>18.29</v>
      </c>
      <c r="J9" s="17" t="s">
        <v>462</v>
      </c>
      <c r="K9" s="17">
        <v>74.0</v>
      </c>
      <c r="L9" s="17" t="s">
        <v>473</v>
      </c>
    </row>
    <row r="10">
      <c r="A10" s="12" t="s">
        <v>42</v>
      </c>
      <c r="B10" s="12" t="s">
        <v>476</v>
      </c>
      <c r="C10" s="12" t="s">
        <v>45</v>
      </c>
      <c r="D10" s="12" t="s">
        <v>458</v>
      </c>
      <c r="E10" s="12">
        <v>5.0</v>
      </c>
      <c r="F10" s="12">
        <v>51.0</v>
      </c>
      <c r="G10" s="12">
        <v>1.0</v>
      </c>
      <c r="H10" s="14">
        <v>0.0196</v>
      </c>
      <c r="I10" s="15">
        <v>15.86</v>
      </c>
      <c r="J10" s="12" t="s">
        <v>462</v>
      </c>
      <c r="K10" s="12">
        <v>74.0</v>
      </c>
      <c r="L10" s="12" t="s">
        <v>473</v>
      </c>
    </row>
    <row r="11">
      <c r="A11" s="17" t="s">
        <v>47</v>
      </c>
      <c r="B11" s="17" t="s">
        <v>457</v>
      </c>
      <c r="C11" s="17" t="s">
        <v>27</v>
      </c>
      <c r="D11" s="17" t="s">
        <v>458</v>
      </c>
      <c r="E11" s="17">
        <v>5.0</v>
      </c>
      <c r="F11" s="17">
        <v>33.0</v>
      </c>
      <c r="G11" s="17">
        <v>1.0</v>
      </c>
      <c r="H11" s="19">
        <v>0.030299999999999997</v>
      </c>
      <c r="I11" s="20">
        <v>15.09</v>
      </c>
      <c r="J11" s="17" t="s">
        <v>462</v>
      </c>
      <c r="K11" s="17">
        <v>73.0</v>
      </c>
      <c r="L11" s="17" t="s">
        <v>473</v>
      </c>
    </row>
    <row r="12">
      <c r="A12" s="12" t="s">
        <v>54</v>
      </c>
      <c r="B12" s="12" t="s">
        <v>457</v>
      </c>
      <c r="C12" s="12" t="s">
        <v>27</v>
      </c>
      <c r="D12" s="12" t="s">
        <v>458</v>
      </c>
      <c r="E12" s="12">
        <v>5.0</v>
      </c>
      <c r="F12" s="12">
        <v>23.0</v>
      </c>
      <c r="G12" s="12">
        <v>1.0</v>
      </c>
      <c r="H12" s="14">
        <v>0.0435</v>
      </c>
      <c r="I12" s="15">
        <v>14.09</v>
      </c>
      <c r="J12" s="12" t="s">
        <v>462</v>
      </c>
      <c r="K12" s="12">
        <v>72.0</v>
      </c>
      <c r="L12" s="12" t="s">
        <v>473</v>
      </c>
    </row>
    <row r="13">
      <c r="A13" s="17" t="s">
        <v>58</v>
      </c>
      <c r="B13" s="17" t="s">
        <v>457</v>
      </c>
      <c r="C13" s="17" t="s">
        <v>32</v>
      </c>
      <c r="D13" s="17" t="s">
        <v>458</v>
      </c>
      <c r="E13" s="17">
        <v>5.0</v>
      </c>
      <c r="F13" s="17">
        <v>22.0</v>
      </c>
      <c r="G13" s="17">
        <v>1.0</v>
      </c>
      <c r="H13" s="19">
        <v>0.0455</v>
      </c>
      <c r="I13" s="20">
        <v>8.09</v>
      </c>
      <c r="J13" s="17" t="s">
        <v>462</v>
      </c>
      <c r="K13" s="17">
        <v>72.0</v>
      </c>
      <c r="L13" s="17" t="s">
        <v>473</v>
      </c>
    </row>
    <row r="14">
      <c r="A14" s="12" t="s">
        <v>63</v>
      </c>
      <c r="B14" s="12" t="s">
        <v>457</v>
      </c>
      <c r="C14" s="12" t="s">
        <v>27</v>
      </c>
      <c r="D14" s="12" t="s">
        <v>489</v>
      </c>
      <c r="E14" s="12">
        <v>5.0</v>
      </c>
      <c r="F14" s="12">
        <v>19.0</v>
      </c>
      <c r="G14" s="12">
        <v>1.0</v>
      </c>
      <c r="H14" s="14">
        <v>0.0526</v>
      </c>
      <c r="I14" s="15">
        <v>13.95</v>
      </c>
      <c r="J14" s="12" t="s">
        <v>462</v>
      </c>
      <c r="K14" s="12">
        <v>72.0</v>
      </c>
      <c r="L14" s="12" t="s">
        <v>473</v>
      </c>
    </row>
    <row r="15">
      <c r="A15" s="17" t="s">
        <v>68</v>
      </c>
      <c r="B15" s="17" t="s">
        <v>457</v>
      </c>
      <c r="C15" s="17" t="s">
        <v>34</v>
      </c>
      <c r="D15" s="17" t="s">
        <v>458</v>
      </c>
      <c r="E15" s="17">
        <v>5.0</v>
      </c>
      <c r="F15" s="17">
        <v>15.0</v>
      </c>
      <c r="G15" s="17">
        <v>1.0</v>
      </c>
      <c r="H15" s="19">
        <v>0.0667</v>
      </c>
      <c r="I15" s="20">
        <v>7.2</v>
      </c>
      <c r="J15" s="17" t="s">
        <v>462</v>
      </c>
      <c r="K15" s="17">
        <v>71.0</v>
      </c>
      <c r="L15" s="17" t="s">
        <v>473</v>
      </c>
    </row>
    <row r="16">
      <c r="A16" s="12" t="s">
        <v>75</v>
      </c>
      <c r="B16" s="12" t="s">
        <v>76</v>
      </c>
      <c r="C16" s="12" t="s">
        <v>27</v>
      </c>
      <c r="D16" s="12" t="s">
        <v>458</v>
      </c>
      <c r="E16" s="12">
        <v>5.0</v>
      </c>
      <c r="F16" s="12">
        <v>9.0</v>
      </c>
      <c r="G16" s="12">
        <v>1.0</v>
      </c>
      <c r="H16" s="14">
        <v>0.11109999999999999</v>
      </c>
      <c r="I16" s="15">
        <v>24.33</v>
      </c>
      <c r="J16" s="12" t="s">
        <v>462</v>
      </c>
      <c r="K16" s="12">
        <v>51.0</v>
      </c>
      <c r="L16" s="12" t="s">
        <v>501</v>
      </c>
    </row>
    <row r="17">
      <c r="A17" s="17" t="s">
        <v>83</v>
      </c>
      <c r="B17" s="17" t="s">
        <v>76</v>
      </c>
      <c r="C17" s="17" t="s">
        <v>27</v>
      </c>
      <c r="D17" s="17" t="s">
        <v>458</v>
      </c>
      <c r="E17" s="17">
        <v>5.0</v>
      </c>
      <c r="F17" s="17">
        <v>3.0</v>
      </c>
      <c r="G17" s="17">
        <v>1.0</v>
      </c>
      <c r="H17" s="19">
        <v>0.3333</v>
      </c>
      <c r="I17" s="20">
        <v>33.33</v>
      </c>
      <c r="J17" s="17" t="s">
        <v>462</v>
      </c>
      <c r="K17" s="17">
        <v>50.0</v>
      </c>
      <c r="L17" s="17" t="s">
        <v>501</v>
      </c>
    </row>
    <row r="18">
      <c r="A18" s="12" t="s">
        <v>84</v>
      </c>
      <c r="B18" s="12" t="s">
        <v>457</v>
      </c>
      <c r="C18" s="12" t="s">
        <v>85</v>
      </c>
      <c r="D18" s="12" t="s">
        <v>458</v>
      </c>
      <c r="E18" s="12">
        <v>5.0</v>
      </c>
      <c r="F18" s="12">
        <v>3.0</v>
      </c>
      <c r="G18" s="12">
        <v>1.0</v>
      </c>
      <c r="H18" s="14">
        <v>0.3333</v>
      </c>
      <c r="I18" s="15">
        <v>36.0</v>
      </c>
      <c r="J18" s="12" t="s">
        <v>462</v>
      </c>
      <c r="K18" s="12">
        <v>50.0</v>
      </c>
      <c r="L18" s="12" t="s">
        <v>501</v>
      </c>
    </row>
    <row r="19">
      <c r="A19" s="17" t="s">
        <v>87</v>
      </c>
      <c r="B19" s="17" t="s">
        <v>76</v>
      </c>
      <c r="C19" s="17" t="s">
        <v>27</v>
      </c>
      <c r="D19" s="17" t="s">
        <v>458</v>
      </c>
      <c r="E19" s="17">
        <v>5.0</v>
      </c>
      <c r="F19" s="17">
        <v>2.0</v>
      </c>
      <c r="G19" s="17">
        <v>1.0</v>
      </c>
      <c r="H19" s="19">
        <v>0.5</v>
      </c>
      <c r="I19" s="20">
        <v>29.5</v>
      </c>
      <c r="J19" s="17" t="s">
        <v>462</v>
      </c>
      <c r="K19" s="17">
        <v>50.0</v>
      </c>
      <c r="L19" s="17" t="s">
        <v>501</v>
      </c>
    </row>
    <row r="20">
      <c r="A20" s="12" t="s">
        <v>91</v>
      </c>
      <c r="B20" s="12" t="s">
        <v>457</v>
      </c>
      <c r="C20" s="12" t="s">
        <v>92</v>
      </c>
      <c r="D20" s="12" t="s">
        <v>489</v>
      </c>
      <c r="E20" s="12">
        <v>2.0</v>
      </c>
      <c r="F20" s="12">
        <v>1.0</v>
      </c>
      <c r="G20" s="12">
        <v>1.0</v>
      </c>
      <c r="H20" s="14">
        <v>1.0</v>
      </c>
      <c r="I20" s="15">
        <v>8.0</v>
      </c>
      <c r="J20" s="12" t="s">
        <v>462</v>
      </c>
      <c r="K20" s="12">
        <v>40.0</v>
      </c>
      <c r="L20" s="12" t="s">
        <v>501</v>
      </c>
    </row>
    <row r="21" ht="15.75" customHeight="1">
      <c r="A21" s="17" t="s">
        <v>95</v>
      </c>
      <c r="B21" s="17" t="s">
        <v>457</v>
      </c>
      <c r="C21" s="17" t="s">
        <v>27</v>
      </c>
      <c r="D21" s="17" t="s">
        <v>458</v>
      </c>
      <c r="E21" s="17">
        <v>5.0</v>
      </c>
      <c r="F21" s="17">
        <v>37.0</v>
      </c>
      <c r="G21" s="17">
        <v>0.0</v>
      </c>
      <c r="H21" s="19">
        <v>0.0</v>
      </c>
      <c r="I21" s="20">
        <v>11.68</v>
      </c>
      <c r="J21" s="17" t="s">
        <v>462</v>
      </c>
      <c r="K21" s="17">
        <v>73.0</v>
      </c>
      <c r="L21" s="17" t="s">
        <v>473</v>
      </c>
    </row>
    <row r="22" ht="15.75" customHeight="1">
      <c r="A22" s="12" t="s">
        <v>100</v>
      </c>
      <c r="B22" s="12" t="s">
        <v>457</v>
      </c>
      <c r="C22" s="12" t="s">
        <v>32</v>
      </c>
      <c r="D22" s="12" t="s">
        <v>458</v>
      </c>
      <c r="E22" s="12">
        <v>5.0</v>
      </c>
      <c r="F22" s="12">
        <v>30.0</v>
      </c>
      <c r="G22" s="12">
        <v>0.0</v>
      </c>
      <c r="H22" s="14">
        <v>0.0</v>
      </c>
      <c r="I22" s="15">
        <v>55.63</v>
      </c>
      <c r="J22" s="12" t="s">
        <v>462</v>
      </c>
      <c r="K22" s="12">
        <v>52.0</v>
      </c>
      <c r="L22" s="12" t="s">
        <v>501</v>
      </c>
    </row>
    <row r="23" ht="15.75" customHeight="1">
      <c r="A23" s="17" t="s">
        <v>108</v>
      </c>
      <c r="B23" s="17" t="s">
        <v>457</v>
      </c>
      <c r="C23" s="17" t="s">
        <v>27</v>
      </c>
      <c r="D23" s="17" t="s">
        <v>489</v>
      </c>
      <c r="E23" s="17">
        <v>5.0</v>
      </c>
      <c r="F23" s="17">
        <v>28.0</v>
      </c>
      <c r="G23" s="17">
        <v>0.0</v>
      </c>
      <c r="H23" s="19">
        <v>0.0</v>
      </c>
      <c r="I23" s="20">
        <v>13.18</v>
      </c>
      <c r="J23" s="17" t="s">
        <v>462</v>
      </c>
      <c r="K23" s="17">
        <v>72.0</v>
      </c>
      <c r="L23" s="17" t="s">
        <v>473</v>
      </c>
    </row>
    <row r="24" ht="15.75" customHeight="1">
      <c r="A24" s="12" t="s">
        <v>117</v>
      </c>
      <c r="B24" s="12" t="s">
        <v>457</v>
      </c>
      <c r="C24" s="12" t="s">
        <v>27</v>
      </c>
      <c r="D24" s="12" t="s">
        <v>458</v>
      </c>
      <c r="E24" s="12">
        <v>5.0</v>
      </c>
      <c r="F24" s="12">
        <v>25.0</v>
      </c>
      <c r="G24" s="12">
        <v>0.0</v>
      </c>
      <c r="H24" s="14">
        <v>0.0</v>
      </c>
      <c r="I24" s="15">
        <v>16.72</v>
      </c>
      <c r="J24" s="12" t="s">
        <v>462</v>
      </c>
      <c r="K24" s="12">
        <v>72.0</v>
      </c>
      <c r="L24" s="12" t="s">
        <v>473</v>
      </c>
    </row>
    <row r="25" ht="15.75" customHeight="1">
      <c r="A25" s="17" t="s">
        <v>129</v>
      </c>
      <c r="B25" s="17" t="s">
        <v>132</v>
      </c>
      <c r="C25" s="17" t="s">
        <v>27</v>
      </c>
      <c r="D25" s="17" t="s">
        <v>489</v>
      </c>
      <c r="E25" s="17">
        <v>5.0</v>
      </c>
      <c r="F25" s="17">
        <v>24.0</v>
      </c>
      <c r="G25" s="17">
        <v>0.0</v>
      </c>
      <c r="H25" s="19">
        <v>0.0</v>
      </c>
      <c r="I25" s="20">
        <v>11.54</v>
      </c>
      <c r="J25" s="17" t="s">
        <v>462</v>
      </c>
      <c r="K25" s="17">
        <v>72.0</v>
      </c>
      <c r="L25" s="17" t="s">
        <v>473</v>
      </c>
    </row>
    <row r="26" ht="15.75" customHeight="1">
      <c r="A26" s="12" t="s">
        <v>144</v>
      </c>
      <c r="B26" s="12" t="s">
        <v>457</v>
      </c>
      <c r="C26" s="12" t="s">
        <v>150</v>
      </c>
      <c r="D26" s="12" t="s">
        <v>489</v>
      </c>
      <c r="E26" s="12">
        <v>2.0</v>
      </c>
      <c r="F26" s="12">
        <v>22.0</v>
      </c>
      <c r="G26" s="12">
        <v>0.0</v>
      </c>
      <c r="H26" s="14">
        <v>0.0</v>
      </c>
      <c r="I26" s="15">
        <v>70.73</v>
      </c>
      <c r="J26" s="12" t="s">
        <v>462</v>
      </c>
      <c r="K26" s="12">
        <v>22.0</v>
      </c>
      <c r="L26" s="12" t="s">
        <v>501</v>
      </c>
    </row>
    <row r="27" ht="15.75" customHeight="1">
      <c r="A27" s="17" t="s">
        <v>167</v>
      </c>
      <c r="B27" s="17" t="s">
        <v>457</v>
      </c>
      <c r="C27" s="17" t="s">
        <v>34</v>
      </c>
      <c r="D27" s="17" t="s">
        <v>458</v>
      </c>
      <c r="E27" s="17">
        <v>5.0</v>
      </c>
      <c r="F27" s="17">
        <v>21.0</v>
      </c>
      <c r="G27" s="17">
        <v>0.0</v>
      </c>
      <c r="H27" s="19">
        <v>0.0</v>
      </c>
      <c r="I27" s="20">
        <v>9.1</v>
      </c>
      <c r="J27" s="17" t="s">
        <v>462</v>
      </c>
      <c r="K27" s="17">
        <v>72.0</v>
      </c>
      <c r="L27" s="17" t="s">
        <v>473</v>
      </c>
    </row>
    <row r="28" ht="15.75" customHeight="1">
      <c r="A28" s="12" t="s">
        <v>170</v>
      </c>
      <c r="B28" s="12" t="s">
        <v>457</v>
      </c>
      <c r="C28" s="12" t="s">
        <v>34</v>
      </c>
      <c r="D28" s="12" t="s">
        <v>458</v>
      </c>
      <c r="E28" s="12">
        <v>5.0</v>
      </c>
      <c r="F28" s="12">
        <v>20.0</v>
      </c>
      <c r="G28" s="12">
        <v>0.0</v>
      </c>
      <c r="H28" s="14">
        <v>0.0</v>
      </c>
      <c r="I28" s="15">
        <v>5.75</v>
      </c>
      <c r="J28" s="12" t="s">
        <v>462</v>
      </c>
      <c r="K28" s="12">
        <v>72.0</v>
      </c>
      <c r="L28" s="12" t="s">
        <v>473</v>
      </c>
    </row>
    <row r="29" ht="15.75" customHeight="1">
      <c r="A29" s="17" t="s">
        <v>173</v>
      </c>
      <c r="B29" s="17" t="s">
        <v>132</v>
      </c>
      <c r="C29" s="17" t="s">
        <v>92</v>
      </c>
      <c r="D29" s="17" t="s">
        <v>489</v>
      </c>
      <c r="E29" s="17">
        <v>2.0</v>
      </c>
      <c r="F29" s="17">
        <v>19.0</v>
      </c>
      <c r="G29" s="17">
        <v>0.0</v>
      </c>
      <c r="H29" s="19">
        <v>0.0</v>
      </c>
      <c r="I29" s="20">
        <v>13.11</v>
      </c>
      <c r="J29" s="17" t="s">
        <v>462</v>
      </c>
      <c r="K29" s="17">
        <v>42.0</v>
      </c>
      <c r="L29" s="17" t="s">
        <v>501</v>
      </c>
    </row>
    <row r="30" ht="15.75" customHeight="1">
      <c r="A30" s="12" t="s">
        <v>179</v>
      </c>
      <c r="B30" s="12" t="s">
        <v>457</v>
      </c>
      <c r="C30" s="12" t="s">
        <v>32</v>
      </c>
      <c r="D30" s="12" t="s">
        <v>458</v>
      </c>
      <c r="E30" s="12">
        <v>5.0</v>
      </c>
      <c r="F30" s="12">
        <v>17.0</v>
      </c>
      <c r="G30" s="12">
        <v>0.0</v>
      </c>
      <c r="H30" s="14">
        <v>0.0</v>
      </c>
      <c r="I30" s="15">
        <v>21.59</v>
      </c>
      <c r="J30" s="12" t="s">
        <v>462</v>
      </c>
      <c r="K30" s="12">
        <v>51.0</v>
      </c>
      <c r="L30" s="12" t="s">
        <v>501</v>
      </c>
    </row>
    <row r="31" ht="15.75" customHeight="1">
      <c r="A31" s="17" t="s">
        <v>182</v>
      </c>
      <c r="B31" s="17" t="s">
        <v>457</v>
      </c>
      <c r="C31" s="17" t="s">
        <v>34</v>
      </c>
      <c r="D31" s="17" t="s">
        <v>458</v>
      </c>
      <c r="E31" s="17">
        <v>5.0</v>
      </c>
      <c r="F31" s="17">
        <v>16.0</v>
      </c>
      <c r="G31" s="17">
        <v>0.0</v>
      </c>
      <c r="H31" s="19">
        <v>0.0</v>
      </c>
      <c r="I31" s="20">
        <v>7.75</v>
      </c>
      <c r="J31" s="17" t="s">
        <v>462</v>
      </c>
      <c r="K31" s="17">
        <v>71.0</v>
      </c>
      <c r="L31" s="17" t="s">
        <v>473</v>
      </c>
    </row>
    <row r="32" ht="15.75" customHeight="1">
      <c r="A32" s="12" t="s">
        <v>186</v>
      </c>
      <c r="B32" s="12" t="s">
        <v>457</v>
      </c>
      <c r="C32" s="12" t="s">
        <v>32</v>
      </c>
      <c r="D32" s="12" t="s">
        <v>458</v>
      </c>
      <c r="E32" s="12">
        <v>5.0</v>
      </c>
      <c r="F32" s="12">
        <v>16.0</v>
      </c>
      <c r="G32" s="12">
        <v>0.0</v>
      </c>
      <c r="H32" s="14">
        <v>0.0</v>
      </c>
      <c r="I32" s="15">
        <v>20.06</v>
      </c>
      <c r="J32" s="12" t="s">
        <v>462</v>
      </c>
      <c r="K32" s="12">
        <v>51.0</v>
      </c>
      <c r="L32" s="12" t="s">
        <v>501</v>
      </c>
    </row>
    <row r="33" ht="15.75" customHeight="1">
      <c r="A33" s="17" t="s">
        <v>188</v>
      </c>
      <c r="B33" s="17" t="s">
        <v>457</v>
      </c>
      <c r="C33" s="17" t="s">
        <v>34</v>
      </c>
      <c r="D33" s="17" t="s">
        <v>458</v>
      </c>
      <c r="E33" s="17">
        <v>5.0</v>
      </c>
      <c r="F33" s="17">
        <v>15.0</v>
      </c>
      <c r="G33" s="17">
        <v>0.0</v>
      </c>
      <c r="H33" s="19">
        <v>0.0</v>
      </c>
      <c r="I33" s="20">
        <v>9.67</v>
      </c>
      <c r="J33" s="17" t="s">
        <v>462</v>
      </c>
      <c r="K33" s="17">
        <v>71.0</v>
      </c>
      <c r="L33" s="17" t="s">
        <v>473</v>
      </c>
    </row>
    <row r="34" ht="15.75" customHeight="1">
      <c r="A34" s="12" t="s">
        <v>190</v>
      </c>
      <c r="B34" s="12" t="s">
        <v>457</v>
      </c>
      <c r="C34" s="12" t="s">
        <v>27</v>
      </c>
      <c r="D34" s="12" t="s">
        <v>458</v>
      </c>
      <c r="E34" s="12">
        <v>5.0</v>
      </c>
      <c r="F34" s="12">
        <v>14.0</v>
      </c>
      <c r="G34" s="12">
        <v>0.0</v>
      </c>
      <c r="H34" s="14">
        <v>0.0</v>
      </c>
      <c r="I34" s="15">
        <v>11.29</v>
      </c>
      <c r="J34" s="12" t="s">
        <v>462</v>
      </c>
      <c r="K34" s="12">
        <v>71.0</v>
      </c>
      <c r="L34" s="12" t="s">
        <v>473</v>
      </c>
    </row>
    <row r="35" ht="15.75" customHeight="1">
      <c r="A35" s="17" t="s">
        <v>193</v>
      </c>
      <c r="B35" s="17" t="s">
        <v>457</v>
      </c>
      <c r="C35" s="17" t="s">
        <v>27</v>
      </c>
      <c r="D35" s="17" t="s">
        <v>489</v>
      </c>
      <c r="E35" s="17">
        <v>5.0</v>
      </c>
      <c r="F35" s="17">
        <v>14.0</v>
      </c>
      <c r="G35" s="17">
        <v>0.0</v>
      </c>
      <c r="H35" s="19">
        <v>0.0</v>
      </c>
      <c r="I35" s="20">
        <v>12.86</v>
      </c>
      <c r="J35" s="17" t="s">
        <v>462</v>
      </c>
      <c r="K35" s="17">
        <v>71.0</v>
      </c>
      <c r="L35" s="17" t="s">
        <v>473</v>
      </c>
    </row>
    <row r="36" ht="15.75" customHeight="1">
      <c r="A36" s="12" t="s">
        <v>196</v>
      </c>
      <c r="B36" s="12" t="s">
        <v>457</v>
      </c>
      <c r="C36" s="12" t="s">
        <v>27</v>
      </c>
      <c r="D36" s="12" t="s">
        <v>458</v>
      </c>
      <c r="E36" s="12">
        <v>5.0</v>
      </c>
      <c r="F36" s="12">
        <v>13.0</v>
      </c>
      <c r="G36" s="12">
        <v>0.0</v>
      </c>
      <c r="H36" s="14">
        <v>0.0</v>
      </c>
      <c r="I36" s="15">
        <v>11.92</v>
      </c>
      <c r="J36" s="12" t="s">
        <v>462</v>
      </c>
      <c r="K36" s="12">
        <v>71.0</v>
      </c>
      <c r="L36" s="12" t="s">
        <v>473</v>
      </c>
    </row>
    <row r="37" ht="15.75" customHeight="1">
      <c r="A37" s="17" t="s">
        <v>199</v>
      </c>
      <c r="B37" s="17" t="s">
        <v>457</v>
      </c>
      <c r="C37" s="17" t="s">
        <v>27</v>
      </c>
      <c r="D37" s="17" t="s">
        <v>458</v>
      </c>
      <c r="E37" s="17">
        <v>5.0</v>
      </c>
      <c r="F37" s="17">
        <v>13.0</v>
      </c>
      <c r="G37" s="17">
        <v>0.0</v>
      </c>
      <c r="H37" s="19">
        <v>0.0</v>
      </c>
      <c r="I37" s="20">
        <v>12.15</v>
      </c>
      <c r="J37" s="17" t="s">
        <v>462</v>
      </c>
      <c r="K37" s="17">
        <v>71.0</v>
      </c>
      <c r="L37" s="17" t="s">
        <v>473</v>
      </c>
    </row>
    <row r="38" ht="15.75" customHeight="1">
      <c r="A38" s="12" t="s">
        <v>204</v>
      </c>
      <c r="B38" s="12" t="s">
        <v>457</v>
      </c>
      <c r="C38" s="12" t="s">
        <v>27</v>
      </c>
      <c r="D38" s="12" t="s">
        <v>458</v>
      </c>
      <c r="E38" s="12">
        <v>5.0</v>
      </c>
      <c r="F38" s="12">
        <v>13.0</v>
      </c>
      <c r="G38" s="12">
        <v>0.0</v>
      </c>
      <c r="H38" s="14">
        <v>0.0</v>
      </c>
      <c r="I38" s="15">
        <v>12.69</v>
      </c>
      <c r="J38" s="12" t="s">
        <v>462</v>
      </c>
      <c r="K38" s="12">
        <v>71.0</v>
      </c>
      <c r="L38" s="12" t="s">
        <v>473</v>
      </c>
    </row>
    <row r="39" ht="15.75" customHeight="1">
      <c r="A39" s="17" t="s">
        <v>209</v>
      </c>
      <c r="B39" s="17" t="s">
        <v>457</v>
      </c>
      <c r="C39" s="17" t="s">
        <v>210</v>
      </c>
      <c r="D39" s="17" t="s">
        <v>458</v>
      </c>
      <c r="E39" s="17">
        <v>5.0</v>
      </c>
      <c r="F39" s="17">
        <v>12.0</v>
      </c>
      <c r="G39" s="17">
        <v>0.0</v>
      </c>
      <c r="H39" s="19">
        <v>0.0</v>
      </c>
      <c r="I39" s="20">
        <v>9.58</v>
      </c>
      <c r="J39" s="17" t="s">
        <v>462</v>
      </c>
      <c r="K39" s="17">
        <v>71.0</v>
      </c>
      <c r="L39" s="17" t="s">
        <v>473</v>
      </c>
    </row>
    <row r="40" ht="15.75" customHeight="1">
      <c r="A40" s="12" t="s">
        <v>216</v>
      </c>
      <c r="B40" s="12" t="s">
        <v>457</v>
      </c>
      <c r="C40" s="12" t="s">
        <v>27</v>
      </c>
      <c r="D40" s="12" t="s">
        <v>458</v>
      </c>
      <c r="E40" s="12">
        <v>5.0</v>
      </c>
      <c r="F40" s="12">
        <v>11.0</v>
      </c>
      <c r="G40" s="12">
        <v>0.0</v>
      </c>
      <c r="H40" s="14">
        <v>0.0</v>
      </c>
      <c r="I40" s="15">
        <v>13.64</v>
      </c>
      <c r="J40" s="12" t="s">
        <v>462</v>
      </c>
      <c r="K40" s="12">
        <v>71.0</v>
      </c>
      <c r="L40" s="12" t="s">
        <v>473</v>
      </c>
    </row>
    <row r="41" ht="15.75" customHeight="1">
      <c r="A41" s="17" t="s">
        <v>219</v>
      </c>
      <c r="B41" s="17" t="s">
        <v>457</v>
      </c>
      <c r="C41" s="17" t="s">
        <v>210</v>
      </c>
      <c r="D41" s="17" t="s">
        <v>458</v>
      </c>
      <c r="E41" s="17">
        <v>5.0</v>
      </c>
      <c r="F41" s="17">
        <v>11.0</v>
      </c>
      <c r="G41" s="17">
        <v>0.0</v>
      </c>
      <c r="H41" s="19">
        <v>0.0</v>
      </c>
      <c r="I41" s="20">
        <v>19.09</v>
      </c>
      <c r="J41" s="17" t="s">
        <v>462</v>
      </c>
      <c r="K41" s="17">
        <v>71.0</v>
      </c>
      <c r="L41" s="17" t="s">
        <v>473</v>
      </c>
    </row>
    <row r="42" ht="15.75" customHeight="1">
      <c r="A42" s="12" t="s">
        <v>223</v>
      </c>
      <c r="B42" s="12" t="s">
        <v>457</v>
      </c>
      <c r="C42" s="12" t="s">
        <v>27</v>
      </c>
      <c r="D42" s="12" t="s">
        <v>458</v>
      </c>
      <c r="E42" s="12">
        <v>5.0</v>
      </c>
      <c r="F42" s="12">
        <v>11.0</v>
      </c>
      <c r="G42" s="12">
        <v>0.0</v>
      </c>
      <c r="H42" s="14">
        <v>0.0</v>
      </c>
      <c r="I42" s="15">
        <v>21.27</v>
      </c>
      <c r="J42" s="12" t="s">
        <v>462</v>
      </c>
      <c r="K42" s="12">
        <v>51.0</v>
      </c>
      <c r="L42" s="12" t="s">
        <v>501</v>
      </c>
    </row>
    <row r="43" ht="15.75" customHeight="1">
      <c r="A43" s="17" t="s">
        <v>227</v>
      </c>
      <c r="B43" s="17" t="s">
        <v>132</v>
      </c>
      <c r="C43" s="17" t="s">
        <v>32</v>
      </c>
      <c r="D43" s="17" t="s">
        <v>458</v>
      </c>
      <c r="E43" s="17">
        <v>5.0</v>
      </c>
      <c r="F43" s="17">
        <v>11.0</v>
      </c>
      <c r="G43" s="17">
        <v>0.0</v>
      </c>
      <c r="H43" s="19">
        <v>0.0</v>
      </c>
      <c r="I43" s="20">
        <v>46.73</v>
      </c>
      <c r="J43" s="17" t="s">
        <v>462</v>
      </c>
      <c r="K43" s="17">
        <v>51.0</v>
      </c>
      <c r="L43" s="17" t="s">
        <v>501</v>
      </c>
    </row>
    <row r="44" ht="15.75" customHeight="1">
      <c r="A44" s="12" t="s">
        <v>230</v>
      </c>
      <c r="B44" s="12" t="s">
        <v>457</v>
      </c>
      <c r="C44" s="12" t="s">
        <v>32</v>
      </c>
      <c r="D44" s="12" t="s">
        <v>458</v>
      </c>
      <c r="E44" s="12">
        <v>5.0</v>
      </c>
      <c r="F44" s="12">
        <v>10.0</v>
      </c>
      <c r="G44" s="12">
        <v>0.0</v>
      </c>
      <c r="H44" s="14">
        <v>0.0</v>
      </c>
      <c r="I44" s="15">
        <v>5.5</v>
      </c>
      <c r="J44" s="12" t="s">
        <v>462</v>
      </c>
      <c r="K44" s="12">
        <v>71.0</v>
      </c>
      <c r="L44" s="12" t="s">
        <v>473</v>
      </c>
    </row>
    <row r="45" ht="15.75" customHeight="1">
      <c r="A45" s="17" t="s">
        <v>233</v>
      </c>
      <c r="B45" s="17" t="s">
        <v>457</v>
      </c>
      <c r="C45" s="17" t="s">
        <v>27</v>
      </c>
      <c r="D45" s="17" t="s">
        <v>458</v>
      </c>
      <c r="E45" s="17">
        <v>5.0</v>
      </c>
      <c r="F45" s="17">
        <v>10.0</v>
      </c>
      <c r="G45" s="17">
        <v>0.0</v>
      </c>
      <c r="H45" s="19">
        <v>0.0</v>
      </c>
      <c r="I45" s="20">
        <v>15.0</v>
      </c>
      <c r="J45" s="17" t="s">
        <v>462</v>
      </c>
      <c r="K45" s="17">
        <v>71.0</v>
      </c>
      <c r="L45" s="17" t="s">
        <v>473</v>
      </c>
    </row>
    <row r="46" ht="15.75" customHeight="1">
      <c r="A46" s="12" t="s">
        <v>237</v>
      </c>
      <c r="B46" s="12" t="s">
        <v>457</v>
      </c>
      <c r="C46" s="12" t="s">
        <v>27</v>
      </c>
      <c r="D46" s="12" t="s">
        <v>458</v>
      </c>
      <c r="E46" s="12">
        <v>5.0</v>
      </c>
      <c r="F46" s="12">
        <v>10.0</v>
      </c>
      <c r="G46" s="12">
        <v>0.0</v>
      </c>
      <c r="H46" s="14">
        <v>0.0</v>
      </c>
      <c r="I46" s="15">
        <v>22.6</v>
      </c>
      <c r="J46" s="12" t="s">
        <v>462</v>
      </c>
      <c r="K46" s="12">
        <v>51.0</v>
      </c>
      <c r="L46" s="12" t="s">
        <v>501</v>
      </c>
    </row>
    <row r="47" ht="15.75" customHeight="1">
      <c r="A47" s="17" t="s">
        <v>241</v>
      </c>
      <c r="B47" s="17" t="s">
        <v>457</v>
      </c>
      <c r="C47" s="17" t="s">
        <v>27</v>
      </c>
      <c r="D47" s="17" t="s">
        <v>458</v>
      </c>
      <c r="E47" s="17">
        <v>5.0</v>
      </c>
      <c r="F47" s="17">
        <v>9.0</v>
      </c>
      <c r="G47" s="17">
        <v>0.0</v>
      </c>
      <c r="H47" s="19">
        <v>0.0</v>
      </c>
      <c r="I47" s="20">
        <v>11.67</v>
      </c>
      <c r="J47" s="17" t="s">
        <v>462</v>
      </c>
      <c r="K47" s="17">
        <v>71.0</v>
      </c>
      <c r="L47" s="17" t="s">
        <v>473</v>
      </c>
    </row>
    <row r="48" ht="15.75" customHeight="1">
      <c r="A48" s="12" t="s">
        <v>245</v>
      </c>
      <c r="B48" s="12" t="s">
        <v>76</v>
      </c>
      <c r="C48" s="12" t="s">
        <v>32</v>
      </c>
      <c r="D48" s="12" t="s">
        <v>458</v>
      </c>
      <c r="E48" s="12">
        <v>5.0</v>
      </c>
      <c r="F48" s="12">
        <v>9.0</v>
      </c>
      <c r="G48" s="12">
        <v>0.0</v>
      </c>
      <c r="H48" s="14">
        <v>0.0</v>
      </c>
      <c r="I48" s="15">
        <v>44.44</v>
      </c>
      <c r="J48" s="12" t="s">
        <v>462</v>
      </c>
      <c r="K48" s="12">
        <v>51.0</v>
      </c>
      <c r="L48" s="12" t="s">
        <v>501</v>
      </c>
    </row>
    <row r="49" ht="15.75" customHeight="1">
      <c r="A49" s="17" t="s">
        <v>247</v>
      </c>
      <c r="B49" s="17" t="s">
        <v>457</v>
      </c>
      <c r="C49" s="17" t="s">
        <v>22</v>
      </c>
      <c r="D49" s="17" t="s">
        <v>489</v>
      </c>
      <c r="E49" s="17">
        <v>2.0</v>
      </c>
      <c r="F49" s="17">
        <v>9.0</v>
      </c>
      <c r="G49" s="17">
        <v>0.0</v>
      </c>
      <c r="H49" s="19">
        <v>0.0</v>
      </c>
      <c r="I49" s="20">
        <v>46.78</v>
      </c>
      <c r="J49" s="17" t="s">
        <v>462</v>
      </c>
      <c r="K49" s="17">
        <v>21.0</v>
      </c>
      <c r="L49" s="17" t="s">
        <v>501</v>
      </c>
    </row>
    <row r="50" ht="15.75" customHeight="1">
      <c r="A50" s="12" t="s">
        <v>250</v>
      </c>
      <c r="B50" s="12" t="s">
        <v>457</v>
      </c>
      <c r="C50" s="12" t="s">
        <v>34</v>
      </c>
      <c r="D50" s="12" t="s">
        <v>458</v>
      </c>
      <c r="E50" s="12">
        <v>5.0</v>
      </c>
      <c r="F50" s="12">
        <v>8.0</v>
      </c>
      <c r="G50" s="12">
        <v>0.0</v>
      </c>
      <c r="H50" s="14">
        <v>0.0</v>
      </c>
      <c r="I50" s="15">
        <v>9.0</v>
      </c>
      <c r="J50" s="12" t="s">
        <v>462</v>
      </c>
      <c r="K50" s="12">
        <v>71.0</v>
      </c>
      <c r="L50" s="12" t="s">
        <v>473</v>
      </c>
    </row>
    <row r="51" ht="15.75" customHeight="1">
      <c r="A51" s="17" t="s">
        <v>252</v>
      </c>
      <c r="B51" s="17" t="s">
        <v>457</v>
      </c>
      <c r="C51" s="17" t="s">
        <v>27</v>
      </c>
      <c r="D51" s="17" t="s">
        <v>458</v>
      </c>
      <c r="E51" s="17">
        <v>5.0</v>
      </c>
      <c r="F51" s="17">
        <v>8.0</v>
      </c>
      <c r="G51" s="17">
        <v>0.0</v>
      </c>
      <c r="H51" s="19">
        <v>0.0</v>
      </c>
      <c r="I51" s="20">
        <v>23.5</v>
      </c>
      <c r="J51" s="17" t="s">
        <v>462</v>
      </c>
      <c r="K51" s="17">
        <v>51.0</v>
      </c>
      <c r="L51" s="17" t="s">
        <v>501</v>
      </c>
    </row>
    <row r="52" ht="15.75" customHeight="1">
      <c r="A52" s="12" t="s">
        <v>253</v>
      </c>
      <c r="B52" s="12" t="s">
        <v>457</v>
      </c>
      <c r="C52" s="12" t="s">
        <v>34</v>
      </c>
      <c r="D52" s="12" t="s">
        <v>489</v>
      </c>
      <c r="E52" s="12">
        <v>2.0</v>
      </c>
      <c r="F52" s="12">
        <v>7.0</v>
      </c>
      <c r="G52" s="12">
        <v>0.0</v>
      </c>
      <c r="H52" s="14">
        <v>0.0</v>
      </c>
      <c r="I52" s="15">
        <v>9.14</v>
      </c>
      <c r="J52" s="12" t="s">
        <v>462</v>
      </c>
      <c r="K52" s="12">
        <v>41.0</v>
      </c>
      <c r="L52" s="12" t="s">
        <v>501</v>
      </c>
    </row>
    <row r="53" ht="15.75" customHeight="1">
      <c r="A53" s="17" t="s">
        <v>255</v>
      </c>
      <c r="B53" s="17" t="s">
        <v>76</v>
      </c>
      <c r="C53" s="17" t="s">
        <v>27</v>
      </c>
      <c r="D53" s="17" t="s">
        <v>458</v>
      </c>
      <c r="E53" s="17">
        <v>5.0</v>
      </c>
      <c r="F53" s="17">
        <v>7.0</v>
      </c>
      <c r="G53" s="17">
        <v>0.0</v>
      </c>
      <c r="H53" s="19">
        <v>0.0</v>
      </c>
      <c r="I53" s="20">
        <v>29.14</v>
      </c>
      <c r="J53" s="17" t="s">
        <v>462</v>
      </c>
      <c r="K53" s="17">
        <v>51.0</v>
      </c>
      <c r="L53" s="17" t="s">
        <v>501</v>
      </c>
    </row>
    <row r="54" ht="15.75" customHeight="1">
      <c r="A54" s="12" t="s">
        <v>256</v>
      </c>
      <c r="B54" s="12" t="s">
        <v>457</v>
      </c>
      <c r="C54" s="12" t="s">
        <v>32</v>
      </c>
      <c r="D54" s="12" t="s">
        <v>458</v>
      </c>
      <c r="E54" s="12">
        <v>5.0</v>
      </c>
      <c r="F54" s="12">
        <v>6.0</v>
      </c>
      <c r="G54" s="12">
        <v>0.0</v>
      </c>
      <c r="H54" s="14">
        <v>0.0</v>
      </c>
      <c r="I54" s="15">
        <v>1.83</v>
      </c>
      <c r="J54" s="12" t="s">
        <v>462</v>
      </c>
      <c r="K54" s="12">
        <v>60.0</v>
      </c>
      <c r="L54" s="12" t="s">
        <v>473</v>
      </c>
    </row>
    <row r="55" ht="15.75" customHeight="1">
      <c r="A55" s="17" t="s">
        <v>261</v>
      </c>
      <c r="B55" s="17" t="s">
        <v>457</v>
      </c>
      <c r="C55" s="17" t="s">
        <v>32</v>
      </c>
      <c r="D55" s="17" t="s">
        <v>458</v>
      </c>
      <c r="E55" s="17">
        <v>5.0</v>
      </c>
      <c r="F55" s="17">
        <v>6.0</v>
      </c>
      <c r="G55" s="17">
        <v>0.0</v>
      </c>
      <c r="H55" s="19">
        <v>0.0</v>
      </c>
      <c r="I55" s="20">
        <v>8.17</v>
      </c>
      <c r="J55" s="17" t="s">
        <v>462</v>
      </c>
      <c r="K55" s="17">
        <v>70.0</v>
      </c>
      <c r="L55" s="17" t="s">
        <v>473</v>
      </c>
    </row>
    <row r="56" ht="15.75" customHeight="1">
      <c r="A56" s="12" t="s">
        <v>266</v>
      </c>
      <c r="B56" s="12" t="s">
        <v>457</v>
      </c>
      <c r="C56" s="12" t="s">
        <v>22</v>
      </c>
      <c r="D56" s="12" t="s">
        <v>458</v>
      </c>
      <c r="E56" s="12">
        <v>5.0</v>
      </c>
      <c r="F56" s="12">
        <v>6.0</v>
      </c>
      <c r="G56" s="12">
        <v>0.0</v>
      </c>
      <c r="H56" s="14">
        <v>0.0</v>
      </c>
      <c r="I56" s="15">
        <v>8.5</v>
      </c>
      <c r="J56" s="12" t="s">
        <v>462</v>
      </c>
      <c r="K56" s="12">
        <v>70.0</v>
      </c>
      <c r="L56" s="12" t="s">
        <v>473</v>
      </c>
    </row>
    <row r="57" ht="15.75" customHeight="1">
      <c r="A57" s="17" t="s">
        <v>272</v>
      </c>
      <c r="B57" s="17" t="s">
        <v>457</v>
      </c>
      <c r="C57" s="17" t="s">
        <v>27</v>
      </c>
      <c r="D57" s="17" t="s">
        <v>489</v>
      </c>
      <c r="E57" s="17">
        <v>5.0</v>
      </c>
      <c r="F57" s="17">
        <v>6.0</v>
      </c>
      <c r="G57" s="17">
        <v>0.0</v>
      </c>
      <c r="H57" s="19">
        <v>0.0</v>
      </c>
      <c r="I57" s="20">
        <v>9.83</v>
      </c>
      <c r="J57" s="17" t="s">
        <v>462</v>
      </c>
      <c r="K57" s="17">
        <v>70.0</v>
      </c>
      <c r="L57" s="17" t="s">
        <v>473</v>
      </c>
    </row>
    <row r="58" ht="15.75" customHeight="1">
      <c r="A58" s="12" t="s">
        <v>281</v>
      </c>
      <c r="B58" s="12" t="s">
        <v>457</v>
      </c>
      <c r="C58" s="12" t="s">
        <v>34</v>
      </c>
      <c r="D58" s="12" t="s">
        <v>458</v>
      </c>
      <c r="E58" s="12">
        <v>5.0</v>
      </c>
      <c r="F58" s="12">
        <v>6.0</v>
      </c>
      <c r="G58" s="12">
        <v>0.0</v>
      </c>
      <c r="H58" s="14">
        <v>0.0</v>
      </c>
      <c r="I58" s="15">
        <v>10.17</v>
      </c>
      <c r="J58" s="12" t="s">
        <v>462</v>
      </c>
      <c r="K58" s="12">
        <v>70.0</v>
      </c>
      <c r="L58" s="12" t="s">
        <v>473</v>
      </c>
    </row>
    <row r="59" ht="15.75" customHeight="1">
      <c r="A59" s="17" t="s">
        <v>290</v>
      </c>
      <c r="B59" s="17" t="s">
        <v>476</v>
      </c>
      <c r="C59" s="17" t="s">
        <v>32</v>
      </c>
      <c r="D59" s="17" t="s">
        <v>458</v>
      </c>
      <c r="E59" s="17">
        <v>5.0</v>
      </c>
      <c r="F59" s="17">
        <v>6.0</v>
      </c>
      <c r="G59" s="17">
        <v>0.0</v>
      </c>
      <c r="H59" s="19">
        <v>0.0</v>
      </c>
      <c r="I59" s="20">
        <v>11.33</v>
      </c>
      <c r="J59" s="17" t="s">
        <v>462</v>
      </c>
      <c r="K59" s="17">
        <v>70.0</v>
      </c>
      <c r="L59" s="17" t="s">
        <v>473</v>
      </c>
    </row>
    <row r="60" ht="15.75" customHeight="1">
      <c r="A60" s="12" t="s">
        <v>297</v>
      </c>
      <c r="B60" s="12" t="s">
        <v>457</v>
      </c>
      <c r="C60" s="12" t="s">
        <v>27</v>
      </c>
      <c r="D60" s="12" t="s">
        <v>458</v>
      </c>
      <c r="E60" s="12">
        <v>5.0</v>
      </c>
      <c r="F60" s="12">
        <v>6.0</v>
      </c>
      <c r="G60" s="12">
        <v>0.0</v>
      </c>
      <c r="H60" s="14">
        <v>0.0</v>
      </c>
      <c r="I60" s="15">
        <v>14.83</v>
      </c>
      <c r="J60" s="12" t="s">
        <v>462</v>
      </c>
      <c r="K60" s="12">
        <v>70.0</v>
      </c>
      <c r="L60" s="12" t="s">
        <v>473</v>
      </c>
    </row>
    <row r="61" ht="15.75" customHeight="1">
      <c r="A61" s="17" t="s">
        <v>301</v>
      </c>
      <c r="B61" s="17" t="s">
        <v>457</v>
      </c>
      <c r="C61" s="17" t="s">
        <v>27</v>
      </c>
      <c r="D61" s="17" t="s">
        <v>458</v>
      </c>
      <c r="E61" s="17">
        <v>5.0</v>
      </c>
      <c r="F61" s="17">
        <v>6.0</v>
      </c>
      <c r="G61" s="17">
        <v>0.0</v>
      </c>
      <c r="H61" s="19">
        <v>0.0</v>
      </c>
      <c r="I61" s="20">
        <v>22.67</v>
      </c>
      <c r="J61" s="17" t="s">
        <v>462</v>
      </c>
      <c r="K61" s="17">
        <v>50.0</v>
      </c>
      <c r="L61" s="17" t="s">
        <v>501</v>
      </c>
    </row>
    <row r="62" ht="15.75" customHeight="1">
      <c r="A62" s="12" t="s">
        <v>305</v>
      </c>
      <c r="B62" s="12" t="s">
        <v>457</v>
      </c>
      <c r="C62" s="12" t="s">
        <v>27</v>
      </c>
      <c r="D62" s="12" t="s">
        <v>458</v>
      </c>
      <c r="E62" s="12">
        <v>5.0</v>
      </c>
      <c r="F62" s="12">
        <v>6.0</v>
      </c>
      <c r="G62" s="12">
        <v>0.0</v>
      </c>
      <c r="H62" s="14">
        <v>0.0</v>
      </c>
      <c r="I62" s="15">
        <v>27.5</v>
      </c>
      <c r="J62" s="12" t="s">
        <v>462</v>
      </c>
      <c r="K62" s="12">
        <v>50.0</v>
      </c>
      <c r="L62" s="12" t="s">
        <v>501</v>
      </c>
    </row>
    <row r="63" ht="15.75" customHeight="1">
      <c r="A63" s="17" t="s">
        <v>310</v>
      </c>
      <c r="B63" s="17" t="s">
        <v>457</v>
      </c>
      <c r="C63" s="17" t="s">
        <v>34</v>
      </c>
      <c r="D63" s="17" t="s">
        <v>458</v>
      </c>
      <c r="E63" s="17">
        <v>5.0</v>
      </c>
      <c r="F63" s="17">
        <v>5.0</v>
      </c>
      <c r="G63" s="17">
        <v>0.0</v>
      </c>
      <c r="H63" s="19">
        <v>0.0</v>
      </c>
      <c r="I63" s="20">
        <v>10.8</v>
      </c>
      <c r="J63" s="17" t="s">
        <v>462</v>
      </c>
      <c r="K63" s="17">
        <v>70.0</v>
      </c>
      <c r="L63" s="17" t="s">
        <v>473</v>
      </c>
    </row>
    <row r="64" ht="15.75" customHeight="1">
      <c r="A64" s="12" t="s">
        <v>313</v>
      </c>
      <c r="B64" s="12" t="s">
        <v>132</v>
      </c>
      <c r="C64" s="12" t="s">
        <v>27</v>
      </c>
      <c r="D64" s="12" t="s">
        <v>489</v>
      </c>
      <c r="E64" s="12">
        <v>5.0</v>
      </c>
      <c r="F64" s="12">
        <v>5.0</v>
      </c>
      <c r="G64" s="12">
        <v>0.0</v>
      </c>
      <c r="H64" s="14">
        <v>0.0</v>
      </c>
      <c r="I64" s="15">
        <v>11.6</v>
      </c>
      <c r="J64" s="12" t="s">
        <v>462</v>
      </c>
      <c r="K64" s="12">
        <v>70.0</v>
      </c>
      <c r="L64" s="12" t="s">
        <v>473</v>
      </c>
    </row>
    <row r="65" ht="15.75" customHeight="1">
      <c r="A65" s="17" t="s">
        <v>318</v>
      </c>
      <c r="B65" s="17" t="s">
        <v>457</v>
      </c>
      <c r="C65" s="17" t="s">
        <v>210</v>
      </c>
      <c r="D65" s="17" t="s">
        <v>489</v>
      </c>
      <c r="E65" s="17">
        <v>2.0</v>
      </c>
      <c r="F65" s="17">
        <v>5.0</v>
      </c>
      <c r="G65" s="17">
        <v>0.0</v>
      </c>
      <c r="H65" s="19">
        <v>0.0</v>
      </c>
      <c r="I65" s="20">
        <v>12.0</v>
      </c>
      <c r="J65" s="17" t="s">
        <v>462</v>
      </c>
      <c r="K65" s="17">
        <v>40.0</v>
      </c>
      <c r="L65" s="17" t="s">
        <v>501</v>
      </c>
    </row>
    <row r="66" ht="15.75" customHeight="1">
      <c r="A66" s="12" t="s">
        <v>323</v>
      </c>
      <c r="B66" s="12" t="s">
        <v>476</v>
      </c>
      <c r="C66" s="12" t="s">
        <v>324</v>
      </c>
      <c r="D66" s="12" t="s">
        <v>458</v>
      </c>
      <c r="E66" s="12">
        <v>5.0</v>
      </c>
      <c r="F66" s="12">
        <v>5.0</v>
      </c>
      <c r="G66" s="12">
        <v>0.0</v>
      </c>
      <c r="H66" s="14">
        <v>0.0</v>
      </c>
      <c r="I66" s="15">
        <v>17.6</v>
      </c>
      <c r="J66" s="12" t="s">
        <v>462</v>
      </c>
      <c r="K66" s="12">
        <v>70.0</v>
      </c>
      <c r="L66" s="12" t="s">
        <v>473</v>
      </c>
    </row>
    <row r="67" ht="15.75" customHeight="1">
      <c r="A67" s="17" t="s">
        <v>328</v>
      </c>
      <c r="B67" s="17" t="s">
        <v>457</v>
      </c>
      <c r="C67" s="17" t="s">
        <v>32</v>
      </c>
      <c r="D67" s="17" t="s">
        <v>458</v>
      </c>
      <c r="E67" s="17">
        <v>5.0</v>
      </c>
      <c r="F67" s="17">
        <v>5.0</v>
      </c>
      <c r="G67" s="17">
        <v>0.0</v>
      </c>
      <c r="H67" s="19">
        <v>0.0</v>
      </c>
      <c r="I67" s="20">
        <v>19.2</v>
      </c>
      <c r="J67" s="17" t="s">
        <v>462</v>
      </c>
      <c r="K67" s="17">
        <v>70.0</v>
      </c>
      <c r="L67" s="17" t="s">
        <v>473</v>
      </c>
    </row>
    <row r="68" ht="15.75" customHeight="1">
      <c r="A68" s="12" t="s">
        <v>331</v>
      </c>
      <c r="B68" s="12" t="s">
        <v>457</v>
      </c>
      <c r="C68" s="12" t="s">
        <v>85</v>
      </c>
      <c r="D68" s="12" t="s">
        <v>458</v>
      </c>
      <c r="E68" s="12">
        <v>5.0</v>
      </c>
      <c r="F68" s="12">
        <v>5.0</v>
      </c>
      <c r="G68" s="12">
        <v>0.0</v>
      </c>
      <c r="H68" s="14">
        <v>0.0</v>
      </c>
      <c r="I68" s="15">
        <v>22.4</v>
      </c>
      <c r="J68" s="12" t="s">
        <v>462</v>
      </c>
      <c r="K68" s="12">
        <v>50.0</v>
      </c>
      <c r="L68" s="12" t="s">
        <v>501</v>
      </c>
    </row>
    <row r="69" ht="15.75" customHeight="1">
      <c r="A69" s="17" t="s">
        <v>333</v>
      </c>
      <c r="B69" s="17" t="s">
        <v>476</v>
      </c>
      <c r="C69" s="17" t="s">
        <v>32</v>
      </c>
      <c r="D69" s="17" t="s">
        <v>458</v>
      </c>
      <c r="E69" s="17">
        <v>5.0</v>
      </c>
      <c r="F69" s="17">
        <v>5.0</v>
      </c>
      <c r="G69" s="17">
        <v>0.0</v>
      </c>
      <c r="H69" s="19">
        <v>0.0</v>
      </c>
      <c r="I69" s="20">
        <v>23.6</v>
      </c>
      <c r="J69" s="17" t="s">
        <v>462</v>
      </c>
      <c r="K69" s="17">
        <v>50.0</v>
      </c>
      <c r="L69" s="17" t="s">
        <v>501</v>
      </c>
    </row>
    <row r="70" ht="15.75" customHeight="1">
      <c r="A70" s="12" t="s">
        <v>336</v>
      </c>
      <c r="B70" s="12" t="s">
        <v>457</v>
      </c>
      <c r="C70" s="12" t="s">
        <v>27</v>
      </c>
      <c r="D70" s="12" t="s">
        <v>458</v>
      </c>
      <c r="E70" s="12">
        <v>5.0</v>
      </c>
      <c r="F70" s="12">
        <v>5.0</v>
      </c>
      <c r="G70" s="12">
        <v>0.0</v>
      </c>
      <c r="H70" s="14">
        <v>0.0</v>
      </c>
      <c r="I70" s="15">
        <v>26.2</v>
      </c>
      <c r="J70" s="12" t="s">
        <v>462</v>
      </c>
      <c r="K70" s="12">
        <v>50.0</v>
      </c>
      <c r="L70" s="12" t="s">
        <v>501</v>
      </c>
    </row>
    <row r="71" ht="15.75" customHeight="1">
      <c r="A71" s="17" t="s">
        <v>341</v>
      </c>
      <c r="B71" s="17" t="s">
        <v>476</v>
      </c>
      <c r="C71" s="17" t="s">
        <v>32</v>
      </c>
      <c r="D71" s="17" t="s">
        <v>458</v>
      </c>
      <c r="E71" s="17">
        <v>5.0</v>
      </c>
      <c r="F71" s="17">
        <v>5.0</v>
      </c>
      <c r="G71" s="17">
        <v>0.0</v>
      </c>
      <c r="H71" s="19">
        <v>0.0</v>
      </c>
      <c r="I71" s="20">
        <v>29.4</v>
      </c>
      <c r="J71" s="17" t="s">
        <v>462</v>
      </c>
      <c r="K71" s="17">
        <v>50.0</v>
      </c>
      <c r="L71" s="17" t="s">
        <v>501</v>
      </c>
    </row>
    <row r="72" ht="15.75" customHeight="1">
      <c r="A72" s="12" t="s">
        <v>344</v>
      </c>
      <c r="B72" s="12" t="s">
        <v>457</v>
      </c>
      <c r="C72" s="12" t="s">
        <v>92</v>
      </c>
      <c r="D72" s="12" t="s">
        <v>489</v>
      </c>
      <c r="E72" s="12">
        <v>2.0</v>
      </c>
      <c r="F72" s="12">
        <v>4.0</v>
      </c>
      <c r="G72" s="12">
        <v>0.0</v>
      </c>
      <c r="H72" s="14">
        <v>0.0</v>
      </c>
      <c r="I72" s="15">
        <v>2.25</v>
      </c>
      <c r="J72" s="12" t="s">
        <v>462</v>
      </c>
      <c r="K72" s="12">
        <v>30.0</v>
      </c>
      <c r="L72" s="12" t="s">
        <v>501</v>
      </c>
    </row>
    <row r="73" ht="15.75" customHeight="1">
      <c r="A73" s="17" t="s">
        <v>346</v>
      </c>
      <c r="B73" s="17" t="s">
        <v>457</v>
      </c>
      <c r="C73" s="17" t="s">
        <v>34</v>
      </c>
      <c r="D73" s="17" t="s">
        <v>489</v>
      </c>
      <c r="E73" s="17">
        <v>2.0</v>
      </c>
      <c r="F73" s="17">
        <v>4.0</v>
      </c>
      <c r="G73" s="17">
        <v>0.0</v>
      </c>
      <c r="H73" s="19">
        <v>0.0</v>
      </c>
      <c r="I73" s="20">
        <v>9.5</v>
      </c>
      <c r="J73" s="17" t="s">
        <v>462</v>
      </c>
      <c r="K73" s="17">
        <v>40.0</v>
      </c>
      <c r="L73" s="17" t="s">
        <v>501</v>
      </c>
    </row>
    <row r="74" ht="15.75" customHeight="1">
      <c r="A74" s="12" t="s">
        <v>350</v>
      </c>
      <c r="B74" s="12" t="s">
        <v>457</v>
      </c>
      <c r="C74" s="12" t="s">
        <v>27</v>
      </c>
      <c r="D74" s="12" t="s">
        <v>458</v>
      </c>
      <c r="E74" s="12">
        <v>5.0</v>
      </c>
      <c r="F74" s="12">
        <v>4.0</v>
      </c>
      <c r="G74" s="12">
        <v>0.0</v>
      </c>
      <c r="H74" s="14">
        <v>0.0</v>
      </c>
      <c r="I74" s="15">
        <v>11.5</v>
      </c>
      <c r="J74" s="12" t="s">
        <v>462</v>
      </c>
      <c r="K74" s="12">
        <v>70.0</v>
      </c>
      <c r="L74" s="12" t="s">
        <v>473</v>
      </c>
    </row>
    <row r="75" ht="15.75" customHeight="1">
      <c r="A75" s="17" t="s">
        <v>353</v>
      </c>
      <c r="B75" s="17" t="s">
        <v>76</v>
      </c>
      <c r="C75" s="17" t="s">
        <v>34</v>
      </c>
      <c r="D75" s="17" t="s">
        <v>458</v>
      </c>
      <c r="E75" s="17">
        <v>5.0</v>
      </c>
      <c r="F75" s="17">
        <v>4.0</v>
      </c>
      <c r="G75" s="17">
        <v>0.0</v>
      </c>
      <c r="H75" s="19">
        <v>0.0</v>
      </c>
      <c r="I75" s="20">
        <v>14.75</v>
      </c>
      <c r="J75" s="17" t="s">
        <v>462</v>
      </c>
      <c r="K75" s="17">
        <v>70.0</v>
      </c>
      <c r="L75" s="17" t="s">
        <v>473</v>
      </c>
    </row>
    <row r="76" ht="15.75" customHeight="1">
      <c r="A76" s="12" t="s">
        <v>355</v>
      </c>
      <c r="B76" s="12" t="s">
        <v>476</v>
      </c>
      <c r="C76" s="12" t="s">
        <v>324</v>
      </c>
      <c r="D76" s="12" t="s">
        <v>458</v>
      </c>
      <c r="E76" s="12">
        <v>5.0</v>
      </c>
      <c r="F76" s="12">
        <v>4.0</v>
      </c>
      <c r="G76" s="12">
        <v>0.0</v>
      </c>
      <c r="H76" s="14">
        <v>0.0</v>
      </c>
      <c r="I76" s="15">
        <v>17.0</v>
      </c>
      <c r="J76" s="12" t="s">
        <v>462</v>
      </c>
      <c r="K76" s="12">
        <v>70.0</v>
      </c>
      <c r="L76" s="12" t="s">
        <v>473</v>
      </c>
    </row>
    <row r="77" ht="15.75" customHeight="1">
      <c r="A77" s="17" t="s">
        <v>360</v>
      </c>
      <c r="B77" s="17" t="s">
        <v>476</v>
      </c>
      <c r="C77" s="17" t="s">
        <v>32</v>
      </c>
      <c r="D77" s="17" t="s">
        <v>458</v>
      </c>
      <c r="E77" s="17">
        <v>5.0</v>
      </c>
      <c r="F77" s="17">
        <v>4.0</v>
      </c>
      <c r="G77" s="17">
        <v>0.0</v>
      </c>
      <c r="H77" s="19">
        <v>0.0</v>
      </c>
      <c r="I77" s="20">
        <v>18.5</v>
      </c>
      <c r="J77" s="17" t="s">
        <v>462</v>
      </c>
      <c r="K77" s="17">
        <v>70.0</v>
      </c>
      <c r="L77" s="17" t="s">
        <v>473</v>
      </c>
    </row>
    <row r="78" ht="15.75" customHeight="1">
      <c r="A78" s="12" t="s">
        <v>364</v>
      </c>
      <c r="B78" s="12" t="s">
        <v>76</v>
      </c>
      <c r="C78" s="12" t="s">
        <v>22</v>
      </c>
      <c r="D78" s="12" t="s">
        <v>458</v>
      </c>
      <c r="E78" s="12">
        <v>5.0</v>
      </c>
      <c r="F78" s="12">
        <v>4.0</v>
      </c>
      <c r="G78" s="12">
        <v>0.0</v>
      </c>
      <c r="H78" s="14">
        <v>0.0</v>
      </c>
      <c r="I78" s="15">
        <v>22.0</v>
      </c>
      <c r="J78" s="12" t="s">
        <v>462</v>
      </c>
      <c r="K78" s="12">
        <v>50.0</v>
      </c>
      <c r="L78" s="12" t="s">
        <v>501</v>
      </c>
    </row>
    <row r="79" ht="15.75" customHeight="1">
      <c r="A79" s="17" t="s">
        <v>366</v>
      </c>
      <c r="B79" s="17" t="s">
        <v>76</v>
      </c>
      <c r="C79" s="17" t="s">
        <v>22</v>
      </c>
      <c r="D79" s="17" t="s">
        <v>458</v>
      </c>
      <c r="E79" s="17">
        <v>5.0</v>
      </c>
      <c r="F79" s="17">
        <v>4.0</v>
      </c>
      <c r="G79" s="17">
        <v>0.0</v>
      </c>
      <c r="H79" s="19">
        <v>0.0</v>
      </c>
      <c r="I79" s="20">
        <v>27.25</v>
      </c>
      <c r="J79" s="17" t="s">
        <v>462</v>
      </c>
      <c r="K79" s="17">
        <v>50.0</v>
      </c>
      <c r="L79" s="17" t="s">
        <v>501</v>
      </c>
    </row>
    <row r="80" ht="15.75" customHeight="1">
      <c r="A80" s="12" t="s">
        <v>367</v>
      </c>
      <c r="B80" s="12" t="s">
        <v>476</v>
      </c>
      <c r="C80" s="12" t="s">
        <v>27</v>
      </c>
      <c r="D80" s="12" t="s">
        <v>458</v>
      </c>
      <c r="E80" s="12">
        <v>5.0</v>
      </c>
      <c r="F80" s="12">
        <v>4.0</v>
      </c>
      <c r="G80" s="12">
        <v>0.0</v>
      </c>
      <c r="H80" s="14">
        <v>0.0</v>
      </c>
      <c r="I80" s="15">
        <v>27.75</v>
      </c>
      <c r="J80" s="12" t="s">
        <v>462</v>
      </c>
      <c r="K80" s="12">
        <v>50.0</v>
      </c>
      <c r="L80" s="12" t="s">
        <v>501</v>
      </c>
    </row>
    <row r="81" ht="15.75" customHeight="1">
      <c r="A81" s="17" t="s">
        <v>370</v>
      </c>
      <c r="B81" s="17" t="s">
        <v>457</v>
      </c>
      <c r="C81" s="17" t="s">
        <v>85</v>
      </c>
      <c r="D81" s="17" t="s">
        <v>458</v>
      </c>
      <c r="E81" s="17">
        <v>5.0</v>
      </c>
      <c r="F81" s="17">
        <v>4.0</v>
      </c>
      <c r="G81" s="17">
        <v>0.0</v>
      </c>
      <c r="H81" s="19">
        <v>0.0</v>
      </c>
      <c r="I81" s="20">
        <v>30.25</v>
      </c>
      <c r="J81" s="17" t="s">
        <v>462</v>
      </c>
      <c r="K81" s="17">
        <v>50.0</v>
      </c>
      <c r="L81" s="17" t="s">
        <v>501</v>
      </c>
    </row>
    <row r="82" ht="15.75" customHeight="1">
      <c r="A82" s="12" t="s">
        <v>372</v>
      </c>
      <c r="B82" s="12" t="s">
        <v>76</v>
      </c>
      <c r="C82" s="12" t="s">
        <v>85</v>
      </c>
      <c r="D82" s="12" t="s">
        <v>458</v>
      </c>
      <c r="E82" s="12">
        <v>5.0</v>
      </c>
      <c r="F82" s="12">
        <v>4.0</v>
      </c>
      <c r="G82" s="12">
        <v>0.0</v>
      </c>
      <c r="H82" s="14">
        <v>0.0</v>
      </c>
      <c r="I82" s="15">
        <v>32.5</v>
      </c>
      <c r="J82" s="12" t="s">
        <v>462</v>
      </c>
      <c r="K82" s="12">
        <v>50.0</v>
      </c>
      <c r="L82" s="12" t="s">
        <v>501</v>
      </c>
    </row>
    <row r="83" ht="15.75" customHeight="1">
      <c r="A83" s="17" t="s">
        <v>376</v>
      </c>
      <c r="B83" s="17" t="s">
        <v>457</v>
      </c>
      <c r="C83" s="17" t="s">
        <v>85</v>
      </c>
      <c r="D83" s="17" t="s">
        <v>458</v>
      </c>
      <c r="E83" s="17">
        <v>5.0</v>
      </c>
      <c r="F83" s="17">
        <v>4.0</v>
      </c>
      <c r="G83" s="17">
        <v>0.0</v>
      </c>
      <c r="H83" s="19">
        <v>0.0</v>
      </c>
      <c r="I83" s="20">
        <v>37.25</v>
      </c>
      <c r="J83" s="17" t="s">
        <v>462</v>
      </c>
      <c r="K83" s="17">
        <v>50.0</v>
      </c>
      <c r="L83" s="17" t="s">
        <v>501</v>
      </c>
    </row>
    <row r="84" ht="15.75" customHeight="1">
      <c r="A84" s="12" t="s">
        <v>378</v>
      </c>
      <c r="B84" s="12" t="s">
        <v>457</v>
      </c>
      <c r="C84" s="12" t="s">
        <v>32</v>
      </c>
      <c r="D84" s="12" t="s">
        <v>458</v>
      </c>
      <c r="E84" s="12">
        <v>5.0</v>
      </c>
      <c r="F84" s="12">
        <v>4.0</v>
      </c>
      <c r="G84" s="12">
        <v>0.0</v>
      </c>
      <c r="H84" s="14">
        <v>0.0</v>
      </c>
      <c r="I84" s="15">
        <v>87.5</v>
      </c>
      <c r="J84" s="12" t="s">
        <v>462</v>
      </c>
      <c r="K84" s="12">
        <v>50.0</v>
      </c>
      <c r="L84" s="12" t="s">
        <v>501</v>
      </c>
    </row>
    <row r="85" ht="15.75" customHeight="1">
      <c r="A85" s="17" t="s">
        <v>380</v>
      </c>
      <c r="B85" s="17" t="s">
        <v>457</v>
      </c>
      <c r="C85" s="17" t="s">
        <v>32</v>
      </c>
      <c r="D85" s="17" t="s">
        <v>458</v>
      </c>
      <c r="E85" s="17">
        <v>5.0</v>
      </c>
      <c r="F85" s="17">
        <v>3.0</v>
      </c>
      <c r="G85" s="17">
        <v>0.0</v>
      </c>
      <c r="H85" s="19">
        <v>0.0</v>
      </c>
      <c r="I85" s="20">
        <v>2.0</v>
      </c>
      <c r="J85" s="17" t="s">
        <v>462</v>
      </c>
      <c r="K85" s="17">
        <v>60.0</v>
      </c>
      <c r="L85" s="17" t="s">
        <v>473</v>
      </c>
    </row>
    <row r="86" ht="15.75" customHeight="1">
      <c r="A86" s="12" t="s">
        <v>382</v>
      </c>
      <c r="B86" s="12" t="s">
        <v>457</v>
      </c>
      <c r="C86" s="12" t="s">
        <v>34</v>
      </c>
      <c r="D86" s="12" t="s">
        <v>458</v>
      </c>
      <c r="E86" s="12">
        <v>5.0</v>
      </c>
      <c r="F86" s="12">
        <v>3.0</v>
      </c>
      <c r="G86" s="12">
        <v>0.0</v>
      </c>
      <c r="H86" s="14">
        <v>0.0</v>
      </c>
      <c r="I86" s="15">
        <v>6.67</v>
      </c>
      <c r="J86" s="12" t="s">
        <v>462</v>
      </c>
      <c r="K86" s="12">
        <v>70.0</v>
      </c>
      <c r="L86" s="12" t="s">
        <v>473</v>
      </c>
    </row>
    <row r="87" ht="15.75" customHeight="1">
      <c r="A87" s="17" t="s">
        <v>386</v>
      </c>
      <c r="B87" s="17" t="s">
        <v>457</v>
      </c>
      <c r="C87" s="17" t="s">
        <v>210</v>
      </c>
      <c r="D87" s="17" t="s">
        <v>458</v>
      </c>
      <c r="E87" s="17">
        <v>5.0</v>
      </c>
      <c r="F87" s="17">
        <v>3.0</v>
      </c>
      <c r="G87" s="17">
        <v>0.0</v>
      </c>
      <c r="H87" s="19">
        <v>0.0</v>
      </c>
      <c r="I87" s="20">
        <v>7.0</v>
      </c>
      <c r="J87" s="17" t="s">
        <v>462</v>
      </c>
      <c r="K87" s="17">
        <v>70.0</v>
      </c>
      <c r="L87" s="17" t="s">
        <v>473</v>
      </c>
    </row>
    <row r="88" ht="15.75" customHeight="1">
      <c r="A88" s="12" t="s">
        <v>389</v>
      </c>
      <c r="B88" s="12" t="s">
        <v>476</v>
      </c>
      <c r="C88" s="12" t="s">
        <v>32</v>
      </c>
      <c r="D88" s="12" t="s">
        <v>458</v>
      </c>
      <c r="E88" s="12">
        <v>5.0</v>
      </c>
      <c r="F88" s="12">
        <v>3.0</v>
      </c>
      <c r="G88" s="12">
        <v>0.0</v>
      </c>
      <c r="H88" s="14">
        <v>0.0</v>
      </c>
      <c r="I88" s="15">
        <v>7.33</v>
      </c>
      <c r="J88" s="12" t="s">
        <v>462</v>
      </c>
      <c r="K88" s="12">
        <v>70.0</v>
      </c>
      <c r="L88" s="12" t="s">
        <v>473</v>
      </c>
    </row>
    <row r="89" ht="15.75" customHeight="1">
      <c r="A89" s="17" t="s">
        <v>393</v>
      </c>
      <c r="B89" s="17" t="s">
        <v>457</v>
      </c>
      <c r="C89" s="17" t="s">
        <v>210</v>
      </c>
      <c r="D89" s="17" t="s">
        <v>458</v>
      </c>
      <c r="E89" s="17">
        <v>5.0</v>
      </c>
      <c r="F89" s="17">
        <v>3.0</v>
      </c>
      <c r="G89" s="17">
        <v>0.0</v>
      </c>
      <c r="H89" s="19">
        <v>0.0</v>
      </c>
      <c r="I89" s="20">
        <v>9.0</v>
      </c>
      <c r="J89" s="17" t="s">
        <v>462</v>
      </c>
      <c r="K89" s="17">
        <v>70.0</v>
      </c>
      <c r="L89" s="17" t="s">
        <v>473</v>
      </c>
    </row>
    <row r="90" ht="15.75" customHeight="1">
      <c r="A90" s="12" t="s">
        <v>395</v>
      </c>
      <c r="B90" s="12" t="s">
        <v>457</v>
      </c>
      <c r="C90" s="12" t="s">
        <v>210</v>
      </c>
      <c r="D90" s="12" t="s">
        <v>458</v>
      </c>
      <c r="E90" s="12">
        <v>5.0</v>
      </c>
      <c r="F90" s="12">
        <v>3.0</v>
      </c>
      <c r="G90" s="12">
        <v>0.0</v>
      </c>
      <c r="H90" s="14">
        <v>0.0</v>
      </c>
      <c r="I90" s="15">
        <v>13.33</v>
      </c>
      <c r="J90" s="12" t="s">
        <v>462</v>
      </c>
      <c r="K90" s="12">
        <v>70.0</v>
      </c>
      <c r="L90" s="12" t="s">
        <v>473</v>
      </c>
    </row>
    <row r="91" ht="15.75" customHeight="1">
      <c r="A91" s="17" t="s">
        <v>396</v>
      </c>
      <c r="B91" s="17" t="s">
        <v>476</v>
      </c>
      <c r="C91" s="17" t="s">
        <v>32</v>
      </c>
      <c r="D91" s="17" t="s">
        <v>458</v>
      </c>
      <c r="E91" s="17">
        <v>5.0</v>
      </c>
      <c r="F91" s="17">
        <v>3.0</v>
      </c>
      <c r="G91" s="17">
        <v>0.0</v>
      </c>
      <c r="H91" s="19">
        <v>0.0</v>
      </c>
      <c r="I91" s="20">
        <v>15.67</v>
      </c>
      <c r="J91" s="17" t="s">
        <v>462</v>
      </c>
      <c r="K91" s="17">
        <v>70.0</v>
      </c>
      <c r="L91" s="17" t="s">
        <v>473</v>
      </c>
    </row>
    <row r="92" ht="15.75" customHeight="1">
      <c r="A92" s="12" t="s">
        <v>398</v>
      </c>
      <c r="B92" s="12" t="s">
        <v>457</v>
      </c>
      <c r="C92" s="12" t="s">
        <v>22</v>
      </c>
      <c r="D92" s="12" t="s">
        <v>489</v>
      </c>
      <c r="E92" s="12">
        <v>2.0</v>
      </c>
      <c r="F92" s="12">
        <v>3.0</v>
      </c>
      <c r="G92" s="12">
        <v>0.0</v>
      </c>
      <c r="H92" s="14">
        <v>0.0</v>
      </c>
      <c r="I92" s="15">
        <v>17.0</v>
      </c>
      <c r="J92" s="12" t="s">
        <v>462</v>
      </c>
      <c r="K92" s="12">
        <v>40.0</v>
      </c>
      <c r="L92" s="12" t="s">
        <v>501</v>
      </c>
    </row>
    <row r="93" ht="15.75" customHeight="1">
      <c r="A93" s="17" t="s">
        <v>401</v>
      </c>
      <c r="B93" s="17" t="s">
        <v>457</v>
      </c>
      <c r="C93" s="17" t="s">
        <v>27</v>
      </c>
      <c r="D93" s="17" t="s">
        <v>458</v>
      </c>
      <c r="E93" s="17">
        <v>5.0</v>
      </c>
      <c r="F93" s="17">
        <v>3.0</v>
      </c>
      <c r="G93" s="17">
        <v>0.0</v>
      </c>
      <c r="H93" s="19">
        <v>0.0</v>
      </c>
      <c r="I93" s="20">
        <v>17.67</v>
      </c>
      <c r="J93" s="17" t="s">
        <v>462</v>
      </c>
      <c r="K93" s="17">
        <v>70.0</v>
      </c>
      <c r="L93" s="17" t="s">
        <v>473</v>
      </c>
    </row>
    <row r="94" ht="15.75" customHeight="1">
      <c r="A94" s="12" t="s">
        <v>403</v>
      </c>
      <c r="B94" s="12" t="s">
        <v>476</v>
      </c>
      <c r="C94" s="12" t="s">
        <v>32</v>
      </c>
      <c r="D94" s="12" t="s">
        <v>458</v>
      </c>
      <c r="E94" s="12">
        <v>5.0</v>
      </c>
      <c r="F94" s="12">
        <v>3.0</v>
      </c>
      <c r="G94" s="12">
        <v>0.0</v>
      </c>
      <c r="H94" s="14">
        <v>0.0</v>
      </c>
      <c r="I94" s="15">
        <v>18.33</v>
      </c>
      <c r="J94" s="12" t="s">
        <v>462</v>
      </c>
      <c r="K94" s="12">
        <v>70.0</v>
      </c>
      <c r="L94" s="12" t="s">
        <v>473</v>
      </c>
    </row>
    <row r="95" ht="15.75" customHeight="1">
      <c r="A95" s="17" t="s">
        <v>405</v>
      </c>
      <c r="B95" s="17" t="s">
        <v>457</v>
      </c>
      <c r="C95" s="17" t="s">
        <v>27</v>
      </c>
      <c r="D95" s="17" t="s">
        <v>458</v>
      </c>
      <c r="E95" s="17">
        <v>5.0</v>
      </c>
      <c r="F95" s="17">
        <v>3.0</v>
      </c>
      <c r="G95" s="17">
        <v>0.0</v>
      </c>
      <c r="H95" s="19">
        <v>0.0</v>
      </c>
      <c r="I95" s="20">
        <v>21.67</v>
      </c>
      <c r="J95" s="17" t="s">
        <v>462</v>
      </c>
      <c r="K95" s="17">
        <v>50.0</v>
      </c>
      <c r="L95" s="17" t="s">
        <v>501</v>
      </c>
    </row>
    <row r="96" ht="15.75" customHeight="1">
      <c r="A96" s="12" t="s">
        <v>407</v>
      </c>
      <c r="B96" s="12" t="s">
        <v>76</v>
      </c>
      <c r="C96" s="12" t="s">
        <v>22</v>
      </c>
      <c r="D96" s="12" t="s">
        <v>458</v>
      </c>
      <c r="E96" s="12">
        <v>5.0</v>
      </c>
      <c r="F96" s="12">
        <v>3.0</v>
      </c>
      <c r="G96" s="12">
        <v>0.0</v>
      </c>
      <c r="H96" s="14">
        <v>0.0</v>
      </c>
      <c r="I96" s="15">
        <v>22.33</v>
      </c>
      <c r="J96" s="12" t="s">
        <v>462</v>
      </c>
      <c r="K96" s="12">
        <v>50.0</v>
      </c>
      <c r="L96" s="12" t="s">
        <v>501</v>
      </c>
    </row>
    <row r="97" ht="15.75" customHeight="1">
      <c r="A97" s="17" t="s">
        <v>409</v>
      </c>
      <c r="B97" s="17" t="s">
        <v>457</v>
      </c>
      <c r="C97" s="17" t="s">
        <v>85</v>
      </c>
      <c r="D97" s="17" t="s">
        <v>458</v>
      </c>
      <c r="E97" s="17">
        <v>5.0</v>
      </c>
      <c r="F97" s="17">
        <v>3.0</v>
      </c>
      <c r="G97" s="17">
        <v>0.0</v>
      </c>
      <c r="H97" s="19">
        <v>0.0</v>
      </c>
      <c r="I97" s="20">
        <v>26.67</v>
      </c>
      <c r="J97" s="17" t="s">
        <v>462</v>
      </c>
      <c r="K97" s="17">
        <v>50.0</v>
      </c>
      <c r="L97" s="17" t="s">
        <v>501</v>
      </c>
    </row>
    <row r="98" ht="15.75" customHeight="1">
      <c r="A98" s="12" t="s">
        <v>410</v>
      </c>
      <c r="B98" s="12" t="s">
        <v>476</v>
      </c>
      <c r="C98" s="12" t="s">
        <v>92</v>
      </c>
      <c r="D98" s="12" t="s">
        <v>489</v>
      </c>
      <c r="E98" s="12">
        <v>2.0</v>
      </c>
      <c r="F98" s="12">
        <v>3.0</v>
      </c>
      <c r="G98" s="12">
        <v>0.0</v>
      </c>
      <c r="H98" s="14">
        <v>0.0</v>
      </c>
      <c r="I98" s="15">
        <v>29.0</v>
      </c>
      <c r="J98" s="12" t="s">
        <v>462</v>
      </c>
      <c r="K98" s="12">
        <v>20.0</v>
      </c>
      <c r="L98" s="12" t="s">
        <v>501</v>
      </c>
    </row>
    <row r="99" ht="15.75" customHeight="1">
      <c r="A99" s="17" t="s">
        <v>412</v>
      </c>
      <c r="B99" s="17" t="s">
        <v>413</v>
      </c>
      <c r="C99" s="17" t="s">
        <v>27</v>
      </c>
      <c r="D99" s="17" t="s">
        <v>489</v>
      </c>
      <c r="E99" s="17">
        <v>2.0</v>
      </c>
      <c r="F99" s="17">
        <v>3.0</v>
      </c>
      <c r="G99" s="17">
        <v>0.0</v>
      </c>
      <c r="H99" s="19">
        <v>0.0</v>
      </c>
      <c r="I99" s="20">
        <v>30.67</v>
      </c>
      <c r="J99" s="17" t="s">
        <v>462</v>
      </c>
      <c r="K99" s="17">
        <v>20.0</v>
      </c>
      <c r="L99" s="17" t="s">
        <v>501</v>
      </c>
    </row>
    <row r="100" ht="15.75" customHeight="1">
      <c r="A100" s="12" t="s">
        <v>414</v>
      </c>
      <c r="B100" s="12" t="s">
        <v>457</v>
      </c>
      <c r="C100" s="12" t="s">
        <v>85</v>
      </c>
      <c r="D100" s="12" t="s">
        <v>458</v>
      </c>
      <c r="E100" s="12">
        <v>5.0</v>
      </c>
      <c r="F100" s="12">
        <v>3.0</v>
      </c>
      <c r="G100" s="12">
        <v>0.0</v>
      </c>
      <c r="H100" s="14">
        <v>0.0</v>
      </c>
      <c r="I100" s="15">
        <v>32.67</v>
      </c>
      <c r="J100" s="12" t="s">
        <v>462</v>
      </c>
      <c r="K100" s="12">
        <v>50.0</v>
      </c>
      <c r="L100" s="12" t="s">
        <v>501</v>
      </c>
    </row>
    <row r="101" ht="15.75" customHeight="1">
      <c r="A101" s="17" t="s">
        <v>415</v>
      </c>
      <c r="B101" s="17" t="s">
        <v>457</v>
      </c>
      <c r="C101" s="17" t="s">
        <v>22</v>
      </c>
      <c r="D101" s="17" t="s">
        <v>458</v>
      </c>
      <c r="E101" s="17">
        <v>5.0</v>
      </c>
      <c r="F101" s="17">
        <v>3.0</v>
      </c>
      <c r="G101" s="17">
        <v>0.0</v>
      </c>
      <c r="H101" s="19">
        <v>0.0</v>
      </c>
      <c r="I101" s="20">
        <v>36.33</v>
      </c>
      <c r="J101" s="17" t="s">
        <v>462</v>
      </c>
      <c r="K101" s="17">
        <v>50.0</v>
      </c>
      <c r="L101" s="17" t="s">
        <v>501</v>
      </c>
    </row>
    <row r="102" ht="15.75" customHeight="1">
      <c r="A102" s="12" t="s">
        <v>417</v>
      </c>
      <c r="B102" s="12" t="s">
        <v>457</v>
      </c>
      <c r="C102" s="12" t="s">
        <v>22</v>
      </c>
      <c r="D102" s="12" t="s">
        <v>458</v>
      </c>
      <c r="E102" s="12">
        <v>5.0</v>
      </c>
      <c r="F102" s="12">
        <v>3.0</v>
      </c>
      <c r="G102" s="12">
        <v>0.0</v>
      </c>
      <c r="H102" s="14">
        <v>0.0</v>
      </c>
      <c r="I102" s="15">
        <v>37.0</v>
      </c>
      <c r="J102" s="12" t="s">
        <v>462</v>
      </c>
      <c r="K102" s="12">
        <v>50.0</v>
      </c>
      <c r="L102" s="12" t="s">
        <v>501</v>
      </c>
    </row>
    <row r="103" ht="15.75" customHeight="1">
      <c r="A103" s="17" t="s">
        <v>418</v>
      </c>
      <c r="B103" s="17" t="s">
        <v>419</v>
      </c>
      <c r="C103" s="17" t="s">
        <v>22</v>
      </c>
      <c r="D103" s="17" t="s">
        <v>489</v>
      </c>
      <c r="E103" s="17">
        <v>2.0</v>
      </c>
      <c r="F103" s="17">
        <v>2.0</v>
      </c>
      <c r="G103" s="17">
        <v>0.0</v>
      </c>
      <c r="H103" s="19">
        <v>0.0</v>
      </c>
      <c r="I103" s="20">
        <v>1.0</v>
      </c>
      <c r="J103" s="17" t="s">
        <v>462</v>
      </c>
      <c r="K103" s="17">
        <v>30.0</v>
      </c>
      <c r="L103" s="17" t="s">
        <v>501</v>
      </c>
    </row>
    <row r="104" ht="15.75" customHeight="1">
      <c r="A104" s="12" t="s">
        <v>420</v>
      </c>
      <c r="B104" s="12" t="s">
        <v>76</v>
      </c>
      <c r="C104" s="12" t="s">
        <v>210</v>
      </c>
      <c r="D104" s="12" t="s">
        <v>458</v>
      </c>
      <c r="E104" s="12">
        <v>5.0</v>
      </c>
      <c r="F104" s="12">
        <v>2.0</v>
      </c>
      <c r="G104" s="12">
        <v>0.0</v>
      </c>
      <c r="H104" s="14">
        <v>0.0</v>
      </c>
      <c r="I104" s="15">
        <v>1.0</v>
      </c>
      <c r="J104" s="12" t="s">
        <v>462</v>
      </c>
      <c r="K104" s="12">
        <v>60.0</v>
      </c>
      <c r="L104" s="12" t="s">
        <v>473</v>
      </c>
    </row>
    <row r="105" ht="15.75" customHeight="1">
      <c r="A105" s="17" t="s">
        <v>421</v>
      </c>
      <c r="B105" s="17" t="s">
        <v>76</v>
      </c>
      <c r="C105" s="17" t="s">
        <v>32</v>
      </c>
      <c r="D105" s="17" t="s">
        <v>458</v>
      </c>
      <c r="E105" s="17">
        <v>5.0</v>
      </c>
      <c r="F105" s="17">
        <v>2.0</v>
      </c>
      <c r="G105" s="17">
        <v>0.0</v>
      </c>
      <c r="H105" s="19">
        <v>0.0</v>
      </c>
      <c r="I105" s="20">
        <v>1.5</v>
      </c>
      <c r="J105" s="17" t="s">
        <v>462</v>
      </c>
      <c r="K105" s="17">
        <v>60.0</v>
      </c>
      <c r="L105" s="17" t="s">
        <v>473</v>
      </c>
    </row>
    <row r="106" ht="15.75" customHeight="1">
      <c r="A106" s="12" t="s">
        <v>423</v>
      </c>
      <c r="B106" s="12" t="s">
        <v>457</v>
      </c>
      <c r="C106" s="12" t="s">
        <v>32</v>
      </c>
      <c r="D106" s="12" t="s">
        <v>458</v>
      </c>
      <c r="E106" s="12">
        <v>5.0</v>
      </c>
      <c r="F106" s="12">
        <v>2.0</v>
      </c>
      <c r="G106" s="12">
        <v>0.0</v>
      </c>
      <c r="H106" s="14">
        <v>0.0</v>
      </c>
      <c r="I106" s="15">
        <v>2.0</v>
      </c>
      <c r="J106" s="12" t="s">
        <v>462</v>
      </c>
      <c r="K106" s="12">
        <v>60.0</v>
      </c>
      <c r="L106" s="12" t="s">
        <v>473</v>
      </c>
    </row>
    <row r="107" ht="15.75" customHeight="1">
      <c r="A107" s="17" t="s">
        <v>424</v>
      </c>
      <c r="B107" s="17" t="s">
        <v>457</v>
      </c>
      <c r="C107" s="17" t="s">
        <v>210</v>
      </c>
      <c r="D107" s="17" t="s">
        <v>458</v>
      </c>
      <c r="E107" s="17">
        <v>5.0</v>
      </c>
      <c r="F107" s="17">
        <v>2.0</v>
      </c>
      <c r="G107" s="17">
        <v>0.0</v>
      </c>
      <c r="H107" s="19">
        <v>0.0</v>
      </c>
      <c r="I107" s="20">
        <v>3.5</v>
      </c>
      <c r="J107" s="17" t="s">
        <v>462</v>
      </c>
      <c r="K107" s="17">
        <v>60.0</v>
      </c>
      <c r="L107" s="17" t="s">
        <v>473</v>
      </c>
    </row>
    <row r="108" ht="15.75" customHeight="1">
      <c r="A108" s="12" t="s">
        <v>426</v>
      </c>
      <c r="B108" s="12" t="s">
        <v>457</v>
      </c>
      <c r="C108" s="12" t="s">
        <v>22</v>
      </c>
      <c r="D108" s="12" t="s">
        <v>489</v>
      </c>
      <c r="E108" s="12">
        <v>2.0</v>
      </c>
      <c r="F108" s="12">
        <v>2.0</v>
      </c>
      <c r="G108" s="12">
        <v>0.0</v>
      </c>
      <c r="H108" s="14">
        <v>0.0</v>
      </c>
      <c r="I108" s="15">
        <v>4.0</v>
      </c>
      <c r="J108" s="12" t="s">
        <v>462</v>
      </c>
      <c r="K108" s="12">
        <v>40.0</v>
      </c>
      <c r="L108" s="12" t="s">
        <v>501</v>
      </c>
    </row>
    <row r="109" ht="15.75" customHeight="1">
      <c r="A109" s="17" t="s">
        <v>427</v>
      </c>
      <c r="B109" s="17" t="s">
        <v>457</v>
      </c>
      <c r="C109" s="17" t="s">
        <v>22</v>
      </c>
      <c r="D109" s="17" t="s">
        <v>489</v>
      </c>
      <c r="E109" s="17">
        <v>2.0</v>
      </c>
      <c r="F109" s="17">
        <v>2.0</v>
      </c>
      <c r="G109" s="17">
        <v>0.0</v>
      </c>
      <c r="H109" s="19">
        <v>0.0</v>
      </c>
      <c r="I109" s="20">
        <v>6.0</v>
      </c>
      <c r="J109" s="17" t="s">
        <v>462</v>
      </c>
      <c r="K109" s="17">
        <v>40.0</v>
      </c>
      <c r="L109" s="17" t="s">
        <v>501</v>
      </c>
    </row>
    <row r="110" ht="15.75" customHeight="1">
      <c r="A110" s="12" t="s">
        <v>429</v>
      </c>
      <c r="B110" s="12" t="s">
        <v>457</v>
      </c>
      <c r="C110" s="12" t="s">
        <v>32</v>
      </c>
      <c r="D110" s="12" t="s">
        <v>458</v>
      </c>
      <c r="E110" s="12">
        <v>5.0</v>
      </c>
      <c r="F110" s="12">
        <v>2.0</v>
      </c>
      <c r="G110" s="12">
        <v>0.0</v>
      </c>
      <c r="H110" s="14">
        <v>0.0</v>
      </c>
      <c r="I110" s="15">
        <v>6.0</v>
      </c>
      <c r="J110" s="12" t="s">
        <v>462</v>
      </c>
      <c r="K110" s="12">
        <v>70.0</v>
      </c>
      <c r="L110" s="12" t="s">
        <v>473</v>
      </c>
    </row>
    <row r="111" ht="15.75" customHeight="1">
      <c r="A111" s="17" t="s">
        <v>430</v>
      </c>
      <c r="B111" s="17" t="s">
        <v>457</v>
      </c>
      <c r="C111" s="17" t="s">
        <v>32</v>
      </c>
      <c r="D111" s="17" t="s">
        <v>458</v>
      </c>
      <c r="E111" s="17">
        <v>5.0</v>
      </c>
      <c r="F111" s="17">
        <v>2.0</v>
      </c>
      <c r="G111" s="17">
        <v>0.0</v>
      </c>
      <c r="H111" s="19">
        <v>0.0</v>
      </c>
      <c r="I111" s="20">
        <v>7.0</v>
      </c>
      <c r="J111" s="17" t="s">
        <v>462</v>
      </c>
      <c r="K111" s="17">
        <v>70.0</v>
      </c>
      <c r="L111" s="17" t="s">
        <v>473</v>
      </c>
    </row>
    <row r="112" ht="15.75" customHeight="1">
      <c r="A112" s="12" t="s">
        <v>432</v>
      </c>
      <c r="B112" s="12" t="s">
        <v>457</v>
      </c>
      <c r="C112" s="12" t="s">
        <v>22</v>
      </c>
      <c r="D112" s="12" t="s">
        <v>458</v>
      </c>
      <c r="E112" s="12">
        <v>5.0</v>
      </c>
      <c r="F112" s="12">
        <v>2.0</v>
      </c>
      <c r="G112" s="12">
        <v>0.0</v>
      </c>
      <c r="H112" s="14">
        <v>0.0</v>
      </c>
      <c r="I112" s="15">
        <v>7.5</v>
      </c>
      <c r="J112" s="12" t="s">
        <v>462</v>
      </c>
      <c r="K112" s="12">
        <v>70.0</v>
      </c>
      <c r="L112" s="12" t="s">
        <v>473</v>
      </c>
    </row>
    <row r="113" ht="15.75" customHeight="1">
      <c r="A113" s="66" t="s">
        <v>433</v>
      </c>
      <c r="B113" s="17" t="s">
        <v>457</v>
      </c>
      <c r="C113" s="17" t="s">
        <v>92</v>
      </c>
      <c r="D113" s="17" t="s">
        <v>489</v>
      </c>
      <c r="E113" s="17">
        <v>2.0</v>
      </c>
      <c r="F113" s="17">
        <v>2.0</v>
      </c>
      <c r="G113" s="17">
        <v>0.0</v>
      </c>
      <c r="H113" s="19">
        <v>0.0</v>
      </c>
      <c r="I113" s="20">
        <v>7.5</v>
      </c>
      <c r="J113" s="17" t="s">
        <v>462</v>
      </c>
      <c r="K113" s="17">
        <v>40.0</v>
      </c>
      <c r="L113" s="17" t="s">
        <v>501</v>
      </c>
    </row>
    <row r="114" ht="15.75" customHeight="1">
      <c r="A114" s="12" t="s">
        <v>435</v>
      </c>
      <c r="B114" s="12" t="s">
        <v>457</v>
      </c>
      <c r="C114" s="12" t="s">
        <v>27</v>
      </c>
      <c r="D114" s="12" t="s">
        <v>458</v>
      </c>
      <c r="E114" s="12">
        <v>5.0</v>
      </c>
      <c r="F114" s="12">
        <v>2.0</v>
      </c>
      <c r="G114" s="12">
        <v>0.0</v>
      </c>
      <c r="H114" s="14">
        <v>0.0</v>
      </c>
      <c r="I114" s="15">
        <v>8.0</v>
      </c>
      <c r="J114" s="12" t="s">
        <v>462</v>
      </c>
      <c r="K114" s="12">
        <v>70.0</v>
      </c>
      <c r="L114" s="12" t="s">
        <v>473</v>
      </c>
    </row>
    <row r="115" ht="15.75" customHeight="1">
      <c r="A115" s="17" t="s">
        <v>436</v>
      </c>
      <c r="B115" s="17" t="s">
        <v>457</v>
      </c>
      <c r="C115" s="17" t="s">
        <v>92</v>
      </c>
      <c r="D115" s="17" t="s">
        <v>489</v>
      </c>
      <c r="E115" s="17">
        <v>2.0</v>
      </c>
      <c r="F115" s="17">
        <v>2.0</v>
      </c>
      <c r="G115" s="17">
        <v>0.0</v>
      </c>
      <c r="H115" s="19">
        <v>0.0</v>
      </c>
      <c r="I115" s="20">
        <v>8.5</v>
      </c>
      <c r="J115" s="17" t="s">
        <v>462</v>
      </c>
      <c r="K115" s="17">
        <v>40.0</v>
      </c>
      <c r="L115" s="17" t="s">
        <v>501</v>
      </c>
    </row>
    <row r="116" ht="15.75" customHeight="1">
      <c r="A116" s="12" t="s">
        <v>437</v>
      </c>
      <c r="B116" s="12" t="s">
        <v>457</v>
      </c>
      <c r="C116" s="12" t="s">
        <v>210</v>
      </c>
      <c r="D116" s="12" t="s">
        <v>489</v>
      </c>
      <c r="E116" s="12">
        <v>2.0</v>
      </c>
      <c r="F116" s="12">
        <v>2.0</v>
      </c>
      <c r="G116" s="12">
        <v>0.0</v>
      </c>
      <c r="H116" s="14">
        <v>0.0</v>
      </c>
      <c r="I116" s="15">
        <v>9.5</v>
      </c>
      <c r="J116" s="12" t="s">
        <v>462</v>
      </c>
      <c r="K116" s="12">
        <v>40.0</v>
      </c>
      <c r="L116" s="12" t="s">
        <v>501</v>
      </c>
    </row>
    <row r="117" ht="15.75" customHeight="1">
      <c r="A117" s="17" t="s">
        <v>439</v>
      </c>
      <c r="B117" s="17" t="s">
        <v>457</v>
      </c>
      <c r="C117" s="17" t="s">
        <v>92</v>
      </c>
      <c r="D117" s="17" t="s">
        <v>489</v>
      </c>
      <c r="E117" s="17">
        <v>5.0</v>
      </c>
      <c r="F117" s="17">
        <v>2.0</v>
      </c>
      <c r="G117" s="17">
        <v>0.0</v>
      </c>
      <c r="H117" s="19">
        <v>0.0</v>
      </c>
      <c r="I117" s="20">
        <v>10.0</v>
      </c>
      <c r="J117" s="17" t="s">
        <v>462</v>
      </c>
      <c r="K117" s="17">
        <v>70.0</v>
      </c>
      <c r="L117" s="17" t="s">
        <v>473</v>
      </c>
    </row>
    <row r="118" ht="15.75" customHeight="1">
      <c r="A118" s="12" t="s">
        <v>440</v>
      </c>
      <c r="B118" s="12" t="s">
        <v>457</v>
      </c>
      <c r="C118" s="12" t="s">
        <v>32</v>
      </c>
      <c r="D118" s="12" t="s">
        <v>458</v>
      </c>
      <c r="E118" s="12">
        <v>5.0</v>
      </c>
      <c r="F118" s="12">
        <v>2.0</v>
      </c>
      <c r="G118" s="12">
        <v>0.0</v>
      </c>
      <c r="H118" s="14">
        <v>0.0</v>
      </c>
      <c r="I118" s="15">
        <v>10.0</v>
      </c>
      <c r="J118" s="12" t="s">
        <v>462</v>
      </c>
      <c r="K118" s="12">
        <v>70.0</v>
      </c>
      <c r="L118" s="12" t="s">
        <v>473</v>
      </c>
    </row>
    <row r="119" ht="15.75" customHeight="1">
      <c r="A119" s="17" t="s">
        <v>443</v>
      </c>
      <c r="B119" s="17" t="s">
        <v>413</v>
      </c>
      <c r="C119" s="17" t="s">
        <v>210</v>
      </c>
      <c r="D119" s="17" t="s">
        <v>458</v>
      </c>
      <c r="E119" s="17">
        <v>5.0</v>
      </c>
      <c r="F119" s="17">
        <v>2.0</v>
      </c>
      <c r="G119" s="17">
        <v>0.0</v>
      </c>
      <c r="H119" s="19">
        <v>0.0</v>
      </c>
      <c r="I119" s="20">
        <v>10.0</v>
      </c>
      <c r="J119" s="17" t="s">
        <v>462</v>
      </c>
      <c r="K119" s="17">
        <v>70.0</v>
      </c>
      <c r="L119" s="17" t="s">
        <v>473</v>
      </c>
    </row>
    <row r="120" ht="15.75" customHeight="1">
      <c r="A120" s="12" t="s">
        <v>446</v>
      </c>
      <c r="B120" s="12" t="s">
        <v>457</v>
      </c>
      <c r="C120" s="12" t="s">
        <v>22</v>
      </c>
      <c r="D120" s="12" t="s">
        <v>489</v>
      </c>
      <c r="E120" s="12">
        <v>2.0</v>
      </c>
      <c r="F120" s="12">
        <v>2.0</v>
      </c>
      <c r="G120" s="12">
        <v>0.0</v>
      </c>
      <c r="H120" s="14">
        <v>0.0</v>
      </c>
      <c r="I120" s="15">
        <v>10.0</v>
      </c>
      <c r="J120" s="12" t="s">
        <v>462</v>
      </c>
      <c r="K120" s="12">
        <v>40.0</v>
      </c>
      <c r="L120" s="12" t="s">
        <v>501</v>
      </c>
    </row>
    <row r="121" ht="15.75" customHeight="1">
      <c r="A121" s="17" t="s">
        <v>448</v>
      </c>
      <c r="B121" s="17" t="s">
        <v>457</v>
      </c>
      <c r="C121" s="17" t="s">
        <v>34</v>
      </c>
      <c r="D121" s="17" t="s">
        <v>458</v>
      </c>
      <c r="E121" s="17">
        <v>5.0</v>
      </c>
      <c r="F121" s="17">
        <v>2.0</v>
      </c>
      <c r="G121" s="17">
        <v>0.0</v>
      </c>
      <c r="H121" s="19">
        <v>0.0</v>
      </c>
      <c r="I121" s="20">
        <v>11.0</v>
      </c>
      <c r="J121" s="17" t="s">
        <v>462</v>
      </c>
      <c r="K121" s="17">
        <v>70.0</v>
      </c>
      <c r="L121" s="17" t="s">
        <v>473</v>
      </c>
    </row>
    <row r="122" ht="15.75" customHeight="1">
      <c r="A122" s="12" t="s">
        <v>451</v>
      </c>
      <c r="B122" s="12" t="s">
        <v>457</v>
      </c>
      <c r="C122" s="12" t="s">
        <v>210</v>
      </c>
      <c r="D122" s="12" t="s">
        <v>489</v>
      </c>
      <c r="E122" s="12">
        <v>2.0</v>
      </c>
      <c r="F122" s="12">
        <v>2.0</v>
      </c>
      <c r="G122" s="12">
        <v>0.0</v>
      </c>
      <c r="H122" s="14">
        <v>0.0</v>
      </c>
      <c r="I122" s="15">
        <v>12.0</v>
      </c>
      <c r="J122" s="12" t="s">
        <v>462</v>
      </c>
      <c r="K122" s="12">
        <v>40.0</v>
      </c>
      <c r="L122" s="12" t="s">
        <v>501</v>
      </c>
    </row>
    <row r="123" ht="15.75" customHeight="1">
      <c r="A123" s="17" t="s">
        <v>456</v>
      </c>
      <c r="B123" s="17" t="s">
        <v>476</v>
      </c>
      <c r="C123" s="17" t="s">
        <v>324</v>
      </c>
      <c r="D123" s="17" t="s">
        <v>458</v>
      </c>
      <c r="E123" s="17">
        <v>5.0</v>
      </c>
      <c r="F123" s="17">
        <v>2.0</v>
      </c>
      <c r="G123" s="17">
        <v>0.0</v>
      </c>
      <c r="H123" s="19">
        <v>0.0</v>
      </c>
      <c r="I123" s="20">
        <v>12.5</v>
      </c>
      <c r="J123" s="17" t="s">
        <v>462</v>
      </c>
      <c r="K123" s="17">
        <v>70.0</v>
      </c>
      <c r="L123" s="17" t="s">
        <v>473</v>
      </c>
    </row>
    <row r="124" ht="15.75" customHeight="1">
      <c r="A124" s="12" t="s">
        <v>459</v>
      </c>
      <c r="B124" s="12" t="s">
        <v>457</v>
      </c>
      <c r="C124" s="12" t="s">
        <v>210</v>
      </c>
      <c r="D124" s="12" t="s">
        <v>458</v>
      </c>
      <c r="E124" s="12">
        <v>5.0</v>
      </c>
      <c r="F124" s="12">
        <v>2.0</v>
      </c>
      <c r="G124" s="12">
        <v>0.0</v>
      </c>
      <c r="H124" s="14">
        <v>0.0</v>
      </c>
      <c r="I124" s="15">
        <v>13.0</v>
      </c>
      <c r="J124" s="12" t="s">
        <v>462</v>
      </c>
      <c r="K124" s="12">
        <v>70.0</v>
      </c>
      <c r="L124" s="12" t="s">
        <v>473</v>
      </c>
    </row>
    <row r="125" ht="15.75" customHeight="1">
      <c r="A125" s="17" t="s">
        <v>461</v>
      </c>
      <c r="B125" s="17" t="s">
        <v>457</v>
      </c>
      <c r="C125" s="17" t="s">
        <v>27</v>
      </c>
      <c r="D125" s="17" t="s">
        <v>489</v>
      </c>
      <c r="E125" s="17">
        <v>5.0</v>
      </c>
      <c r="F125" s="17">
        <v>2.0</v>
      </c>
      <c r="G125" s="17">
        <v>0.0</v>
      </c>
      <c r="H125" s="19">
        <v>0.0</v>
      </c>
      <c r="I125" s="20">
        <v>13.5</v>
      </c>
      <c r="J125" s="17" t="s">
        <v>462</v>
      </c>
      <c r="K125" s="17">
        <v>70.0</v>
      </c>
      <c r="L125" s="17" t="s">
        <v>473</v>
      </c>
    </row>
    <row r="126" ht="15.75" customHeight="1">
      <c r="A126" s="12" t="s">
        <v>465</v>
      </c>
      <c r="B126" s="12" t="s">
        <v>476</v>
      </c>
      <c r="C126" s="12" t="s">
        <v>324</v>
      </c>
      <c r="D126" s="12" t="s">
        <v>458</v>
      </c>
      <c r="E126" s="12">
        <v>5.0</v>
      </c>
      <c r="F126" s="12">
        <v>2.0</v>
      </c>
      <c r="G126" s="12">
        <v>0.0</v>
      </c>
      <c r="H126" s="14">
        <v>0.0</v>
      </c>
      <c r="I126" s="15">
        <v>14.5</v>
      </c>
      <c r="J126" s="12" t="s">
        <v>462</v>
      </c>
      <c r="K126" s="12">
        <v>70.0</v>
      </c>
      <c r="L126" s="12" t="s">
        <v>473</v>
      </c>
    </row>
    <row r="127" ht="15.75" customHeight="1">
      <c r="A127" s="17" t="s">
        <v>466</v>
      </c>
      <c r="B127" s="17" t="s">
        <v>457</v>
      </c>
      <c r="C127" s="17" t="s">
        <v>22</v>
      </c>
      <c r="D127" s="17" t="s">
        <v>458</v>
      </c>
      <c r="E127" s="17">
        <v>5.0</v>
      </c>
      <c r="F127" s="17">
        <v>2.0</v>
      </c>
      <c r="G127" s="17">
        <v>0.0</v>
      </c>
      <c r="H127" s="19">
        <v>0.0</v>
      </c>
      <c r="I127" s="20">
        <v>16.5</v>
      </c>
      <c r="J127" s="17" t="s">
        <v>462</v>
      </c>
      <c r="K127" s="17">
        <v>70.0</v>
      </c>
      <c r="L127" s="17" t="s">
        <v>473</v>
      </c>
    </row>
    <row r="128" ht="15.75" customHeight="1">
      <c r="A128" s="12" t="s">
        <v>468</v>
      </c>
      <c r="B128" s="12" t="s">
        <v>413</v>
      </c>
      <c r="C128" s="12" t="s">
        <v>210</v>
      </c>
      <c r="D128" s="12" t="s">
        <v>489</v>
      </c>
      <c r="E128" s="12">
        <v>2.0</v>
      </c>
      <c r="F128" s="12">
        <v>2.0</v>
      </c>
      <c r="G128" s="12">
        <v>0.0</v>
      </c>
      <c r="H128" s="14">
        <v>0.0</v>
      </c>
      <c r="I128" s="15">
        <v>19.0</v>
      </c>
      <c r="J128" s="12" t="s">
        <v>462</v>
      </c>
      <c r="K128" s="12">
        <v>40.0</v>
      </c>
      <c r="L128" s="12" t="s">
        <v>501</v>
      </c>
    </row>
    <row r="129" ht="15.75" customHeight="1">
      <c r="A129" s="17" t="s">
        <v>469</v>
      </c>
      <c r="B129" s="17" t="s">
        <v>457</v>
      </c>
      <c r="C129" s="17" t="s">
        <v>27</v>
      </c>
      <c r="D129" s="17" t="s">
        <v>458</v>
      </c>
      <c r="E129" s="17">
        <v>5.0</v>
      </c>
      <c r="F129" s="17">
        <v>2.0</v>
      </c>
      <c r="G129" s="17">
        <v>0.0</v>
      </c>
      <c r="H129" s="19">
        <v>0.0</v>
      </c>
      <c r="I129" s="20">
        <v>20.0</v>
      </c>
      <c r="J129" s="17" t="s">
        <v>462</v>
      </c>
      <c r="K129" s="17">
        <v>70.0</v>
      </c>
      <c r="L129" s="17" t="s">
        <v>473</v>
      </c>
    </row>
    <row r="130" ht="15.75" customHeight="1">
      <c r="A130" s="12" t="s">
        <v>471</v>
      </c>
      <c r="B130" s="12" t="s">
        <v>457</v>
      </c>
      <c r="C130" s="12" t="s">
        <v>32</v>
      </c>
      <c r="D130" s="12" t="s">
        <v>458</v>
      </c>
      <c r="E130" s="12">
        <v>5.0</v>
      </c>
      <c r="F130" s="12">
        <v>2.0</v>
      </c>
      <c r="G130" s="12">
        <v>0.0</v>
      </c>
      <c r="H130" s="14">
        <v>0.0</v>
      </c>
      <c r="I130" s="15">
        <v>20.5</v>
      </c>
      <c r="J130" s="12" t="s">
        <v>462</v>
      </c>
      <c r="K130" s="12">
        <v>50.0</v>
      </c>
      <c r="L130" s="12" t="s">
        <v>501</v>
      </c>
    </row>
    <row r="131" ht="15.75" customHeight="1">
      <c r="A131" s="17" t="s">
        <v>474</v>
      </c>
      <c r="B131" s="17" t="s">
        <v>457</v>
      </c>
      <c r="C131" s="17" t="s">
        <v>27</v>
      </c>
      <c r="D131" s="17" t="s">
        <v>458</v>
      </c>
      <c r="E131" s="17">
        <v>5.0</v>
      </c>
      <c r="F131" s="17">
        <v>2.0</v>
      </c>
      <c r="G131" s="17">
        <v>0.0</v>
      </c>
      <c r="H131" s="19">
        <v>0.0</v>
      </c>
      <c r="I131" s="20">
        <v>23.5</v>
      </c>
      <c r="J131" s="17" t="s">
        <v>462</v>
      </c>
      <c r="K131" s="17">
        <v>50.0</v>
      </c>
      <c r="L131" s="17" t="s">
        <v>501</v>
      </c>
    </row>
    <row r="132" ht="15.75" customHeight="1">
      <c r="A132" s="12" t="s">
        <v>478</v>
      </c>
      <c r="B132" s="12" t="s">
        <v>132</v>
      </c>
      <c r="C132" s="12" t="s">
        <v>210</v>
      </c>
      <c r="D132" s="12" t="s">
        <v>458</v>
      </c>
      <c r="E132" s="12">
        <v>5.0</v>
      </c>
      <c r="F132" s="12">
        <v>2.0</v>
      </c>
      <c r="G132" s="12">
        <v>0.0</v>
      </c>
      <c r="H132" s="14">
        <v>0.0</v>
      </c>
      <c r="I132" s="15">
        <v>24.5</v>
      </c>
      <c r="J132" s="12" t="s">
        <v>462</v>
      </c>
      <c r="K132" s="12">
        <v>50.0</v>
      </c>
      <c r="L132" s="12" t="s">
        <v>501</v>
      </c>
    </row>
    <row r="133" ht="15.75" customHeight="1">
      <c r="A133" s="17" t="s">
        <v>479</v>
      </c>
      <c r="B133" s="17" t="s">
        <v>457</v>
      </c>
      <c r="C133" s="17" t="s">
        <v>85</v>
      </c>
      <c r="D133" s="17" t="s">
        <v>458</v>
      </c>
      <c r="E133" s="17">
        <v>5.0</v>
      </c>
      <c r="F133" s="17">
        <v>2.0</v>
      </c>
      <c r="G133" s="17">
        <v>0.0</v>
      </c>
      <c r="H133" s="19">
        <v>0.0</v>
      </c>
      <c r="I133" s="20">
        <v>24.5</v>
      </c>
      <c r="J133" s="17" t="s">
        <v>462</v>
      </c>
      <c r="K133" s="17">
        <v>50.0</v>
      </c>
      <c r="L133" s="17" t="s">
        <v>501</v>
      </c>
    </row>
    <row r="134" ht="15.75" customHeight="1">
      <c r="A134" s="12" t="s">
        <v>481</v>
      </c>
      <c r="B134" s="12" t="s">
        <v>457</v>
      </c>
      <c r="C134" s="12" t="s">
        <v>324</v>
      </c>
      <c r="D134" s="12" t="s">
        <v>458</v>
      </c>
      <c r="E134" s="12">
        <v>5.0</v>
      </c>
      <c r="F134" s="12">
        <v>2.0</v>
      </c>
      <c r="G134" s="12">
        <v>0.0</v>
      </c>
      <c r="H134" s="14">
        <v>0.0</v>
      </c>
      <c r="I134" s="15">
        <v>29.5</v>
      </c>
      <c r="J134" s="12" t="s">
        <v>462</v>
      </c>
      <c r="K134" s="12">
        <v>50.0</v>
      </c>
      <c r="L134" s="12" t="s">
        <v>501</v>
      </c>
    </row>
    <row r="135" ht="15.75" customHeight="1">
      <c r="A135" s="17" t="s">
        <v>485</v>
      </c>
      <c r="B135" s="17" t="s">
        <v>457</v>
      </c>
      <c r="C135" s="17" t="s">
        <v>85</v>
      </c>
      <c r="D135" s="17" t="s">
        <v>458</v>
      </c>
      <c r="E135" s="17">
        <v>5.0</v>
      </c>
      <c r="F135" s="17">
        <v>2.0</v>
      </c>
      <c r="G135" s="17">
        <v>0.0</v>
      </c>
      <c r="H135" s="19">
        <v>0.0</v>
      </c>
      <c r="I135" s="20">
        <v>33.0</v>
      </c>
      <c r="J135" s="17" t="s">
        <v>462</v>
      </c>
      <c r="K135" s="17">
        <v>50.0</v>
      </c>
      <c r="L135" s="17" t="s">
        <v>501</v>
      </c>
    </row>
    <row r="136" ht="15.75" customHeight="1">
      <c r="A136" s="12" t="s">
        <v>486</v>
      </c>
      <c r="B136" s="12" t="s">
        <v>457</v>
      </c>
      <c r="C136" s="12" t="s">
        <v>22</v>
      </c>
      <c r="D136" s="12" t="s">
        <v>458</v>
      </c>
      <c r="E136" s="12">
        <v>5.0</v>
      </c>
      <c r="F136" s="12">
        <v>2.0</v>
      </c>
      <c r="G136" s="12">
        <v>0.0</v>
      </c>
      <c r="H136" s="14">
        <v>0.0</v>
      </c>
      <c r="I136" s="15">
        <v>34.0</v>
      </c>
      <c r="J136" s="12" t="s">
        <v>462</v>
      </c>
      <c r="K136" s="12">
        <v>50.0</v>
      </c>
      <c r="L136" s="12" t="s">
        <v>501</v>
      </c>
    </row>
    <row r="137" ht="15.75" customHeight="1">
      <c r="A137" s="17" t="s">
        <v>487</v>
      </c>
      <c r="B137" s="17" t="s">
        <v>457</v>
      </c>
      <c r="C137" s="17" t="s">
        <v>85</v>
      </c>
      <c r="D137" s="17" t="s">
        <v>458</v>
      </c>
      <c r="E137" s="17">
        <v>5.0</v>
      </c>
      <c r="F137" s="17">
        <v>2.0</v>
      </c>
      <c r="G137" s="17">
        <v>0.0</v>
      </c>
      <c r="H137" s="19">
        <v>0.0</v>
      </c>
      <c r="I137" s="20">
        <v>35.0</v>
      </c>
      <c r="J137" s="17" t="s">
        <v>462</v>
      </c>
      <c r="K137" s="17">
        <v>50.0</v>
      </c>
      <c r="L137" s="17" t="s">
        <v>501</v>
      </c>
    </row>
    <row r="138" ht="15.75" customHeight="1">
      <c r="A138" s="12" t="s">
        <v>490</v>
      </c>
      <c r="B138" s="12" t="s">
        <v>457</v>
      </c>
      <c r="C138" s="12" t="s">
        <v>85</v>
      </c>
      <c r="D138" s="12" t="s">
        <v>458</v>
      </c>
      <c r="E138" s="12">
        <v>5.0</v>
      </c>
      <c r="F138" s="12">
        <v>2.0</v>
      </c>
      <c r="G138" s="12">
        <v>0.0</v>
      </c>
      <c r="H138" s="14">
        <v>0.0</v>
      </c>
      <c r="I138" s="15">
        <v>35.5</v>
      </c>
      <c r="J138" s="12" t="s">
        <v>462</v>
      </c>
      <c r="K138" s="12">
        <v>50.0</v>
      </c>
      <c r="L138" s="12" t="s">
        <v>501</v>
      </c>
    </row>
    <row r="139" ht="15.75" customHeight="1">
      <c r="A139" s="17" t="s">
        <v>493</v>
      </c>
      <c r="B139" s="17" t="s">
        <v>476</v>
      </c>
      <c r="C139" s="17" t="s">
        <v>32</v>
      </c>
      <c r="D139" s="17" t="s">
        <v>458</v>
      </c>
      <c r="E139" s="17">
        <v>5.0</v>
      </c>
      <c r="F139" s="17">
        <v>2.0</v>
      </c>
      <c r="G139" s="17">
        <v>0.0</v>
      </c>
      <c r="H139" s="19">
        <v>0.0</v>
      </c>
      <c r="I139" s="20">
        <v>36.5</v>
      </c>
      <c r="J139" s="17" t="s">
        <v>462</v>
      </c>
      <c r="K139" s="17">
        <v>50.0</v>
      </c>
      <c r="L139" s="17" t="s">
        <v>501</v>
      </c>
    </row>
    <row r="140" ht="15.75" customHeight="1">
      <c r="A140" s="12" t="s">
        <v>495</v>
      </c>
      <c r="B140" s="12" t="s">
        <v>413</v>
      </c>
      <c r="C140" s="12" t="s">
        <v>32</v>
      </c>
      <c r="D140" s="12" t="s">
        <v>458</v>
      </c>
      <c r="E140" s="12">
        <v>5.0</v>
      </c>
      <c r="F140" s="12">
        <v>2.0</v>
      </c>
      <c r="G140" s="12">
        <v>0.0</v>
      </c>
      <c r="H140" s="14">
        <v>0.0</v>
      </c>
      <c r="I140" s="15">
        <v>39.5</v>
      </c>
      <c r="J140" s="12" t="s">
        <v>462</v>
      </c>
      <c r="K140" s="12">
        <v>50.0</v>
      </c>
      <c r="L140" s="12" t="s">
        <v>501</v>
      </c>
    </row>
    <row r="141" ht="15.75" customHeight="1">
      <c r="A141" s="17" t="s">
        <v>496</v>
      </c>
      <c r="B141" s="17" t="s">
        <v>476</v>
      </c>
      <c r="C141" s="17" t="s">
        <v>32</v>
      </c>
      <c r="D141" s="17" t="s">
        <v>458</v>
      </c>
      <c r="E141" s="17">
        <v>5.0</v>
      </c>
      <c r="F141" s="17">
        <v>2.0</v>
      </c>
      <c r="G141" s="17">
        <v>0.0</v>
      </c>
      <c r="H141" s="19">
        <v>0.0</v>
      </c>
      <c r="I141" s="20">
        <v>40.0</v>
      </c>
      <c r="J141" s="17" t="s">
        <v>462</v>
      </c>
      <c r="K141" s="17">
        <v>50.0</v>
      </c>
      <c r="L141" s="17" t="s">
        <v>501</v>
      </c>
    </row>
    <row r="142" ht="15.75" customHeight="1">
      <c r="A142" s="12" t="s">
        <v>497</v>
      </c>
      <c r="B142" s="12" t="s">
        <v>76</v>
      </c>
      <c r="C142" s="12" t="s">
        <v>22</v>
      </c>
      <c r="D142" s="12" t="s">
        <v>458</v>
      </c>
      <c r="E142" s="12">
        <v>5.0</v>
      </c>
      <c r="F142" s="12">
        <v>2.0</v>
      </c>
      <c r="G142" s="12">
        <v>0.0</v>
      </c>
      <c r="H142" s="14">
        <v>0.0</v>
      </c>
      <c r="I142" s="15">
        <v>49.0</v>
      </c>
      <c r="J142" s="12" t="s">
        <v>462</v>
      </c>
      <c r="K142" s="12">
        <v>50.0</v>
      </c>
      <c r="L142" s="12" t="s">
        <v>501</v>
      </c>
    </row>
    <row r="143" ht="15.75" customHeight="1">
      <c r="A143" s="17" t="s">
        <v>500</v>
      </c>
      <c r="B143" s="17" t="s">
        <v>76</v>
      </c>
      <c r="C143" s="17" t="s">
        <v>32</v>
      </c>
      <c r="D143" s="17" t="s">
        <v>458</v>
      </c>
      <c r="E143" s="17">
        <v>5.0</v>
      </c>
      <c r="F143" s="17">
        <v>2.0</v>
      </c>
      <c r="G143" s="17">
        <v>0.0</v>
      </c>
      <c r="H143" s="19">
        <v>0.0</v>
      </c>
      <c r="I143" s="20">
        <v>65.0</v>
      </c>
      <c r="J143" s="17" t="s">
        <v>462</v>
      </c>
      <c r="K143" s="17">
        <v>50.0</v>
      </c>
      <c r="L143" s="17" t="s">
        <v>501</v>
      </c>
    </row>
    <row r="144" ht="15.75" customHeight="1">
      <c r="A144" s="12" t="s">
        <v>502</v>
      </c>
      <c r="B144" s="12" t="s">
        <v>457</v>
      </c>
      <c r="C144" s="12" t="s">
        <v>32</v>
      </c>
      <c r="D144" s="12" t="s">
        <v>458</v>
      </c>
      <c r="E144" s="12">
        <v>5.0</v>
      </c>
      <c r="F144" s="12">
        <v>2.0</v>
      </c>
      <c r="G144" s="12">
        <v>0.0</v>
      </c>
      <c r="H144" s="14">
        <v>0.0</v>
      </c>
      <c r="I144" s="15">
        <v>85.0</v>
      </c>
      <c r="J144" s="12" t="s">
        <v>462</v>
      </c>
      <c r="K144" s="12">
        <v>50.0</v>
      </c>
      <c r="L144" s="12" t="s">
        <v>501</v>
      </c>
    </row>
    <row r="145" ht="15.75" customHeight="1">
      <c r="A145" s="17" t="s">
        <v>503</v>
      </c>
      <c r="B145" s="17" t="s">
        <v>457</v>
      </c>
      <c r="C145" s="17" t="s">
        <v>150</v>
      </c>
      <c r="D145" s="17" t="s">
        <v>489</v>
      </c>
      <c r="E145" s="17">
        <v>2.0</v>
      </c>
      <c r="F145" s="17">
        <v>2.0</v>
      </c>
      <c r="G145" s="17">
        <v>0.0</v>
      </c>
      <c r="H145" s="19">
        <v>0.0</v>
      </c>
      <c r="I145" s="20">
        <v>92.0</v>
      </c>
      <c r="J145" s="17" t="s">
        <v>462</v>
      </c>
      <c r="K145" s="17">
        <v>20.0</v>
      </c>
      <c r="L145" s="17" t="s">
        <v>501</v>
      </c>
    </row>
    <row r="146" ht="15.75" customHeight="1">
      <c r="A146" s="12" t="s">
        <v>506</v>
      </c>
      <c r="B146" s="12" t="s">
        <v>457</v>
      </c>
      <c r="C146" s="12" t="s">
        <v>92</v>
      </c>
      <c r="D146" s="12" t="s">
        <v>489</v>
      </c>
      <c r="E146" s="12">
        <v>2.0</v>
      </c>
      <c r="F146" s="12">
        <v>1.0</v>
      </c>
      <c r="G146" s="12">
        <v>0.0</v>
      </c>
      <c r="H146" s="14">
        <v>0.0</v>
      </c>
      <c r="I146" s="15">
        <v>1.0</v>
      </c>
      <c r="J146" s="12" t="s">
        <v>462</v>
      </c>
      <c r="K146" s="12">
        <v>30.0</v>
      </c>
      <c r="L146" s="12" t="s">
        <v>501</v>
      </c>
    </row>
    <row r="147" ht="15.75" customHeight="1">
      <c r="A147" s="17" t="s">
        <v>509</v>
      </c>
      <c r="B147" s="17" t="s">
        <v>76</v>
      </c>
      <c r="C147" s="17" t="s">
        <v>22</v>
      </c>
      <c r="D147" s="17" t="s">
        <v>489</v>
      </c>
      <c r="E147" s="17">
        <v>2.0</v>
      </c>
      <c r="F147" s="17">
        <v>1.0</v>
      </c>
      <c r="G147" s="17">
        <v>0.0</v>
      </c>
      <c r="H147" s="19">
        <v>0.0</v>
      </c>
      <c r="I147" s="20">
        <v>1.0</v>
      </c>
      <c r="J147" s="17" t="s">
        <v>462</v>
      </c>
      <c r="K147" s="17">
        <v>30.0</v>
      </c>
      <c r="L147" s="17" t="s">
        <v>501</v>
      </c>
    </row>
    <row r="148" ht="15.75" customHeight="1">
      <c r="A148" s="12" t="s">
        <v>515</v>
      </c>
      <c r="B148" s="12" t="s">
        <v>457</v>
      </c>
      <c r="C148" s="12" t="s">
        <v>32</v>
      </c>
      <c r="D148" s="12" t="s">
        <v>458</v>
      </c>
      <c r="E148" s="12">
        <v>5.0</v>
      </c>
      <c r="F148" s="12">
        <v>1.0</v>
      </c>
      <c r="G148" s="12">
        <v>0.0</v>
      </c>
      <c r="H148" s="14">
        <v>0.0</v>
      </c>
      <c r="I148" s="15">
        <v>1.0</v>
      </c>
      <c r="J148" s="12" t="s">
        <v>462</v>
      </c>
      <c r="K148" s="12">
        <v>60.0</v>
      </c>
      <c r="L148" s="12" t="s">
        <v>473</v>
      </c>
    </row>
    <row r="149" ht="15.75" customHeight="1">
      <c r="A149" s="17" t="s">
        <v>529</v>
      </c>
      <c r="B149" s="17" t="s">
        <v>457</v>
      </c>
      <c r="C149" s="17" t="s">
        <v>92</v>
      </c>
      <c r="D149" s="17" t="s">
        <v>489</v>
      </c>
      <c r="E149" s="17">
        <v>2.0</v>
      </c>
      <c r="F149" s="17">
        <v>1.0</v>
      </c>
      <c r="G149" s="17">
        <v>0.0</v>
      </c>
      <c r="H149" s="19">
        <v>0.0</v>
      </c>
      <c r="I149" s="20">
        <v>1.0</v>
      </c>
      <c r="J149" s="17" t="s">
        <v>462</v>
      </c>
      <c r="K149" s="17">
        <v>30.0</v>
      </c>
      <c r="L149" s="17" t="s">
        <v>501</v>
      </c>
    </row>
    <row r="150" ht="15.75" customHeight="1">
      <c r="A150" s="12" t="s">
        <v>537</v>
      </c>
      <c r="B150" s="12" t="s">
        <v>419</v>
      </c>
      <c r="C150" s="12" t="s">
        <v>92</v>
      </c>
      <c r="D150" s="12" t="s">
        <v>489</v>
      </c>
      <c r="E150" s="12">
        <v>2.0</v>
      </c>
      <c r="F150" s="12">
        <v>1.0</v>
      </c>
      <c r="G150" s="12">
        <v>0.0</v>
      </c>
      <c r="H150" s="14">
        <v>0.0</v>
      </c>
      <c r="I150" s="15">
        <v>1.0</v>
      </c>
      <c r="J150" s="12" t="s">
        <v>462</v>
      </c>
      <c r="K150" s="12">
        <v>30.0</v>
      </c>
      <c r="L150" s="12" t="s">
        <v>501</v>
      </c>
    </row>
    <row r="151" ht="15.75" customHeight="1">
      <c r="A151" s="17" t="s">
        <v>542</v>
      </c>
      <c r="B151" s="17" t="s">
        <v>457</v>
      </c>
      <c r="C151" s="17" t="s">
        <v>150</v>
      </c>
      <c r="D151" s="17" t="s">
        <v>489</v>
      </c>
      <c r="E151" s="17">
        <v>2.0</v>
      </c>
      <c r="F151" s="17">
        <v>1.0</v>
      </c>
      <c r="G151" s="17">
        <v>0.0</v>
      </c>
      <c r="H151" s="19">
        <v>0.0</v>
      </c>
      <c r="I151" s="20">
        <v>1.0</v>
      </c>
      <c r="J151" s="17" t="s">
        <v>462</v>
      </c>
      <c r="K151" s="17">
        <v>30.0</v>
      </c>
      <c r="L151" s="17" t="s">
        <v>501</v>
      </c>
    </row>
    <row r="152" ht="15.75" customHeight="1">
      <c r="A152" s="12" t="s">
        <v>547</v>
      </c>
      <c r="B152" s="12" t="s">
        <v>419</v>
      </c>
      <c r="C152" s="12" t="s">
        <v>92</v>
      </c>
      <c r="D152" s="12" t="s">
        <v>489</v>
      </c>
      <c r="E152" s="12">
        <v>2.0</v>
      </c>
      <c r="F152" s="12">
        <v>1.0</v>
      </c>
      <c r="G152" s="12">
        <v>0.0</v>
      </c>
      <c r="H152" s="14">
        <v>0.0</v>
      </c>
      <c r="I152" s="15">
        <v>1.0</v>
      </c>
      <c r="J152" s="12" t="s">
        <v>462</v>
      </c>
      <c r="K152" s="12">
        <v>30.0</v>
      </c>
      <c r="L152" s="12" t="s">
        <v>501</v>
      </c>
    </row>
    <row r="153" ht="15.75" customHeight="1">
      <c r="A153" s="17" t="s">
        <v>552</v>
      </c>
      <c r="B153" s="17" t="s">
        <v>457</v>
      </c>
      <c r="C153" s="17" t="s">
        <v>22</v>
      </c>
      <c r="D153" s="17" t="s">
        <v>489</v>
      </c>
      <c r="E153" s="17">
        <v>2.0</v>
      </c>
      <c r="F153" s="17">
        <v>1.0</v>
      </c>
      <c r="G153" s="17">
        <v>0.0</v>
      </c>
      <c r="H153" s="19">
        <v>0.0</v>
      </c>
      <c r="I153" s="20">
        <v>1.0</v>
      </c>
      <c r="J153" s="17" t="s">
        <v>462</v>
      </c>
      <c r="K153" s="17">
        <v>30.0</v>
      </c>
      <c r="L153" s="17" t="s">
        <v>501</v>
      </c>
    </row>
    <row r="154" ht="15.75" customHeight="1">
      <c r="A154" s="12" t="s">
        <v>558</v>
      </c>
      <c r="B154" s="12" t="s">
        <v>457</v>
      </c>
      <c r="C154" s="12" t="s">
        <v>92</v>
      </c>
      <c r="D154" s="12" t="s">
        <v>489</v>
      </c>
      <c r="E154" s="12">
        <v>2.0</v>
      </c>
      <c r="F154" s="12">
        <v>1.0</v>
      </c>
      <c r="G154" s="12">
        <v>0.0</v>
      </c>
      <c r="H154" s="14">
        <v>0.0</v>
      </c>
      <c r="I154" s="15">
        <v>1.0</v>
      </c>
      <c r="J154" s="12" t="s">
        <v>462</v>
      </c>
      <c r="K154" s="12">
        <v>30.0</v>
      </c>
      <c r="L154" s="12" t="s">
        <v>501</v>
      </c>
    </row>
    <row r="155" ht="15.75" customHeight="1">
      <c r="A155" s="17" t="s">
        <v>565</v>
      </c>
      <c r="B155" s="17" t="s">
        <v>76</v>
      </c>
      <c r="C155" s="17" t="s">
        <v>22</v>
      </c>
      <c r="D155" s="17" t="s">
        <v>489</v>
      </c>
      <c r="E155" s="17">
        <v>2.0</v>
      </c>
      <c r="F155" s="17">
        <v>1.0</v>
      </c>
      <c r="G155" s="17">
        <v>0.0</v>
      </c>
      <c r="H155" s="19">
        <v>0.0</v>
      </c>
      <c r="I155" s="20">
        <v>1.0</v>
      </c>
      <c r="J155" s="17" t="s">
        <v>462</v>
      </c>
      <c r="K155" s="17">
        <v>30.0</v>
      </c>
      <c r="L155" s="17" t="s">
        <v>501</v>
      </c>
    </row>
    <row r="156" ht="15.75" customHeight="1">
      <c r="A156" s="12" t="s">
        <v>573</v>
      </c>
      <c r="B156" s="12" t="s">
        <v>457</v>
      </c>
      <c r="C156" s="12" t="s">
        <v>32</v>
      </c>
      <c r="D156" s="12" t="s">
        <v>458</v>
      </c>
      <c r="E156" s="12">
        <v>5.0</v>
      </c>
      <c r="F156" s="12">
        <v>1.0</v>
      </c>
      <c r="G156" s="12">
        <v>0.0</v>
      </c>
      <c r="H156" s="14">
        <v>0.0</v>
      </c>
      <c r="I156" s="15">
        <v>1.0</v>
      </c>
      <c r="J156" s="12" t="s">
        <v>462</v>
      </c>
      <c r="K156" s="12">
        <v>60.0</v>
      </c>
      <c r="L156" s="12" t="s">
        <v>473</v>
      </c>
    </row>
    <row r="157" ht="15.75" customHeight="1">
      <c r="A157" s="17" t="s">
        <v>578</v>
      </c>
      <c r="B157" s="17" t="s">
        <v>457</v>
      </c>
      <c r="C157" s="17" t="s">
        <v>22</v>
      </c>
      <c r="D157" s="17" t="s">
        <v>458</v>
      </c>
      <c r="E157" s="17">
        <v>5.0</v>
      </c>
      <c r="F157" s="17">
        <v>1.0</v>
      </c>
      <c r="G157" s="17">
        <v>0.0</v>
      </c>
      <c r="H157" s="19">
        <v>0.0</v>
      </c>
      <c r="I157" s="20">
        <v>1.0</v>
      </c>
      <c r="J157" s="17" t="s">
        <v>462</v>
      </c>
      <c r="K157" s="17">
        <v>60.0</v>
      </c>
      <c r="L157" s="17" t="s">
        <v>473</v>
      </c>
    </row>
    <row r="158" ht="15.75" customHeight="1">
      <c r="A158" s="12" t="s">
        <v>584</v>
      </c>
      <c r="B158" s="12" t="s">
        <v>76</v>
      </c>
      <c r="C158" s="12" t="s">
        <v>32</v>
      </c>
      <c r="D158" s="12" t="s">
        <v>458</v>
      </c>
      <c r="E158" s="12">
        <v>5.0</v>
      </c>
      <c r="F158" s="12">
        <v>1.0</v>
      </c>
      <c r="G158" s="12">
        <v>0.0</v>
      </c>
      <c r="H158" s="14">
        <v>0.0</v>
      </c>
      <c r="I158" s="15">
        <v>1.0</v>
      </c>
      <c r="J158" s="12" t="s">
        <v>462</v>
      </c>
      <c r="K158" s="12">
        <v>60.0</v>
      </c>
      <c r="L158" s="12" t="s">
        <v>473</v>
      </c>
    </row>
    <row r="159" ht="15.75" customHeight="1">
      <c r="A159" s="17" t="s">
        <v>590</v>
      </c>
      <c r="B159" s="17" t="s">
        <v>457</v>
      </c>
      <c r="C159" s="17" t="s">
        <v>32</v>
      </c>
      <c r="D159" s="17" t="s">
        <v>458</v>
      </c>
      <c r="E159" s="17">
        <v>5.0</v>
      </c>
      <c r="F159" s="17">
        <v>1.0</v>
      </c>
      <c r="G159" s="17">
        <v>0.0</v>
      </c>
      <c r="H159" s="19">
        <v>0.0</v>
      </c>
      <c r="I159" s="20">
        <v>1.0</v>
      </c>
      <c r="J159" s="17" t="s">
        <v>462</v>
      </c>
      <c r="K159" s="17">
        <v>60.0</v>
      </c>
      <c r="L159" s="17" t="s">
        <v>473</v>
      </c>
    </row>
    <row r="160" ht="15.75" customHeight="1">
      <c r="A160" s="12" t="s">
        <v>596</v>
      </c>
      <c r="B160" s="12" t="s">
        <v>457</v>
      </c>
      <c r="C160" s="12" t="s">
        <v>32</v>
      </c>
      <c r="D160" s="12" t="s">
        <v>458</v>
      </c>
      <c r="E160" s="12">
        <v>5.0</v>
      </c>
      <c r="F160" s="12">
        <v>1.0</v>
      </c>
      <c r="G160" s="12">
        <v>0.0</v>
      </c>
      <c r="H160" s="14">
        <v>0.0</v>
      </c>
      <c r="I160" s="15">
        <v>1.0</v>
      </c>
      <c r="J160" s="12" t="s">
        <v>462</v>
      </c>
      <c r="K160" s="12">
        <v>60.0</v>
      </c>
      <c r="L160" s="12" t="s">
        <v>473</v>
      </c>
    </row>
    <row r="161" ht="15.75" customHeight="1">
      <c r="A161" s="17" t="s">
        <v>602</v>
      </c>
      <c r="B161" s="17" t="s">
        <v>457</v>
      </c>
      <c r="C161" s="17" t="s">
        <v>32</v>
      </c>
      <c r="D161" s="17" t="s">
        <v>458</v>
      </c>
      <c r="E161" s="17">
        <v>5.0</v>
      </c>
      <c r="F161" s="17">
        <v>1.0</v>
      </c>
      <c r="G161" s="17">
        <v>0.0</v>
      </c>
      <c r="H161" s="19">
        <v>0.0</v>
      </c>
      <c r="I161" s="20">
        <v>1.0</v>
      </c>
      <c r="J161" s="17" t="s">
        <v>462</v>
      </c>
      <c r="K161" s="17">
        <v>60.0</v>
      </c>
      <c r="L161" s="17" t="s">
        <v>473</v>
      </c>
    </row>
    <row r="162" ht="15.75" customHeight="1">
      <c r="A162" s="12" t="s">
        <v>608</v>
      </c>
      <c r="B162" s="12" t="s">
        <v>457</v>
      </c>
      <c r="C162" s="12" t="s">
        <v>32</v>
      </c>
      <c r="D162" s="12" t="s">
        <v>458</v>
      </c>
      <c r="E162" s="12">
        <v>5.0</v>
      </c>
      <c r="F162" s="12">
        <v>1.0</v>
      </c>
      <c r="G162" s="12">
        <v>0.0</v>
      </c>
      <c r="H162" s="14">
        <v>0.0</v>
      </c>
      <c r="I162" s="15">
        <v>1.0</v>
      </c>
      <c r="J162" s="12" t="s">
        <v>462</v>
      </c>
      <c r="K162" s="12">
        <v>60.0</v>
      </c>
      <c r="L162" s="12" t="s">
        <v>473</v>
      </c>
    </row>
    <row r="163" ht="15.75" customHeight="1">
      <c r="A163" s="17" t="s">
        <v>615</v>
      </c>
      <c r="B163" s="17" t="s">
        <v>457</v>
      </c>
      <c r="C163" s="17" t="s">
        <v>92</v>
      </c>
      <c r="D163" s="17" t="s">
        <v>489</v>
      </c>
      <c r="E163" s="17">
        <v>2.0</v>
      </c>
      <c r="F163" s="17">
        <v>1.0</v>
      </c>
      <c r="G163" s="17">
        <v>0.0</v>
      </c>
      <c r="H163" s="19">
        <v>0.0</v>
      </c>
      <c r="I163" s="20">
        <v>1.0</v>
      </c>
      <c r="J163" s="17" t="s">
        <v>462</v>
      </c>
      <c r="K163" s="17">
        <v>30.0</v>
      </c>
      <c r="L163" s="17" t="s">
        <v>501</v>
      </c>
    </row>
    <row r="164" ht="15.75" customHeight="1">
      <c r="A164" s="12" t="s">
        <v>619</v>
      </c>
      <c r="B164" s="12" t="s">
        <v>457</v>
      </c>
      <c r="C164" s="12" t="s">
        <v>92</v>
      </c>
      <c r="D164" s="12" t="s">
        <v>489</v>
      </c>
      <c r="E164" s="12">
        <v>2.0</v>
      </c>
      <c r="F164" s="12">
        <v>1.0</v>
      </c>
      <c r="G164" s="12">
        <v>0.0</v>
      </c>
      <c r="H164" s="14">
        <v>0.0</v>
      </c>
      <c r="I164" s="15">
        <v>1.0</v>
      </c>
      <c r="J164" s="12" t="s">
        <v>462</v>
      </c>
      <c r="K164" s="12">
        <v>30.0</v>
      </c>
      <c r="L164" s="12" t="s">
        <v>501</v>
      </c>
    </row>
    <row r="165" ht="15.75" customHeight="1">
      <c r="A165" s="17" t="s">
        <v>623</v>
      </c>
      <c r="B165" s="17" t="s">
        <v>476</v>
      </c>
      <c r="C165" s="17" t="s">
        <v>92</v>
      </c>
      <c r="D165" s="17" t="s">
        <v>489</v>
      </c>
      <c r="E165" s="17">
        <v>2.0</v>
      </c>
      <c r="F165" s="17">
        <v>1.0</v>
      </c>
      <c r="G165" s="17">
        <v>0.0</v>
      </c>
      <c r="H165" s="19">
        <v>0.0</v>
      </c>
      <c r="I165" s="20">
        <v>1.0</v>
      </c>
      <c r="J165" s="17" t="s">
        <v>462</v>
      </c>
      <c r="K165" s="17">
        <v>30.0</v>
      </c>
      <c r="L165" s="17" t="s">
        <v>501</v>
      </c>
    </row>
    <row r="166" ht="15.75" customHeight="1">
      <c r="A166" s="12" t="s">
        <v>625</v>
      </c>
      <c r="B166" s="12" t="s">
        <v>476</v>
      </c>
      <c r="C166" s="12" t="s">
        <v>27</v>
      </c>
      <c r="D166" s="12" t="s">
        <v>458</v>
      </c>
      <c r="E166" s="12">
        <v>5.0</v>
      </c>
      <c r="F166" s="12">
        <v>1.0</v>
      </c>
      <c r="G166" s="12">
        <v>0.0</v>
      </c>
      <c r="H166" s="14">
        <v>0.0</v>
      </c>
      <c r="I166" s="15">
        <v>1.0</v>
      </c>
      <c r="J166" s="12" t="s">
        <v>462</v>
      </c>
      <c r="K166" s="12">
        <v>60.0</v>
      </c>
      <c r="L166" s="12" t="s">
        <v>473</v>
      </c>
    </row>
    <row r="167" ht="15.75" customHeight="1">
      <c r="A167" s="17" t="s">
        <v>627</v>
      </c>
      <c r="B167" s="17" t="s">
        <v>457</v>
      </c>
      <c r="C167" s="17" t="s">
        <v>324</v>
      </c>
      <c r="D167" s="17" t="s">
        <v>458</v>
      </c>
      <c r="E167" s="17">
        <v>5.0</v>
      </c>
      <c r="F167" s="17">
        <v>1.0</v>
      </c>
      <c r="G167" s="17">
        <v>0.0</v>
      </c>
      <c r="H167" s="19">
        <v>0.0</v>
      </c>
      <c r="I167" s="20">
        <v>2.0</v>
      </c>
      <c r="J167" s="17" t="s">
        <v>462</v>
      </c>
      <c r="K167" s="17">
        <v>60.0</v>
      </c>
      <c r="L167" s="17" t="s">
        <v>473</v>
      </c>
    </row>
    <row r="168" ht="15.75" customHeight="1">
      <c r="A168" s="12" t="s">
        <v>630</v>
      </c>
      <c r="B168" s="12" t="s">
        <v>457</v>
      </c>
      <c r="C168" s="12" t="s">
        <v>92</v>
      </c>
      <c r="D168" s="12" t="s">
        <v>489</v>
      </c>
      <c r="E168" s="12">
        <v>2.0</v>
      </c>
      <c r="F168" s="12">
        <v>1.0</v>
      </c>
      <c r="G168" s="12">
        <v>0.0</v>
      </c>
      <c r="H168" s="14">
        <v>0.0</v>
      </c>
      <c r="I168" s="15">
        <v>2.0</v>
      </c>
      <c r="J168" s="12" t="s">
        <v>462</v>
      </c>
      <c r="K168" s="12">
        <v>30.0</v>
      </c>
      <c r="L168" s="12" t="s">
        <v>501</v>
      </c>
    </row>
    <row r="169" ht="15.75" customHeight="1">
      <c r="A169" s="17" t="s">
        <v>632</v>
      </c>
      <c r="B169" s="17" t="s">
        <v>457</v>
      </c>
      <c r="C169" s="17" t="s">
        <v>92</v>
      </c>
      <c r="D169" s="17" t="s">
        <v>489</v>
      </c>
      <c r="E169" s="17">
        <v>2.0</v>
      </c>
      <c r="F169" s="17">
        <v>1.0</v>
      </c>
      <c r="G169" s="17">
        <v>0.0</v>
      </c>
      <c r="H169" s="19">
        <v>0.0</v>
      </c>
      <c r="I169" s="20">
        <v>2.0</v>
      </c>
      <c r="J169" s="17" t="s">
        <v>462</v>
      </c>
      <c r="K169" s="17">
        <v>30.0</v>
      </c>
      <c r="L169" s="17" t="s">
        <v>501</v>
      </c>
    </row>
    <row r="170" ht="15.75" customHeight="1">
      <c r="A170" s="12" t="s">
        <v>633</v>
      </c>
      <c r="B170" s="12" t="s">
        <v>457</v>
      </c>
      <c r="C170" s="12" t="s">
        <v>22</v>
      </c>
      <c r="D170" s="12" t="s">
        <v>458</v>
      </c>
      <c r="E170" s="12">
        <v>5.0</v>
      </c>
      <c r="F170" s="12">
        <v>1.0</v>
      </c>
      <c r="G170" s="12">
        <v>0.0</v>
      </c>
      <c r="H170" s="14">
        <v>0.0</v>
      </c>
      <c r="I170" s="15">
        <v>2.0</v>
      </c>
      <c r="J170" s="12" t="s">
        <v>462</v>
      </c>
      <c r="K170" s="12">
        <v>60.0</v>
      </c>
      <c r="L170" s="12" t="s">
        <v>473</v>
      </c>
    </row>
    <row r="171" ht="15.75" customHeight="1">
      <c r="A171" s="17" t="s">
        <v>634</v>
      </c>
      <c r="B171" s="17" t="s">
        <v>76</v>
      </c>
      <c r="C171" s="17" t="s">
        <v>32</v>
      </c>
      <c r="D171" s="17" t="s">
        <v>458</v>
      </c>
      <c r="E171" s="17">
        <v>5.0</v>
      </c>
      <c r="F171" s="17">
        <v>1.0</v>
      </c>
      <c r="G171" s="17">
        <v>0.0</v>
      </c>
      <c r="H171" s="19">
        <v>0.0</v>
      </c>
      <c r="I171" s="20">
        <v>2.0</v>
      </c>
      <c r="J171" s="17" t="s">
        <v>462</v>
      </c>
      <c r="K171" s="17">
        <v>60.0</v>
      </c>
      <c r="L171" s="17" t="s">
        <v>473</v>
      </c>
    </row>
    <row r="172" ht="15.75" customHeight="1">
      <c r="A172" s="12" t="s">
        <v>636</v>
      </c>
      <c r="B172" s="12" t="s">
        <v>457</v>
      </c>
      <c r="C172" s="12" t="s">
        <v>92</v>
      </c>
      <c r="D172" s="12" t="s">
        <v>489</v>
      </c>
      <c r="E172" s="12">
        <v>2.0</v>
      </c>
      <c r="F172" s="12">
        <v>1.0</v>
      </c>
      <c r="G172" s="12">
        <v>0.0</v>
      </c>
      <c r="H172" s="14">
        <v>0.0</v>
      </c>
      <c r="I172" s="15">
        <v>2.0</v>
      </c>
      <c r="J172" s="12" t="s">
        <v>462</v>
      </c>
      <c r="K172" s="12">
        <v>30.0</v>
      </c>
      <c r="L172" s="12" t="s">
        <v>501</v>
      </c>
    </row>
    <row r="173" ht="15.75" customHeight="1">
      <c r="A173" s="17" t="s">
        <v>637</v>
      </c>
      <c r="B173" s="17" t="s">
        <v>476</v>
      </c>
      <c r="C173" s="17" t="s">
        <v>32</v>
      </c>
      <c r="D173" s="17" t="s">
        <v>458</v>
      </c>
      <c r="E173" s="17">
        <v>5.0</v>
      </c>
      <c r="F173" s="17">
        <v>1.0</v>
      </c>
      <c r="G173" s="17">
        <v>0.0</v>
      </c>
      <c r="H173" s="19">
        <v>0.0</v>
      </c>
      <c r="I173" s="20">
        <v>2.0</v>
      </c>
      <c r="J173" s="17" t="s">
        <v>462</v>
      </c>
      <c r="K173" s="17">
        <v>60.0</v>
      </c>
      <c r="L173" s="17" t="s">
        <v>473</v>
      </c>
    </row>
    <row r="174" ht="15.75" customHeight="1">
      <c r="A174" s="12" t="s">
        <v>638</v>
      </c>
      <c r="B174" s="12" t="s">
        <v>419</v>
      </c>
      <c r="C174" s="12" t="s">
        <v>92</v>
      </c>
      <c r="D174" s="12" t="s">
        <v>489</v>
      </c>
      <c r="E174" s="12">
        <v>2.0</v>
      </c>
      <c r="F174" s="12">
        <v>1.0</v>
      </c>
      <c r="G174" s="12">
        <v>0.0</v>
      </c>
      <c r="H174" s="14">
        <v>0.0</v>
      </c>
      <c r="I174" s="15">
        <v>3.0</v>
      </c>
      <c r="J174" s="12" t="s">
        <v>462</v>
      </c>
      <c r="K174" s="12">
        <v>30.0</v>
      </c>
      <c r="L174" s="12" t="s">
        <v>501</v>
      </c>
    </row>
    <row r="175" ht="15.75" customHeight="1">
      <c r="A175" s="17" t="s">
        <v>639</v>
      </c>
      <c r="B175" s="17" t="s">
        <v>457</v>
      </c>
      <c r="C175" s="17" t="s">
        <v>92</v>
      </c>
      <c r="D175" s="17" t="s">
        <v>489</v>
      </c>
      <c r="E175" s="17">
        <v>2.0</v>
      </c>
      <c r="F175" s="17">
        <v>1.0</v>
      </c>
      <c r="G175" s="17">
        <v>0.0</v>
      </c>
      <c r="H175" s="19">
        <v>0.0</v>
      </c>
      <c r="I175" s="20">
        <v>3.0</v>
      </c>
      <c r="J175" s="17" t="s">
        <v>462</v>
      </c>
      <c r="K175" s="17">
        <v>30.0</v>
      </c>
      <c r="L175" s="17" t="s">
        <v>501</v>
      </c>
    </row>
    <row r="176" ht="15.75" customHeight="1">
      <c r="A176" s="12" t="s">
        <v>640</v>
      </c>
      <c r="B176" s="12" t="s">
        <v>457</v>
      </c>
      <c r="C176" s="12" t="s">
        <v>324</v>
      </c>
      <c r="D176" s="12" t="s">
        <v>489</v>
      </c>
      <c r="E176" s="12">
        <v>2.0</v>
      </c>
      <c r="F176" s="12">
        <v>1.0</v>
      </c>
      <c r="G176" s="12">
        <v>0.0</v>
      </c>
      <c r="H176" s="14">
        <v>0.0</v>
      </c>
      <c r="I176" s="15">
        <v>3.0</v>
      </c>
      <c r="J176" s="12" t="s">
        <v>462</v>
      </c>
      <c r="K176" s="12">
        <v>30.0</v>
      </c>
      <c r="L176" s="12" t="s">
        <v>501</v>
      </c>
    </row>
    <row r="177" ht="15.75" customHeight="1">
      <c r="A177" s="17" t="s">
        <v>643</v>
      </c>
      <c r="B177" s="17" t="s">
        <v>132</v>
      </c>
      <c r="C177" s="17" t="s">
        <v>85</v>
      </c>
      <c r="D177" s="17" t="s">
        <v>489</v>
      </c>
      <c r="E177" s="17">
        <v>5.0</v>
      </c>
      <c r="F177" s="17">
        <v>1.0</v>
      </c>
      <c r="G177" s="17">
        <v>0.0</v>
      </c>
      <c r="H177" s="19">
        <v>0.0</v>
      </c>
      <c r="I177" s="20">
        <v>3.0</v>
      </c>
      <c r="J177" s="17" t="s">
        <v>462</v>
      </c>
      <c r="K177" s="17">
        <v>60.0</v>
      </c>
      <c r="L177" s="17" t="s">
        <v>473</v>
      </c>
    </row>
    <row r="178" ht="15.75" customHeight="1">
      <c r="A178" s="12" t="s">
        <v>644</v>
      </c>
      <c r="B178" s="12" t="s">
        <v>457</v>
      </c>
      <c r="C178" s="12" t="s">
        <v>324</v>
      </c>
      <c r="D178" s="12" t="s">
        <v>458</v>
      </c>
      <c r="E178" s="12">
        <v>5.0</v>
      </c>
      <c r="F178" s="12">
        <v>1.0</v>
      </c>
      <c r="G178" s="12">
        <v>0.0</v>
      </c>
      <c r="H178" s="14">
        <v>0.0</v>
      </c>
      <c r="I178" s="15">
        <v>3.0</v>
      </c>
      <c r="J178" s="12" t="s">
        <v>462</v>
      </c>
      <c r="K178" s="12">
        <v>60.0</v>
      </c>
      <c r="L178" s="12" t="s">
        <v>473</v>
      </c>
    </row>
    <row r="179" ht="15.75" customHeight="1">
      <c r="A179" s="17" t="s">
        <v>646</v>
      </c>
      <c r="B179" s="17" t="s">
        <v>76</v>
      </c>
      <c r="C179" s="17" t="s">
        <v>34</v>
      </c>
      <c r="D179" s="17" t="s">
        <v>489</v>
      </c>
      <c r="E179" s="17">
        <v>2.0</v>
      </c>
      <c r="F179" s="17">
        <v>1.0</v>
      </c>
      <c r="G179" s="17">
        <v>0.0</v>
      </c>
      <c r="H179" s="19">
        <v>0.0</v>
      </c>
      <c r="I179" s="20">
        <v>3.0</v>
      </c>
      <c r="J179" s="17" t="s">
        <v>462</v>
      </c>
      <c r="K179" s="17">
        <v>30.0</v>
      </c>
      <c r="L179" s="17" t="s">
        <v>501</v>
      </c>
    </row>
    <row r="180" ht="15.75" customHeight="1">
      <c r="A180" s="12" t="s">
        <v>648</v>
      </c>
      <c r="B180" s="12" t="s">
        <v>457</v>
      </c>
      <c r="C180" s="12" t="s">
        <v>22</v>
      </c>
      <c r="D180" s="12" t="s">
        <v>458</v>
      </c>
      <c r="E180" s="12">
        <v>5.0</v>
      </c>
      <c r="F180" s="12">
        <v>1.0</v>
      </c>
      <c r="G180" s="12">
        <v>0.0</v>
      </c>
      <c r="H180" s="14">
        <v>0.0</v>
      </c>
      <c r="I180" s="15">
        <v>3.0</v>
      </c>
      <c r="J180" s="12" t="s">
        <v>462</v>
      </c>
      <c r="K180" s="12">
        <v>60.0</v>
      </c>
      <c r="L180" s="12" t="s">
        <v>473</v>
      </c>
    </row>
    <row r="181" ht="15.75" customHeight="1">
      <c r="A181" s="17" t="s">
        <v>649</v>
      </c>
      <c r="B181" s="17" t="s">
        <v>457</v>
      </c>
      <c r="C181" s="17" t="s">
        <v>22</v>
      </c>
      <c r="D181" s="17" t="s">
        <v>489</v>
      </c>
      <c r="E181" s="17">
        <v>2.0</v>
      </c>
      <c r="F181" s="17">
        <v>1.0</v>
      </c>
      <c r="G181" s="17">
        <v>0.0</v>
      </c>
      <c r="H181" s="19">
        <v>0.0</v>
      </c>
      <c r="I181" s="20">
        <v>3.0</v>
      </c>
      <c r="J181" s="17" t="s">
        <v>462</v>
      </c>
      <c r="K181" s="17">
        <v>30.0</v>
      </c>
      <c r="L181" s="17" t="s">
        <v>501</v>
      </c>
    </row>
    <row r="182" ht="15.75" customHeight="1">
      <c r="A182" s="12" t="s">
        <v>650</v>
      </c>
      <c r="B182" s="12" t="s">
        <v>457</v>
      </c>
      <c r="C182" s="12" t="s">
        <v>92</v>
      </c>
      <c r="D182" s="12" t="s">
        <v>489</v>
      </c>
      <c r="E182" s="12">
        <v>2.0</v>
      </c>
      <c r="F182" s="12">
        <v>1.0</v>
      </c>
      <c r="G182" s="12">
        <v>0.0</v>
      </c>
      <c r="H182" s="14">
        <v>0.0</v>
      </c>
      <c r="I182" s="15">
        <v>4.0</v>
      </c>
      <c r="J182" s="12" t="s">
        <v>462</v>
      </c>
      <c r="K182" s="12">
        <v>40.0</v>
      </c>
      <c r="L182" s="12" t="s">
        <v>501</v>
      </c>
    </row>
    <row r="183" ht="15.75" customHeight="1">
      <c r="A183" s="17" t="s">
        <v>653</v>
      </c>
      <c r="B183" s="17" t="s">
        <v>457</v>
      </c>
      <c r="C183" s="17" t="s">
        <v>150</v>
      </c>
      <c r="D183" s="17" t="s">
        <v>489</v>
      </c>
      <c r="E183" s="17">
        <v>2.0</v>
      </c>
      <c r="F183" s="17">
        <v>1.0</v>
      </c>
      <c r="G183" s="17">
        <v>0.0</v>
      </c>
      <c r="H183" s="19">
        <v>0.0</v>
      </c>
      <c r="I183" s="20">
        <v>4.0</v>
      </c>
      <c r="J183" s="17" t="s">
        <v>462</v>
      </c>
      <c r="K183" s="17">
        <v>40.0</v>
      </c>
      <c r="L183" s="17" t="s">
        <v>501</v>
      </c>
    </row>
    <row r="184" ht="15.75" customHeight="1">
      <c r="A184" s="12" t="s">
        <v>654</v>
      </c>
      <c r="B184" s="12" t="s">
        <v>457</v>
      </c>
      <c r="C184" s="12" t="s">
        <v>92</v>
      </c>
      <c r="D184" s="12" t="s">
        <v>489</v>
      </c>
      <c r="E184" s="12">
        <v>2.0</v>
      </c>
      <c r="F184" s="12">
        <v>1.0</v>
      </c>
      <c r="G184" s="12">
        <v>0.0</v>
      </c>
      <c r="H184" s="14">
        <v>0.0</v>
      </c>
      <c r="I184" s="15">
        <v>4.0</v>
      </c>
      <c r="J184" s="12" t="s">
        <v>462</v>
      </c>
      <c r="K184" s="12">
        <v>40.0</v>
      </c>
      <c r="L184" s="12" t="s">
        <v>501</v>
      </c>
    </row>
    <row r="185" ht="15.75" customHeight="1">
      <c r="A185" s="17" t="s">
        <v>657</v>
      </c>
      <c r="B185" s="17" t="s">
        <v>457</v>
      </c>
      <c r="C185" s="17" t="s">
        <v>92</v>
      </c>
      <c r="D185" s="17" t="s">
        <v>489</v>
      </c>
      <c r="E185" s="17">
        <v>2.0</v>
      </c>
      <c r="F185" s="17">
        <v>1.0</v>
      </c>
      <c r="G185" s="17">
        <v>0.0</v>
      </c>
      <c r="H185" s="19">
        <v>0.0</v>
      </c>
      <c r="I185" s="20">
        <v>4.0</v>
      </c>
      <c r="J185" s="17" t="s">
        <v>462</v>
      </c>
      <c r="K185" s="17">
        <v>40.0</v>
      </c>
      <c r="L185" s="17" t="s">
        <v>501</v>
      </c>
    </row>
    <row r="186" ht="15.75" customHeight="1">
      <c r="A186" s="12" t="s">
        <v>659</v>
      </c>
      <c r="B186" s="12" t="s">
        <v>457</v>
      </c>
      <c r="C186" s="12" t="s">
        <v>92</v>
      </c>
      <c r="D186" s="12" t="s">
        <v>489</v>
      </c>
      <c r="E186" s="12">
        <v>2.0</v>
      </c>
      <c r="F186" s="12">
        <v>1.0</v>
      </c>
      <c r="G186" s="12">
        <v>0.0</v>
      </c>
      <c r="H186" s="14">
        <v>0.0</v>
      </c>
      <c r="I186" s="15">
        <v>4.0</v>
      </c>
      <c r="J186" s="12" t="s">
        <v>462</v>
      </c>
      <c r="K186" s="12">
        <v>40.0</v>
      </c>
      <c r="L186" s="12" t="s">
        <v>501</v>
      </c>
    </row>
    <row r="187" ht="15.75" customHeight="1">
      <c r="A187" s="17" t="s">
        <v>664</v>
      </c>
      <c r="B187" s="17" t="s">
        <v>457</v>
      </c>
      <c r="C187" s="17" t="s">
        <v>22</v>
      </c>
      <c r="D187" s="17" t="s">
        <v>489</v>
      </c>
      <c r="E187" s="17">
        <v>2.0</v>
      </c>
      <c r="F187" s="17">
        <v>1.0</v>
      </c>
      <c r="G187" s="17">
        <v>0.0</v>
      </c>
      <c r="H187" s="19">
        <v>0.0</v>
      </c>
      <c r="I187" s="20">
        <v>4.0</v>
      </c>
      <c r="J187" s="17" t="s">
        <v>462</v>
      </c>
      <c r="K187" s="17">
        <v>40.0</v>
      </c>
      <c r="L187" s="17" t="s">
        <v>501</v>
      </c>
    </row>
    <row r="188" ht="15.75" customHeight="1">
      <c r="A188" s="12" t="s">
        <v>668</v>
      </c>
      <c r="B188" s="12" t="s">
        <v>457</v>
      </c>
      <c r="C188" s="12" t="s">
        <v>27</v>
      </c>
      <c r="D188" s="12" t="s">
        <v>458</v>
      </c>
      <c r="E188" s="12">
        <v>5.0</v>
      </c>
      <c r="F188" s="12">
        <v>1.0</v>
      </c>
      <c r="G188" s="12">
        <v>0.0</v>
      </c>
      <c r="H188" s="14">
        <v>0.0</v>
      </c>
      <c r="I188" s="15">
        <v>5.0</v>
      </c>
      <c r="J188" s="12" t="s">
        <v>462</v>
      </c>
      <c r="K188" s="12">
        <v>70.0</v>
      </c>
      <c r="L188" s="12" t="s">
        <v>473</v>
      </c>
    </row>
    <row r="189" ht="15.75" customHeight="1">
      <c r="A189" s="17" t="s">
        <v>673</v>
      </c>
      <c r="B189" s="17" t="s">
        <v>457</v>
      </c>
      <c r="C189" s="17" t="s">
        <v>92</v>
      </c>
      <c r="D189" s="17" t="s">
        <v>489</v>
      </c>
      <c r="E189" s="17">
        <v>2.0</v>
      </c>
      <c r="F189" s="17">
        <v>1.0</v>
      </c>
      <c r="G189" s="17">
        <v>0.0</v>
      </c>
      <c r="H189" s="19">
        <v>0.0</v>
      </c>
      <c r="I189" s="20">
        <v>5.0</v>
      </c>
      <c r="J189" s="17" t="s">
        <v>462</v>
      </c>
      <c r="K189" s="17">
        <v>40.0</v>
      </c>
      <c r="L189" s="17" t="s">
        <v>501</v>
      </c>
    </row>
    <row r="190" ht="15.75" customHeight="1">
      <c r="A190" s="12" t="s">
        <v>676</v>
      </c>
      <c r="B190" s="12" t="s">
        <v>457</v>
      </c>
      <c r="C190" s="12" t="s">
        <v>150</v>
      </c>
      <c r="D190" s="12" t="s">
        <v>489</v>
      </c>
      <c r="E190" s="12">
        <v>2.0</v>
      </c>
      <c r="F190" s="12">
        <v>1.0</v>
      </c>
      <c r="G190" s="12">
        <v>0.0</v>
      </c>
      <c r="H190" s="14">
        <v>0.0</v>
      </c>
      <c r="I190" s="15">
        <v>5.0</v>
      </c>
      <c r="J190" s="12" t="s">
        <v>462</v>
      </c>
      <c r="K190" s="12">
        <v>40.0</v>
      </c>
      <c r="L190" s="12" t="s">
        <v>501</v>
      </c>
    </row>
    <row r="191" ht="15.75" customHeight="1">
      <c r="A191" s="17" t="s">
        <v>678</v>
      </c>
      <c r="B191" s="17" t="s">
        <v>413</v>
      </c>
      <c r="C191" s="17" t="s">
        <v>27</v>
      </c>
      <c r="D191" s="17" t="s">
        <v>489</v>
      </c>
      <c r="E191" s="17">
        <v>2.0</v>
      </c>
      <c r="F191" s="17">
        <v>1.0</v>
      </c>
      <c r="G191" s="17">
        <v>0.0</v>
      </c>
      <c r="H191" s="19">
        <v>0.0</v>
      </c>
      <c r="I191" s="20">
        <v>5.0</v>
      </c>
      <c r="J191" s="17" t="s">
        <v>462</v>
      </c>
      <c r="K191" s="17">
        <v>40.0</v>
      </c>
      <c r="L191" s="17" t="s">
        <v>501</v>
      </c>
    </row>
    <row r="192" ht="15.75" customHeight="1">
      <c r="A192" s="12" t="s">
        <v>679</v>
      </c>
      <c r="B192" s="12" t="s">
        <v>457</v>
      </c>
      <c r="C192" s="12" t="s">
        <v>32</v>
      </c>
      <c r="D192" s="12" t="s">
        <v>458</v>
      </c>
      <c r="E192" s="12">
        <v>5.0</v>
      </c>
      <c r="F192" s="12">
        <v>1.0</v>
      </c>
      <c r="G192" s="12">
        <v>0.0</v>
      </c>
      <c r="H192" s="14">
        <v>0.0</v>
      </c>
      <c r="I192" s="15">
        <v>5.0</v>
      </c>
      <c r="J192" s="12" t="s">
        <v>462</v>
      </c>
      <c r="K192" s="12">
        <v>70.0</v>
      </c>
      <c r="L192" s="12" t="s">
        <v>473</v>
      </c>
    </row>
    <row r="193" ht="15.75" customHeight="1">
      <c r="A193" s="17" t="s">
        <v>681</v>
      </c>
      <c r="B193" s="17" t="s">
        <v>413</v>
      </c>
      <c r="C193" s="17" t="s">
        <v>210</v>
      </c>
      <c r="D193" s="17" t="s">
        <v>458</v>
      </c>
      <c r="E193" s="17">
        <v>5.0</v>
      </c>
      <c r="F193" s="17">
        <v>1.0</v>
      </c>
      <c r="G193" s="17">
        <v>0.0</v>
      </c>
      <c r="H193" s="19">
        <v>0.0</v>
      </c>
      <c r="I193" s="20">
        <v>5.0</v>
      </c>
      <c r="J193" s="17" t="s">
        <v>462</v>
      </c>
      <c r="K193" s="17">
        <v>70.0</v>
      </c>
      <c r="L193" s="17" t="s">
        <v>473</v>
      </c>
    </row>
    <row r="194" ht="15.75" customHeight="1">
      <c r="A194" s="12" t="s">
        <v>682</v>
      </c>
      <c r="B194" s="12" t="s">
        <v>457</v>
      </c>
      <c r="C194" s="12" t="s">
        <v>92</v>
      </c>
      <c r="D194" s="12" t="s">
        <v>489</v>
      </c>
      <c r="E194" s="12">
        <v>2.0</v>
      </c>
      <c r="F194" s="12">
        <v>1.0</v>
      </c>
      <c r="G194" s="12">
        <v>0.0</v>
      </c>
      <c r="H194" s="14">
        <v>0.0</v>
      </c>
      <c r="I194" s="15">
        <v>5.0</v>
      </c>
      <c r="J194" s="12" t="s">
        <v>462</v>
      </c>
      <c r="K194" s="12">
        <v>40.0</v>
      </c>
      <c r="L194" s="12" t="s">
        <v>501</v>
      </c>
    </row>
    <row r="195" ht="15.75" customHeight="1">
      <c r="A195" s="17" t="s">
        <v>683</v>
      </c>
      <c r="B195" s="17" t="s">
        <v>457</v>
      </c>
      <c r="C195" s="17" t="s">
        <v>92</v>
      </c>
      <c r="D195" s="17" t="s">
        <v>489</v>
      </c>
      <c r="E195" s="17">
        <v>2.0</v>
      </c>
      <c r="F195" s="17">
        <v>1.0</v>
      </c>
      <c r="G195" s="17">
        <v>0.0</v>
      </c>
      <c r="H195" s="19">
        <v>0.0</v>
      </c>
      <c r="I195" s="20">
        <v>6.0</v>
      </c>
      <c r="J195" s="17" t="s">
        <v>462</v>
      </c>
      <c r="K195" s="17">
        <v>40.0</v>
      </c>
      <c r="L195" s="17" t="s">
        <v>501</v>
      </c>
    </row>
    <row r="196" ht="15.75" customHeight="1">
      <c r="A196" s="12" t="s">
        <v>685</v>
      </c>
      <c r="B196" s="12" t="s">
        <v>457</v>
      </c>
      <c r="C196" s="12" t="s">
        <v>92</v>
      </c>
      <c r="D196" s="12" t="s">
        <v>458</v>
      </c>
      <c r="E196" s="12">
        <v>5.0</v>
      </c>
      <c r="F196" s="12">
        <v>1.0</v>
      </c>
      <c r="G196" s="12">
        <v>0.0</v>
      </c>
      <c r="H196" s="14">
        <v>0.0</v>
      </c>
      <c r="I196" s="15">
        <v>6.0</v>
      </c>
      <c r="J196" s="12" t="s">
        <v>462</v>
      </c>
      <c r="K196" s="12">
        <v>70.0</v>
      </c>
      <c r="L196" s="12" t="s">
        <v>473</v>
      </c>
    </row>
    <row r="197" ht="15.75" customHeight="1">
      <c r="A197" s="17" t="s">
        <v>686</v>
      </c>
      <c r="B197" s="17" t="s">
        <v>457</v>
      </c>
      <c r="C197" s="17" t="s">
        <v>27</v>
      </c>
      <c r="D197" s="17" t="s">
        <v>489</v>
      </c>
      <c r="E197" s="17">
        <v>5.0</v>
      </c>
      <c r="F197" s="17">
        <v>1.0</v>
      </c>
      <c r="G197" s="17">
        <v>0.0</v>
      </c>
      <c r="H197" s="19">
        <v>0.0</v>
      </c>
      <c r="I197" s="20">
        <v>6.0</v>
      </c>
      <c r="J197" s="17" t="s">
        <v>462</v>
      </c>
      <c r="K197" s="17">
        <v>70.0</v>
      </c>
      <c r="L197" s="17" t="s">
        <v>473</v>
      </c>
    </row>
    <row r="198" ht="15.75" customHeight="1">
      <c r="A198" s="12" t="s">
        <v>687</v>
      </c>
      <c r="B198" s="12" t="s">
        <v>457</v>
      </c>
      <c r="C198" s="12" t="s">
        <v>27</v>
      </c>
      <c r="D198" s="12" t="s">
        <v>489</v>
      </c>
      <c r="E198" s="12">
        <v>5.0</v>
      </c>
      <c r="F198" s="12">
        <v>1.0</v>
      </c>
      <c r="G198" s="12">
        <v>0.0</v>
      </c>
      <c r="H198" s="14">
        <v>0.0</v>
      </c>
      <c r="I198" s="15">
        <v>6.0</v>
      </c>
      <c r="J198" s="12" t="s">
        <v>462</v>
      </c>
      <c r="K198" s="12">
        <v>70.0</v>
      </c>
      <c r="L198" s="12" t="s">
        <v>473</v>
      </c>
    </row>
    <row r="199" ht="15.75" customHeight="1">
      <c r="A199" s="17" t="s">
        <v>691</v>
      </c>
      <c r="B199" s="17" t="s">
        <v>457</v>
      </c>
      <c r="C199" s="17" t="s">
        <v>92</v>
      </c>
      <c r="D199" s="17" t="s">
        <v>489</v>
      </c>
      <c r="E199" s="17">
        <v>2.0</v>
      </c>
      <c r="F199" s="17">
        <v>1.0</v>
      </c>
      <c r="G199" s="17">
        <v>0.0</v>
      </c>
      <c r="H199" s="19">
        <v>0.0</v>
      </c>
      <c r="I199" s="20">
        <v>6.0</v>
      </c>
      <c r="J199" s="17" t="s">
        <v>462</v>
      </c>
      <c r="K199" s="17">
        <v>40.0</v>
      </c>
      <c r="L199" s="17" t="s">
        <v>501</v>
      </c>
    </row>
    <row r="200" ht="15.75" customHeight="1">
      <c r="A200" s="12" t="s">
        <v>692</v>
      </c>
      <c r="B200" s="12" t="s">
        <v>457</v>
      </c>
      <c r="C200" s="12" t="s">
        <v>22</v>
      </c>
      <c r="D200" s="12" t="s">
        <v>489</v>
      </c>
      <c r="E200" s="12">
        <v>2.0</v>
      </c>
      <c r="F200" s="12">
        <v>1.0</v>
      </c>
      <c r="G200" s="12">
        <v>0.0</v>
      </c>
      <c r="H200" s="14">
        <v>0.0</v>
      </c>
      <c r="I200" s="15">
        <v>6.0</v>
      </c>
      <c r="J200" s="12" t="s">
        <v>462</v>
      </c>
      <c r="K200" s="12">
        <v>40.0</v>
      </c>
      <c r="L200" s="12" t="s">
        <v>501</v>
      </c>
    </row>
    <row r="201" ht="15.75" customHeight="1">
      <c r="A201" s="17" t="s">
        <v>693</v>
      </c>
      <c r="B201" s="17" t="s">
        <v>457</v>
      </c>
      <c r="C201" s="17" t="s">
        <v>92</v>
      </c>
      <c r="D201" s="17" t="s">
        <v>489</v>
      </c>
      <c r="E201" s="17">
        <v>5.0</v>
      </c>
      <c r="F201" s="17">
        <v>1.0</v>
      </c>
      <c r="G201" s="17">
        <v>0.0</v>
      </c>
      <c r="H201" s="19">
        <v>0.0</v>
      </c>
      <c r="I201" s="20">
        <v>7.0</v>
      </c>
      <c r="J201" s="17" t="s">
        <v>462</v>
      </c>
      <c r="K201" s="17">
        <v>70.0</v>
      </c>
      <c r="L201" s="17" t="s">
        <v>473</v>
      </c>
    </row>
    <row r="202" ht="15.75" customHeight="1">
      <c r="A202" s="12" t="s">
        <v>695</v>
      </c>
      <c r="B202" s="12" t="s">
        <v>457</v>
      </c>
      <c r="C202" s="12" t="s">
        <v>150</v>
      </c>
      <c r="D202" s="12" t="s">
        <v>489</v>
      </c>
      <c r="E202" s="12">
        <v>2.0</v>
      </c>
      <c r="F202" s="12">
        <v>1.0</v>
      </c>
      <c r="G202" s="12">
        <v>0.0</v>
      </c>
      <c r="H202" s="14">
        <v>0.0</v>
      </c>
      <c r="I202" s="15">
        <v>7.0</v>
      </c>
      <c r="J202" s="12" t="s">
        <v>462</v>
      </c>
      <c r="K202" s="12">
        <v>40.0</v>
      </c>
      <c r="L202" s="12" t="s">
        <v>501</v>
      </c>
    </row>
    <row r="203" ht="15.75" customHeight="1">
      <c r="A203" s="17" t="s">
        <v>696</v>
      </c>
      <c r="B203" s="17" t="s">
        <v>457</v>
      </c>
      <c r="C203" s="17" t="s">
        <v>324</v>
      </c>
      <c r="D203" s="17" t="s">
        <v>458</v>
      </c>
      <c r="E203" s="17">
        <v>5.0</v>
      </c>
      <c r="F203" s="17">
        <v>1.0</v>
      </c>
      <c r="G203" s="17">
        <v>0.0</v>
      </c>
      <c r="H203" s="19">
        <v>0.0</v>
      </c>
      <c r="I203" s="20">
        <v>7.0</v>
      </c>
      <c r="J203" s="17" t="s">
        <v>462</v>
      </c>
      <c r="K203" s="17">
        <v>70.0</v>
      </c>
      <c r="L203" s="17" t="s">
        <v>473</v>
      </c>
    </row>
    <row r="204" ht="15.75" customHeight="1">
      <c r="A204" s="12" t="s">
        <v>697</v>
      </c>
      <c r="B204" s="12" t="s">
        <v>457</v>
      </c>
      <c r="C204" s="12" t="s">
        <v>92</v>
      </c>
      <c r="D204" s="12" t="s">
        <v>489</v>
      </c>
      <c r="E204" s="12">
        <v>2.0</v>
      </c>
      <c r="F204" s="12">
        <v>1.0</v>
      </c>
      <c r="G204" s="12">
        <v>0.0</v>
      </c>
      <c r="H204" s="14">
        <v>0.0</v>
      </c>
      <c r="I204" s="15">
        <v>7.0</v>
      </c>
      <c r="J204" s="12" t="s">
        <v>462</v>
      </c>
      <c r="K204" s="12">
        <v>40.0</v>
      </c>
      <c r="L204" s="12" t="s">
        <v>501</v>
      </c>
    </row>
    <row r="205" ht="15.75" customHeight="1">
      <c r="A205" s="17" t="s">
        <v>700</v>
      </c>
      <c r="B205" s="17" t="s">
        <v>457</v>
      </c>
      <c r="C205" s="17" t="s">
        <v>92</v>
      </c>
      <c r="D205" s="17" t="s">
        <v>489</v>
      </c>
      <c r="E205" s="17">
        <v>2.0</v>
      </c>
      <c r="F205" s="17">
        <v>1.0</v>
      </c>
      <c r="G205" s="17">
        <v>0.0</v>
      </c>
      <c r="H205" s="19">
        <v>0.0</v>
      </c>
      <c r="I205" s="20">
        <v>7.0</v>
      </c>
      <c r="J205" s="17" t="s">
        <v>462</v>
      </c>
      <c r="K205" s="17">
        <v>40.0</v>
      </c>
      <c r="L205" s="17" t="s">
        <v>501</v>
      </c>
    </row>
    <row r="206" ht="15.75" customHeight="1">
      <c r="A206" s="12" t="s">
        <v>703</v>
      </c>
      <c r="B206" s="12" t="s">
        <v>457</v>
      </c>
      <c r="C206" s="12" t="s">
        <v>92</v>
      </c>
      <c r="D206" s="12" t="s">
        <v>489</v>
      </c>
      <c r="E206" s="12">
        <v>2.0</v>
      </c>
      <c r="F206" s="12">
        <v>1.0</v>
      </c>
      <c r="G206" s="12">
        <v>0.0</v>
      </c>
      <c r="H206" s="14">
        <v>0.0</v>
      </c>
      <c r="I206" s="15">
        <v>8.0</v>
      </c>
      <c r="J206" s="12" t="s">
        <v>462</v>
      </c>
      <c r="K206" s="12">
        <v>40.0</v>
      </c>
      <c r="L206" s="12" t="s">
        <v>501</v>
      </c>
    </row>
    <row r="207" ht="15.75" customHeight="1">
      <c r="A207" s="17" t="s">
        <v>704</v>
      </c>
      <c r="B207" s="17" t="s">
        <v>457</v>
      </c>
      <c r="C207" s="17" t="s">
        <v>22</v>
      </c>
      <c r="D207" s="17" t="s">
        <v>458</v>
      </c>
      <c r="E207" s="17">
        <v>5.0</v>
      </c>
      <c r="F207" s="17">
        <v>1.0</v>
      </c>
      <c r="G207" s="17">
        <v>0.0</v>
      </c>
      <c r="H207" s="19">
        <v>0.0</v>
      </c>
      <c r="I207" s="20">
        <v>8.0</v>
      </c>
      <c r="J207" s="17" t="s">
        <v>462</v>
      </c>
      <c r="K207" s="17">
        <v>70.0</v>
      </c>
      <c r="L207" s="17" t="s">
        <v>473</v>
      </c>
    </row>
    <row r="208" ht="15.75" customHeight="1">
      <c r="A208" s="12" t="s">
        <v>706</v>
      </c>
      <c r="B208" s="12" t="s">
        <v>457</v>
      </c>
      <c r="C208" s="12" t="s">
        <v>92</v>
      </c>
      <c r="D208" s="12" t="s">
        <v>489</v>
      </c>
      <c r="E208" s="12">
        <v>2.0</v>
      </c>
      <c r="F208" s="12">
        <v>1.0</v>
      </c>
      <c r="G208" s="12">
        <v>0.0</v>
      </c>
      <c r="H208" s="14">
        <v>0.0</v>
      </c>
      <c r="I208" s="15">
        <v>8.0</v>
      </c>
      <c r="J208" s="12" t="s">
        <v>462</v>
      </c>
      <c r="K208" s="12">
        <v>40.0</v>
      </c>
      <c r="L208" s="12" t="s">
        <v>501</v>
      </c>
    </row>
    <row r="209" ht="15.75" customHeight="1">
      <c r="A209" s="17" t="s">
        <v>708</v>
      </c>
      <c r="B209" s="17" t="s">
        <v>457</v>
      </c>
      <c r="C209" s="17" t="s">
        <v>32</v>
      </c>
      <c r="D209" s="17" t="s">
        <v>458</v>
      </c>
      <c r="E209" s="17">
        <v>5.0</v>
      </c>
      <c r="F209" s="17">
        <v>1.0</v>
      </c>
      <c r="G209" s="17">
        <v>0.0</v>
      </c>
      <c r="H209" s="19">
        <v>0.0</v>
      </c>
      <c r="I209" s="20">
        <v>8.0</v>
      </c>
      <c r="J209" s="17" t="s">
        <v>462</v>
      </c>
      <c r="K209" s="17">
        <v>70.0</v>
      </c>
      <c r="L209" s="17" t="s">
        <v>473</v>
      </c>
    </row>
    <row r="210" ht="15.75" customHeight="1">
      <c r="A210" s="12" t="s">
        <v>709</v>
      </c>
      <c r="B210" s="12" t="s">
        <v>457</v>
      </c>
      <c r="C210" s="12" t="s">
        <v>27</v>
      </c>
      <c r="D210" s="12" t="s">
        <v>489</v>
      </c>
      <c r="E210" s="12">
        <v>5.0</v>
      </c>
      <c r="F210" s="12">
        <v>1.0</v>
      </c>
      <c r="G210" s="12">
        <v>0.0</v>
      </c>
      <c r="H210" s="14">
        <v>0.0</v>
      </c>
      <c r="I210" s="15">
        <v>9.0</v>
      </c>
      <c r="J210" s="12" t="s">
        <v>462</v>
      </c>
      <c r="K210" s="12">
        <v>70.0</v>
      </c>
      <c r="L210" s="12" t="s">
        <v>473</v>
      </c>
    </row>
    <row r="211" ht="15.75" customHeight="1">
      <c r="A211" s="17" t="s">
        <v>713</v>
      </c>
      <c r="B211" s="17" t="s">
        <v>457</v>
      </c>
      <c r="C211" s="17" t="s">
        <v>92</v>
      </c>
      <c r="D211" s="17" t="s">
        <v>489</v>
      </c>
      <c r="E211" s="17">
        <v>2.0</v>
      </c>
      <c r="F211" s="17">
        <v>1.0</v>
      </c>
      <c r="G211" s="17">
        <v>0.0</v>
      </c>
      <c r="H211" s="19">
        <v>0.0</v>
      </c>
      <c r="I211" s="20">
        <v>9.0</v>
      </c>
      <c r="J211" s="17" t="s">
        <v>462</v>
      </c>
      <c r="K211" s="17">
        <v>40.0</v>
      </c>
      <c r="L211" s="17" t="s">
        <v>501</v>
      </c>
    </row>
    <row r="212" ht="15.75" customHeight="1">
      <c r="A212" s="12" t="s">
        <v>716</v>
      </c>
      <c r="B212" s="12" t="s">
        <v>76</v>
      </c>
      <c r="C212" s="12" t="s">
        <v>210</v>
      </c>
      <c r="D212" s="12" t="s">
        <v>489</v>
      </c>
      <c r="E212" s="12">
        <v>2.0</v>
      </c>
      <c r="F212" s="12">
        <v>1.0</v>
      </c>
      <c r="G212" s="12">
        <v>0.0</v>
      </c>
      <c r="H212" s="14">
        <v>0.0</v>
      </c>
      <c r="I212" s="15">
        <v>10.0</v>
      </c>
      <c r="J212" s="12" t="s">
        <v>462</v>
      </c>
      <c r="K212" s="12">
        <v>40.0</v>
      </c>
      <c r="L212" s="12" t="s">
        <v>501</v>
      </c>
    </row>
    <row r="213" ht="15.75" customHeight="1">
      <c r="A213" s="17" t="s">
        <v>717</v>
      </c>
      <c r="B213" s="17" t="s">
        <v>457</v>
      </c>
      <c r="C213" s="17" t="s">
        <v>92</v>
      </c>
      <c r="D213" s="17" t="s">
        <v>458</v>
      </c>
      <c r="E213" s="17">
        <v>5.0</v>
      </c>
      <c r="F213" s="17">
        <v>1.0</v>
      </c>
      <c r="G213" s="17">
        <v>0.0</v>
      </c>
      <c r="H213" s="19">
        <v>0.0</v>
      </c>
      <c r="I213" s="20">
        <v>10.0</v>
      </c>
      <c r="J213" s="17" t="s">
        <v>462</v>
      </c>
      <c r="K213" s="17">
        <v>70.0</v>
      </c>
      <c r="L213" s="17" t="s">
        <v>473</v>
      </c>
    </row>
    <row r="214" ht="15.75" customHeight="1">
      <c r="A214" s="12" t="s">
        <v>719</v>
      </c>
      <c r="B214" s="12" t="s">
        <v>413</v>
      </c>
      <c r="C214" s="12" t="s">
        <v>210</v>
      </c>
      <c r="D214" s="12" t="s">
        <v>458</v>
      </c>
      <c r="E214" s="12">
        <v>5.0</v>
      </c>
      <c r="F214" s="12">
        <v>1.0</v>
      </c>
      <c r="G214" s="12">
        <v>0.0</v>
      </c>
      <c r="H214" s="14">
        <v>0.0</v>
      </c>
      <c r="I214" s="15">
        <v>10.0</v>
      </c>
      <c r="J214" s="12" t="s">
        <v>462</v>
      </c>
      <c r="K214" s="12">
        <v>70.0</v>
      </c>
      <c r="L214" s="12" t="s">
        <v>473</v>
      </c>
    </row>
    <row r="215" ht="15.75" customHeight="1">
      <c r="A215" s="17" t="s">
        <v>720</v>
      </c>
      <c r="B215" s="17" t="s">
        <v>476</v>
      </c>
      <c r="C215" s="17" t="s">
        <v>34</v>
      </c>
      <c r="D215" s="17" t="s">
        <v>458</v>
      </c>
      <c r="E215" s="17">
        <v>5.0</v>
      </c>
      <c r="F215" s="17">
        <v>1.0</v>
      </c>
      <c r="G215" s="17">
        <v>0.0</v>
      </c>
      <c r="H215" s="19">
        <v>0.0</v>
      </c>
      <c r="I215" s="20">
        <v>10.0</v>
      </c>
      <c r="J215" s="17" t="s">
        <v>462</v>
      </c>
      <c r="K215" s="17">
        <v>70.0</v>
      </c>
      <c r="L215" s="17" t="s">
        <v>473</v>
      </c>
    </row>
    <row r="216" ht="15.75" customHeight="1">
      <c r="A216" s="12" t="s">
        <v>723</v>
      </c>
      <c r="B216" s="12" t="s">
        <v>457</v>
      </c>
      <c r="C216" s="12" t="s">
        <v>34</v>
      </c>
      <c r="D216" s="12" t="s">
        <v>489</v>
      </c>
      <c r="E216" s="12">
        <v>5.0</v>
      </c>
      <c r="F216" s="12">
        <v>1.0</v>
      </c>
      <c r="G216" s="12">
        <v>0.0</v>
      </c>
      <c r="H216" s="14">
        <v>0.0</v>
      </c>
      <c r="I216" s="15">
        <v>10.0</v>
      </c>
      <c r="J216" s="12" t="s">
        <v>462</v>
      </c>
      <c r="K216" s="12">
        <v>70.0</v>
      </c>
      <c r="L216" s="12" t="s">
        <v>473</v>
      </c>
    </row>
    <row r="217" ht="15.75" customHeight="1">
      <c r="A217" s="17" t="s">
        <v>725</v>
      </c>
      <c r="B217" s="17" t="s">
        <v>476</v>
      </c>
      <c r="C217" s="17" t="s">
        <v>92</v>
      </c>
      <c r="D217" s="17" t="s">
        <v>489</v>
      </c>
      <c r="E217" s="17">
        <v>2.0</v>
      </c>
      <c r="F217" s="17">
        <v>1.0</v>
      </c>
      <c r="G217" s="17">
        <v>0.0</v>
      </c>
      <c r="H217" s="19">
        <v>0.0</v>
      </c>
      <c r="I217" s="20">
        <v>10.0</v>
      </c>
      <c r="J217" s="17" t="s">
        <v>462</v>
      </c>
      <c r="K217" s="17">
        <v>40.0</v>
      </c>
      <c r="L217" s="17" t="s">
        <v>501</v>
      </c>
    </row>
    <row r="218" ht="15.75" customHeight="1">
      <c r="A218" s="12" t="s">
        <v>726</v>
      </c>
      <c r="B218" s="12" t="s">
        <v>132</v>
      </c>
      <c r="C218" s="12" t="s">
        <v>22</v>
      </c>
      <c r="D218" s="12" t="s">
        <v>489</v>
      </c>
      <c r="E218" s="12">
        <v>2.0</v>
      </c>
      <c r="F218" s="12">
        <v>1.0</v>
      </c>
      <c r="G218" s="12">
        <v>0.0</v>
      </c>
      <c r="H218" s="14">
        <v>0.0</v>
      </c>
      <c r="I218" s="15">
        <v>11.0</v>
      </c>
      <c r="J218" s="12" t="s">
        <v>462</v>
      </c>
      <c r="K218" s="12">
        <v>40.0</v>
      </c>
      <c r="L218" s="12" t="s">
        <v>501</v>
      </c>
    </row>
    <row r="219" ht="15.75" customHeight="1">
      <c r="A219" s="17" t="s">
        <v>729</v>
      </c>
      <c r="B219" s="17" t="s">
        <v>132</v>
      </c>
      <c r="C219" s="17" t="s">
        <v>27</v>
      </c>
      <c r="D219" s="17" t="s">
        <v>489</v>
      </c>
      <c r="E219" s="17">
        <v>5.0</v>
      </c>
      <c r="F219" s="17">
        <v>1.0</v>
      </c>
      <c r="G219" s="17">
        <v>0.0</v>
      </c>
      <c r="H219" s="19">
        <v>0.0</v>
      </c>
      <c r="I219" s="20">
        <v>11.0</v>
      </c>
      <c r="J219" s="17" t="s">
        <v>462</v>
      </c>
      <c r="K219" s="17">
        <v>70.0</v>
      </c>
      <c r="L219" s="17" t="s">
        <v>473</v>
      </c>
    </row>
    <row r="220" ht="15.75" customHeight="1">
      <c r="A220" s="12" t="s">
        <v>733</v>
      </c>
      <c r="B220" s="12" t="s">
        <v>413</v>
      </c>
      <c r="C220" s="12" t="s">
        <v>27</v>
      </c>
      <c r="D220" s="12" t="s">
        <v>489</v>
      </c>
      <c r="E220" s="12">
        <v>2.0</v>
      </c>
      <c r="F220" s="12">
        <v>1.0</v>
      </c>
      <c r="G220" s="12">
        <v>0.0</v>
      </c>
      <c r="H220" s="14">
        <v>0.0</v>
      </c>
      <c r="I220" s="15">
        <v>11.0</v>
      </c>
      <c r="J220" s="12" t="s">
        <v>462</v>
      </c>
      <c r="K220" s="12">
        <v>40.0</v>
      </c>
      <c r="L220" s="12" t="s">
        <v>501</v>
      </c>
    </row>
    <row r="221" ht="15.75" customHeight="1">
      <c r="A221" s="17" t="s">
        <v>734</v>
      </c>
      <c r="B221" s="17" t="s">
        <v>457</v>
      </c>
      <c r="C221" s="17" t="s">
        <v>27</v>
      </c>
      <c r="D221" s="17" t="s">
        <v>458</v>
      </c>
      <c r="E221" s="17">
        <v>5.0</v>
      </c>
      <c r="F221" s="17">
        <v>1.0</v>
      </c>
      <c r="G221" s="17">
        <v>0.0</v>
      </c>
      <c r="H221" s="19">
        <v>0.0</v>
      </c>
      <c r="I221" s="20">
        <v>11.0</v>
      </c>
      <c r="J221" s="17" t="s">
        <v>462</v>
      </c>
      <c r="K221" s="17">
        <v>70.0</v>
      </c>
      <c r="L221" s="17" t="s">
        <v>473</v>
      </c>
    </row>
    <row r="222" ht="15.75" customHeight="1">
      <c r="A222" s="12" t="s">
        <v>735</v>
      </c>
      <c r="B222" s="12" t="s">
        <v>457</v>
      </c>
      <c r="C222" s="12" t="s">
        <v>22</v>
      </c>
      <c r="D222" s="12" t="s">
        <v>489</v>
      </c>
      <c r="E222" s="12">
        <v>2.0</v>
      </c>
      <c r="F222" s="12">
        <v>1.0</v>
      </c>
      <c r="G222" s="12">
        <v>0.0</v>
      </c>
      <c r="H222" s="14">
        <v>0.0</v>
      </c>
      <c r="I222" s="15">
        <v>12.0</v>
      </c>
      <c r="J222" s="12" t="s">
        <v>462</v>
      </c>
      <c r="K222" s="12">
        <v>40.0</v>
      </c>
      <c r="L222" s="12" t="s">
        <v>501</v>
      </c>
    </row>
    <row r="223" ht="15.75" customHeight="1">
      <c r="A223" s="17" t="s">
        <v>737</v>
      </c>
      <c r="B223" s="17" t="s">
        <v>457</v>
      </c>
      <c r="C223" s="17" t="s">
        <v>210</v>
      </c>
      <c r="D223" s="17" t="s">
        <v>458</v>
      </c>
      <c r="E223" s="17">
        <v>5.0</v>
      </c>
      <c r="F223" s="17">
        <v>1.0</v>
      </c>
      <c r="G223" s="17">
        <v>0.0</v>
      </c>
      <c r="H223" s="19">
        <v>0.0</v>
      </c>
      <c r="I223" s="20">
        <v>13.0</v>
      </c>
      <c r="J223" s="17" t="s">
        <v>462</v>
      </c>
      <c r="K223" s="17">
        <v>70.0</v>
      </c>
      <c r="L223" s="17" t="s">
        <v>473</v>
      </c>
    </row>
    <row r="224" ht="15.75" customHeight="1">
      <c r="A224" s="12" t="s">
        <v>739</v>
      </c>
      <c r="B224" s="12" t="s">
        <v>457</v>
      </c>
      <c r="C224" s="12" t="s">
        <v>32</v>
      </c>
      <c r="D224" s="12" t="s">
        <v>458</v>
      </c>
      <c r="E224" s="12">
        <v>5.0</v>
      </c>
      <c r="F224" s="12">
        <v>1.0</v>
      </c>
      <c r="G224" s="12">
        <v>0.0</v>
      </c>
      <c r="H224" s="14">
        <v>0.0</v>
      </c>
      <c r="I224" s="15">
        <v>13.0</v>
      </c>
      <c r="J224" s="12" t="s">
        <v>462</v>
      </c>
      <c r="K224" s="12">
        <v>70.0</v>
      </c>
      <c r="L224" s="12" t="s">
        <v>473</v>
      </c>
    </row>
    <row r="225" ht="15.75" customHeight="1">
      <c r="A225" s="17" t="s">
        <v>740</v>
      </c>
      <c r="B225" s="17" t="s">
        <v>457</v>
      </c>
      <c r="C225" s="17" t="s">
        <v>92</v>
      </c>
      <c r="D225" s="17" t="s">
        <v>489</v>
      </c>
      <c r="E225" s="17">
        <v>2.0</v>
      </c>
      <c r="F225" s="17">
        <v>1.0</v>
      </c>
      <c r="G225" s="17">
        <v>0.0</v>
      </c>
      <c r="H225" s="19">
        <v>0.0</v>
      </c>
      <c r="I225" s="20">
        <v>13.0</v>
      </c>
      <c r="J225" s="17" t="s">
        <v>462</v>
      </c>
      <c r="K225" s="17">
        <v>40.0</v>
      </c>
      <c r="L225" s="17" t="s">
        <v>501</v>
      </c>
    </row>
    <row r="226" ht="15.75" customHeight="1">
      <c r="A226" s="12" t="s">
        <v>741</v>
      </c>
      <c r="B226" s="12" t="s">
        <v>457</v>
      </c>
      <c r="C226" s="12" t="s">
        <v>210</v>
      </c>
      <c r="D226" s="12" t="s">
        <v>458</v>
      </c>
      <c r="E226" s="12">
        <v>5.0</v>
      </c>
      <c r="F226" s="12">
        <v>1.0</v>
      </c>
      <c r="G226" s="12">
        <v>0.0</v>
      </c>
      <c r="H226" s="14">
        <v>0.0</v>
      </c>
      <c r="I226" s="15">
        <v>15.0</v>
      </c>
      <c r="J226" s="12" t="s">
        <v>462</v>
      </c>
      <c r="K226" s="12">
        <v>70.0</v>
      </c>
      <c r="L226" s="12" t="s">
        <v>473</v>
      </c>
    </row>
    <row r="227" ht="15.75" customHeight="1">
      <c r="A227" s="17" t="s">
        <v>742</v>
      </c>
      <c r="B227" s="17" t="s">
        <v>457</v>
      </c>
      <c r="C227" s="17" t="s">
        <v>92</v>
      </c>
      <c r="D227" s="17" t="s">
        <v>489</v>
      </c>
      <c r="E227" s="17">
        <v>2.0</v>
      </c>
      <c r="F227" s="17">
        <v>1.0</v>
      </c>
      <c r="G227" s="17">
        <v>0.0</v>
      </c>
      <c r="H227" s="19">
        <v>0.0</v>
      </c>
      <c r="I227" s="20">
        <v>15.0</v>
      </c>
      <c r="J227" s="17" t="s">
        <v>462</v>
      </c>
      <c r="K227" s="17">
        <v>40.0</v>
      </c>
      <c r="L227" s="17" t="s">
        <v>501</v>
      </c>
    </row>
    <row r="228" ht="15.75" customHeight="1">
      <c r="A228" s="12" t="s">
        <v>746</v>
      </c>
      <c r="B228" s="12" t="s">
        <v>457</v>
      </c>
      <c r="C228" s="12" t="s">
        <v>32</v>
      </c>
      <c r="D228" s="12" t="s">
        <v>458</v>
      </c>
      <c r="E228" s="12">
        <v>5.0</v>
      </c>
      <c r="F228" s="12">
        <v>1.0</v>
      </c>
      <c r="G228" s="12">
        <v>0.0</v>
      </c>
      <c r="H228" s="14">
        <v>0.0</v>
      </c>
      <c r="I228" s="15">
        <v>19.0</v>
      </c>
      <c r="J228" s="12" t="s">
        <v>462</v>
      </c>
      <c r="K228" s="12">
        <v>70.0</v>
      </c>
      <c r="L228" s="12" t="s">
        <v>473</v>
      </c>
    </row>
    <row r="229" ht="15.75" customHeight="1">
      <c r="A229" s="17" t="s">
        <v>747</v>
      </c>
      <c r="B229" s="17" t="s">
        <v>457</v>
      </c>
      <c r="C229" s="17" t="s">
        <v>85</v>
      </c>
      <c r="D229" s="17" t="s">
        <v>489</v>
      </c>
      <c r="E229" s="17">
        <v>5.0</v>
      </c>
      <c r="F229" s="17">
        <v>1.0</v>
      </c>
      <c r="G229" s="17">
        <v>0.0</v>
      </c>
      <c r="H229" s="19">
        <v>0.0</v>
      </c>
      <c r="I229" s="20">
        <v>21.0</v>
      </c>
      <c r="J229" s="17" t="s">
        <v>462</v>
      </c>
      <c r="K229" s="17">
        <v>50.0</v>
      </c>
      <c r="L229" s="17" t="s">
        <v>501</v>
      </c>
    </row>
    <row r="230" ht="15.75" customHeight="1">
      <c r="A230" s="12" t="s">
        <v>748</v>
      </c>
      <c r="B230" s="12" t="s">
        <v>457</v>
      </c>
      <c r="C230" s="12" t="s">
        <v>27</v>
      </c>
      <c r="D230" s="12" t="s">
        <v>458</v>
      </c>
      <c r="E230" s="12">
        <v>5.0</v>
      </c>
      <c r="F230" s="12">
        <v>1.0</v>
      </c>
      <c r="G230" s="12">
        <v>0.0</v>
      </c>
      <c r="H230" s="14">
        <v>0.0</v>
      </c>
      <c r="I230" s="15">
        <v>22.0</v>
      </c>
      <c r="J230" s="12" t="s">
        <v>462</v>
      </c>
      <c r="K230" s="12">
        <v>50.0</v>
      </c>
      <c r="L230" s="12" t="s">
        <v>501</v>
      </c>
    </row>
    <row r="231" ht="15.75" customHeight="1">
      <c r="A231" s="17" t="s">
        <v>749</v>
      </c>
      <c r="B231" s="17" t="s">
        <v>457</v>
      </c>
      <c r="C231" s="17" t="s">
        <v>85</v>
      </c>
      <c r="D231" s="17" t="s">
        <v>458</v>
      </c>
      <c r="E231" s="17">
        <v>5.0</v>
      </c>
      <c r="F231" s="17">
        <v>1.0</v>
      </c>
      <c r="G231" s="17">
        <v>0.0</v>
      </c>
      <c r="H231" s="19">
        <v>0.0</v>
      </c>
      <c r="I231" s="20">
        <v>23.0</v>
      </c>
      <c r="J231" s="17" t="s">
        <v>462</v>
      </c>
      <c r="K231" s="17">
        <v>50.0</v>
      </c>
      <c r="L231" s="17" t="s">
        <v>501</v>
      </c>
    </row>
    <row r="232" ht="15.75" customHeight="1">
      <c r="A232" s="12" t="s">
        <v>752</v>
      </c>
      <c r="B232" s="12" t="s">
        <v>457</v>
      </c>
      <c r="C232" s="12" t="s">
        <v>27</v>
      </c>
      <c r="D232" s="12" t="s">
        <v>458</v>
      </c>
      <c r="E232" s="12">
        <v>5.0</v>
      </c>
      <c r="F232" s="12">
        <v>1.0</v>
      </c>
      <c r="G232" s="12">
        <v>0.0</v>
      </c>
      <c r="H232" s="14">
        <v>0.0</v>
      </c>
      <c r="I232" s="15">
        <v>25.0</v>
      </c>
      <c r="J232" s="12" t="s">
        <v>462</v>
      </c>
      <c r="K232" s="12">
        <v>50.0</v>
      </c>
      <c r="L232" s="12" t="s">
        <v>501</v>
      </c>
    </row>
    <row r="233" ht="15.75" customHeight="1">
      <c r="A233" s="17" t="s">
        <v>753</v>
      </c>
      <c r="B233" s="17" t="s">
        <v>457</v>
      </c>
      <c r="C233" s="17" t="s">
        <v>22</v>
      </c>
      <c r="D233" s="17" t="s">
        <v>458</v>
      </c>
      <c r="E233" s="17">
        <v>5.0</v>
      </c>
      <c r="F233" s="17">
        <v>1.0</v>
      </c>
      <c r="G233" s="17">
        <v>0.0</v>
      </c>
      <c r="H233" s="19">
        <v>0.0</v>
      </c>
      <c r="I233" s="20">
        <v>25.0</v>
      </c>
      <c r="J233" s="17" t="s">
        <v>462</v>
      </c>
      <c r="K233" s="17">
        <v>50.0</v>
      </c>
      <c r="L233" s="17" t="s">
        <v>501</v>
      </c>
    </row>
    <row r="234" ht="15.75" customHeight="1">
      <c r="A234" s="12" t="s">
        <v>757</v>
      </c>
      <c r="B234" s="12" t="s">
        <v>457</v>
      </c>
      <c r="C234" s="12" t="s">
        <v>27</v>
      </c>
      <c r="D234" s="12" t="s">
        <v>458</v>
      </c>
      <c r="E234" s="12">
        <v>5.0</v>
      </c>
      <c r="F234" s="12">
        <v>1.0</v>
      </c>
      <c r="G234" s="12">
        <v>0.0</v>
      </c>
      <c r="H234" s="14">
        <v>0.0</v>
      </c>
      <c r="I234" s="15">
        <v>26.0</v>
      </c>
      <c r="J234" s="12" t="s">
        <v>462</v>
      </c>
      <c r="K234" s="12">
        <v>50.0</v>
      </c>
      <c r="L234" s="12" t="s">
        <v>501</v>
      </c>
    </row>
    <row r="235" ht="15.75" customHeight="1">
      <c r="A235" s="17" t="s">
        <v>758</v>
      </c>
      <c r="B235" s="17" t="s">
        <v>413</v>
      </c>
      <c r="C235" s="17" t="s">
        <v>27</v>
      </c>
      <c r="D235" s="17" t="s">
        <v>489</v>
      </c>
      <c r="E235" s="17">
        <v>2.0</v>
      </c>
      <c r="F235" s="17">
        <v>1.0</v>
      </c>
      <c r="G235" s="17">
        <v>0.0</v>
      </c>
      <c r="H235" s="19">
        <v>0.0</v>
      </c>
      <c r="I235" s="20">
        <v>26.0</v>
      </c>
      <c r="J235" s="17" t="s">
        <v>462</v>
      </c>
      <c r="K235" s="17">
        <v>20.0</v>
      </c>
      <c r="L235" s="17" t="s">
        <v>501</v>
      </c>
    </row>
    <row r="236" ht="15.75" customHeight="1">
      <c r="A236" s="12" t="s">
        <v>760</v>
      </c>
      <c r="B236" s="12" t="s">
        <v>457</v>
      </c>
      <c r="C236" s="12" t="s">
        <v>22</v>
      </c>
      <c r="D236" s="12" t="s">
        <v>489</v>
      </c>
      <c r="E236" s="12">
        <v>2.0</v>
      </c>
      <c r="F236" s="12">
        <v>1.0</v>
      </c>
      <c r="G236" s="12">
        <v>0.0</v>
      </c>
      <c r="H236" s="14">
        <v>0.0</v>
      </c>
      <c r="I236" s="15">
        <v>28.0</v>
      </c>
      <c r="J236" s="12" t="s">
        <v>462</v>
      </c>
      <c r="K236" s="12">
        <v>20.0</v>
      </c>
      <c r="L236" s="12" t="s">
        <v>501</v>
      </c>
    </row>
    <row r="237" ht="15.75" customHeight="1">
      <c r="A237" s="17" t="s">
        <v>761</v>
      </c>
      <c r="B237" s="17" t="s">
        <v>457</v>
      </c>
      <c r="C237" s="17" t="s">
        <v>92</v>
      </c>
      <c r="D237" s="17" t="s">
        <v>458</v>
      </c>
      <c r="E237" s="17">
        <v>5.0</v>
      </c>
      <c r="F237" s="17">
        <v>1.0</v>
      </c>
      <c r="G237" s="17">
        <v>0.0</v>
      </c>
      <c r="H237" s="19">
        <v>0.0</v>
      </c>
      <c r="I237" s="20">
        <v>29.0</v>
      </c>
      <c r="J237" s="17" t="s">
        <v>462</v>
      </c>
      <c r="K237" s="17">
        <v>50.0</v>
      </c>
      <c r="L237" s="17" t="s">
        <v>501</v>
      </c>
    </row>
    <row r="238" ht="15.75" customHeight="1">
      <c r="A238" s="12" t="s">
        <v>762</v>
      </c>
      <c r="B238" s="12" t="s">
        <v>457</v>
      </c>
      <c r="C238" s="12" t="s">
        <v>27</v>
      </c>
      <c r="D238" s="12" t="s">
        <v>458</v>
      </c>
      <c r="E238" s="12">
        <v>5.0</v>
      </c>
      <c r="F238" s="12">
        <v>1.0</v>
      </c>
      <c r="G238" s="12">
        <v>0.0</v>
      </c>
      <c r="H238" s="14">
        <v>0.0</v>
      </c>
      <c r="I238" s="15">
        <v>30.0</v>
      </c>
      <c r="J238" s="12" t="s">
        <v>462</v>
      </c>
      <c r="K238" s="12">
        <v>50.0</v>
      </c>
      <c r="L238" s="12" t="s">
        <v>501</v>
      </c>
    </row>
    <row r="239" ht="15.75" customHeight="1">
      <c r="A239" s="17" t="s">
        <v>764</v>
      </c>
      <c r="B239" s="17" t="s">
        <v>457</v>
      </c>
      <c r="C239" s="17" t="s">
        <v>85</v>
      </c>
      <c r="D239" s="17" t="s">
        <v>458</v>
      </c>
      <c r="E239" s="17">
        <v>5.0</v>
      </c>
      <c r="F239" s="17">
        <v>1.0</v>
      </c>
      <c r="G239" s="17">
        <v>0.0</v>
      </c>
      <c r="H239" s="19">
        <v>0.0</v>
      </c>
      <c r="I239" s="20">
        <v>30.0</v>
      </c>
      <c r="J239" s="17" t="s">
        <v>462</v>
      </c>
      <c r="K239" s="17">
        <v>50.0</v>
      </c>
      <c r="L239" s="17" t="s">
        <v>501</v>
      </c>
    </row>
    <row r="240" ht="15.75" customHeight="1">
      <c r="A240" s="12" t="s">
        <v>769</v>
      </c>
      <c r="B240" s="12" t="s">
        <v>457</v>
      </c>
      <c r="C240" s="12" t="s">
        <v>27</v>
      </c>
      <c r="D240" s="12" t="s">
        <v>458</v>
      </c>
      <c r="E240" s="12">
        <v>5.0</v>
      </c>
      <c r="F240" s="12">
        <v>1.0</v>
      </c>
      <c r="G240" s="12">
        <v>0.0</v>
      </c>
      <c r="H240" s="14">
        <v>0.0</v>
      </c>
      <c r="I240" s="15">
        <v>31.0</v>
      </c>
      <c r="J240" s="12" t="s">
        <v>462</v>
      </c>
      <c r="K240" s="12">
        <v>50.0</v>
      </c>
      <c r="L240" s="12" t="s">
        <v>501</v>
      </c>
    </row>
    <row r="241" ht="15.75" customHeight="1">
      <c r="A241" s="17" t="s">
        <v>770</v>
      </c>
      <c r="B241" s="17" t="s">
        <v>457</v>
      </c>
      <c r="C241" s="17" t="s">
        <v>85</v>
      </c>
      <c r="D241" s="17" t="s">
        <v>458</v>
      </c>
      <c r="E241" s="17">
        <v>5.0</v>
      </c>
      <c r="F241" s="17">
        <v>1.0</v>
      </c>
      <c r="G241" s="17">
        <v>0.0</v>
      </c>
      <c r="H241" s="19">
        <v>0.0</v>
      </c>
      <c r="I241" s="20">
        <v>32.0</v>
      </c>
      <c r="J241" s="17" t="s">
        <v>462</v>
      </c>
      <c r="K241" s="17">
        <v>50.0</v>
      </c>
      <c r="L241" s="17" t="s">
        <v>501</v>
      </c>
    </row>
    <row r="242" ht="15.75" customHeight="1">
      <c r="A242" s="12" t="s">
        <v>772</v>
      </c>
      <c r="B242" s="12" t="s">
        <v>457</v>
      </c>
      <c r="C242" s="12" t="s">
        <v>85</v>
      </c>
      <c r="D242" s="12" t="s">
        <v>458</v>
      </c>
      <c r="E242" s="12">
        <v>5.0</v>
      </c>
      <c r="F242" s="12">
        <v>1.0</v>
      </c>
      <c r="G242" s="12">
        <v>0.0</v>
      </c>
      <c r="H242" s="14">
        <v>0.0</v>
      </c>
      <c r="I242" s="15">
        <v>34.0</v>
      </c>
      <c r="J242" s="12" t="s">
        <v>462</v>
      </c>
      <c r="K242" s="12">
        <v>50.0</v>
      </c>
      <c r="L242" s="12" t="s">
        <v>501</v>
      </c>
    </row>
    <row r="243" ht="15.75" customHeight="1">
      <c r="A243" s="17" t="s">
        <v>775</v>
      </c>
      <c r="B243" s="17" t="s">
        <v>476</v>
      </c>
      <c r="C243" s="17" t="s">
        <v>32</v>
      </c>
      <c r="D243" s="17" t="s">
        <v>458</v>
      </c>
      <c r="E243" s="17">
        <v>5.0</v>
      </c>
      <c r="F243" s="17">
        <v>1.0</v>
      </c>
      <c r="G243" s="17">
        <v>0.0</v>
      </c>
      <c r="H243" s="19">
        <v>0.0</v>
      </c>
      <c r="I243" s="20">
        <v>34.0</v>
      </c>
      <c r="J243" s="17" t="s">
        <v>462</v>
      </c>
      <c r="K243" s="17">
        <v>50.0</v>
      </c>
      <c r="L243" s="17" t="s">
        <v>501</v>
      </c>
    </row>
    <row r="244" ht="15.75" customHeight="1">
      <c r="A244" s="12" t="s">
        <v>780</v>
      </c>
      <c r="B244" s="12" t="s">
        <v>457</v>
      </c>
      <c r="C244" s="12" t="s">
        <v>85</v>
      </c>
      <c r="D244" s="12" t="s">
        <v>489</v>
      </c>
      <c r="E244" s="12">
        <v>5.0</v>
      </c>
      <c r="F244" s="12">
        <v>1.0</v>
      </c>
      <c r="G244" s="12">
        <v>0.0</v>
      </c>
      <c r="H244" s="14">
        <v>0.0</v>
      </c>
      <c r="I244" s="15">
        <v>35.0</v>
      </c>
      <c r="J244" s="12" t="s">
        <v>462</v>
      </c>
      <c r="K244" s="12">
        <v>50.0</v>
      </c>
      <c r="L244" s="12" t="s">
        <v>501</v>
      </c>
    </row>
    <row r="245" ht="15.75" customHeight="1">
      <c r="A245" s="17" t="s">
        <v>782</v>
      </c>
      <c r="B245" s="17" t="s">
        <v>457</v>
      </c>
      <c r="C245" s="17" t="s">
        <v>85</v>
      </c>
      <c r="D245" s="17" t="s">
        <v>458</v>
      </c>
      <c r="E245" s="17">
        <v>5.0</v>
      </c>
      <c r="F245" s="17">
        <v>1.0</v>
      </c>
      <c r="G245" s="17">
        <v>0.0</v>
      </c>
      <c r="H245" s="19">
        <v>0.0</v>
      </c>
      <c r="I245" s="20">
        <v>35.0</v>
      </c>
      <c r="J245" s="17" t="s">
        <v>462</v>
      </c>
      <c r="K245" s="17">
        <v>50.0</v>
      </c>
      <c r="L245" s="17" t="s">
        <v>501</v>
      </c>
    </row>
    <row r="246" ht="15.75" customHeight="1">
      <c r="A246" s="12" t="s">
        <v>786</v>
      </c>
      <c r="B246" s="12" t="s">
        <v>457</v>
      </c>
      <c r="C246" s="12" t="s">
        <v>92</v>
      </c>
      <c r="D246" s="12" t="s">
        <v>489</v>
      </c>
      <c r="E246" s="12">
        <v>2.0</v>
      </c>
      <c r="F246" s="12">
        <v>1.0</v>
      </c>
      <c r="G246" s="12">
        <v>0.0</v>
      </c>
      <c r="H246" s="14">
        <v>0.0</v>
      </c>
      <c r="I246" s="15">
        <v>39.0</v>
      </c>
      <c r="J246" s="12" t="s">
        <v>462</v>
      </c>
      <c r="K246" s="12">
        <v>20.0</v>
      </c>
      <c r="L246" s="12" t="s">
        <v>501</v>
      </c>
    </row>
    <row r="247" ht="15.75" customHeight="1">
      <c r="A247" s="17" t="s">
        <v>789</v>
      </c>
      <c r="B247" s="17" t="s">
        <v>476</v>
      </c>
      <c r="C247" s="17" t="s">
        <v>32</v>
      </c>
      <c r="D247" s="17" t="s">
        <v>458</v>
      </c>
      <c r="E247" s="17">
        <v>5.0</v>
      </c>
      <c r="F247" s="17">
        <v>1.0</v>
      </c>
      <c r="G247" s="17">
        <v>0.0</v>
      </c>
      <c r="H247" s="19">
        <v>0.0</v>
      </c>
      <c r="I247" s="20">
        <v>39.0</v>
      </c>
      <c r="J247" s="17" t="s">
        <v>462</v>
      </c>
      <c r="K247" s="17">
        <v>50.0</v>
      </c>
      <c r="L247" s="17" t="s">
        <v>501</v>
      </c>
    </row>
    <row r="248" ht="15.75" customHeight="1">
      <c r="A248" s="12" t="s">
        <v>791</v>
      </c>
      <c r="B248" s="12" t="s">
        <v>457</v>
      </c>
      <c r="C248" s="12" t="s">
        <v>150</v>
      </c>
      <c r="D248" s="12" t="s">
        <v>489</v>
      </c>
      <c r="E248" s="12">
        <v>2.0</v>
      </c>
      <c r="F248" s="12">
        <v>1.0</v>
      </c>
      <c r="G248" s="12">
        <v>0.0</v>
      </c>
      <c r="H248" s="14">
        <v>0.0</v>
      </c>
      <c r="I248" s="15">
        <v>40.0</v>
      </c>
      <c r="J248" s="12" t="s">
        <v>462</v>
      </c>
      <c r="K248" s="12">
        <v>20.0</v>
      </c>
      <c r="L248" s="12" t="s">
        <v>501</v>
      </c>
    </row>
    <row r="249" ht="15.75" customHeight="1">
      <c r="A249" s="17" t="s">
        <v>792</v>
      </c>
      <c r="B249" s="17" t="s">
        <v>457</v>
      </c>
      <c r="C249" s="17" t="s">
        <v>85</v>
      </c>
      <c r="D249" s="17" t="s">
        <v>458</v>
      </c>
      <c r="E249" s="17">
        <v>5.0</v>
      </c>
      <c r="F249" s="17">
        <v>1.0</v>
      </c>
      <c r="G249" s="17">
        <v>0.0</v>
      </c>
      <c r="H249" s="19">
        <v>0.0</v>
      </c>
      <c r="I249" s="20">
        <v>42.0</v>
      </c>
      <c r="J249" s="17" t="s">
        <v>462</v>
      </c>
      <c r="K249" s="17">
        <v>50.0</v>
      </c>
      <c r="L249" s="17" t="s">
        <v>501</v>
      </c>
    </row>
    <row r="250" ht="15.75" customHeight="1">
      <c r="A250" s="12" t="s">
        <v>797</v>
      </c>
      <c r="B250" s="12" t="s">
        <v>457</v>
      </c>
      <c r="C250" s="12" t="s">
        <v>150</v>
      </c>
      <c r="D250" s="12" t="s">
        <v>489</v>
      </c>
      <c r="E250" s="12">
        <v>2.0</v>
      </c>
      <c r="F250" s="12">
        <v>1.0</v>
      </c>
      <c r="G250" s="12">
        <v>0.0</v>
      </c>
      <c r="H250" s="14">
        <v>0.0</v>
      </c>
      <c r="I250" s="15">
        <v>42.0</v>
      </c>
      <c r="J250" s="12" t="s">
        <v>462</v>
      </c>
      <c r="K250" s="12">
        <v>20.0</v>
      </c>
      <c r="L250" s="12" t="s">
        <v>501</v>
      </c>
    </row>
    <row r="251" ht="15.75" customHeight="1">
      <c r="A251" s="17" t="s">
        <v>801</v>
      </c>
      <c r="B251" s="17" t="s">
        <v>457</v>
      </c>
      <c r="C251" s="17" t="s">
        <v>85</v>
      </c>
      <c r="D251" s="17" t="s">
        <v>458</v>
      </c>
      <c r="E251" s="17">
        <v>5.0</v>
      </c>
      <c r="F251" s="17">
        <v>1.0</v>
      </c>
      <c r="G251" s="17">
        <v>0.0</v>
      </c>
      <c r="H251" s="19">
        <v>0.0</v>
      </c>
      <c r="I251" s="20">
        <v>42.0</v>
      </c>
      <c r="J251" s="17" t="s">
        <v>462</v>
      </c>
      <c r="K251" s="17">
        <v>50.0</v>
      </c>
      <c r="L251" s="17" t="s">
        <v>501</v>
      </c>
    </row>
    <row r="252" ht="15.75" customHeight="1">
      <c r="A252" s="12" t="s">
        <v>802</v>
      </c>
      <c r="B252" s="12" t="s">
        <v>457</v>
      </c>
      <c r="C252" s="12" t="s">
        <v>22</v>
      </c>
      <c r="D252" s="12" t="s">
        <v>489</v>
      </c>
      <c r="E252" s="12">
        <v>2.0</v>
      </c>
      <c r="F252" s="12">
        <v>1.0</v>
      </c>
      <c r="G252" s="12">
        <v>0.0</v>
      </c>
      <c r="H252" s="14">
        <v>0.0</v>
      </c>
      <c r="I252" s="15">
        <v>43.0</v>
      </c>
      <c r="J252" s="12" t="s">
        <v>462</v>
      </c>
      <c r="K252" s="12">
        <v>20.0</v>
      </c>
      <c r="L252" s="12" t="s">
        <v>501</v>
      </c>
    </row>
    <row r="253" ht="15.75" customHeight="1">
      <c r="A253" s="17" t="s">
        <v>807</v>
      </c>
      <c r="B253" s="17" t="s">
        <v>457</v>
      </c>
      <c r="C253" s="17" t="s">
        <v>32</v>
      </c>
      <c r="D253" s="17" t="s">
        <v>458</v>
      </c>
      <c r="E253" s="17">
        <v>5.0</v>
      </c>
      <c r="F253" s="17">
        <v>1.0</v>
      </c>
      <c r="G253" s="17">
        <v>0.0</v>
      </c>
      <c r="H253" s="19">
        <v>0.0</v>
      </c>
      <c r="I253" s="20">
        <v>45.0</v>
      </c>
      <c r="J253" s="17" t="s">
        <v>462</v>
      </c>
      <c r="K253" s="17">
        <v>50.0</v>
      </c>
      <c r="L253" s="17" t="s">
        <v>501</v>
      </c>
    </row>
    <row r="254" ht="15.75" customHeight="1">
      <c r="A254" s="12" t="s">
        <v>808</v>
      </c>
      <c r="B254" s="12" t="s">
        <v>457</v>
      </c>
      <c r="C254" s="12" t="s">
        <v>85</v>
      </c>
      <c r="D254" s="12" t="s">
        <v>458</v>
      </c>
      <c r="E254" s="12">
        <v>5.0</v>
      </c>
      <c r="F254" s="12">
        <v>1.0</v>
      </c>
      <c r="G254" s="12">
        <v>0.0</v>
      </c>
      <c r="H254" s="14">
        <v>0.0</v>
      </c>
      <c r="I254" s="15">
        <v>47.0</v>
      </c>
      <c r="J254" s="12" t="s">
        <v>462</v>
      </c>
      <c r="K254" s="12">
        <v>50.0</v>
      </c>
      <c r="L254" s="12" t="s">
        <v>501</v>
      </c>
    </row>
    <row r="255" ht="15.75" customHeight="1">
      <c r="A255" s="17" t="s">
        <v>811</v>
      </c>
      <c r="B255" s="17" t="s">
        <v>457</v>
      </c>
      <c r="C255" s="17" t="s">
        <v>150</v>
      </c>
      <c r="D255" s="17" t="s">
        <v>489</v>
      </c>
      <c r="E255" s="17">
        <v>2.0</v>
      </c>
      <c r="F255" s="17">
        <v>1.0</v>
      </c>
      <c r="G255" s="17">
        <v>0.0</v>
      </c>
      <c r="H255" s="19">
        <v>0.0</v>
      </c>
      <c r="I255" s="20">
        <v>48.0</v>
      </c>
      <c r="J255" s="17" t="s">
        <v>462</v>
      </c>
      <c r="K255" s="17">
        <v>20.0</v>
      </c>
      <c r="L255" s="17" t="s">
        <v>501</v>
      </c>
    </row>
    <row r="256" ht="15.75" customHeight="1">
      <c r="A256" s="12" t="s">
        <v>813</v>
      </c>
      <c r="B256" s="12" t="s">
        <v>457</v>
      </c>
      <c r="C256" s="12" t="s">
        <v>22</v>
      </c>
      <c r="D256" s="12" t="s">
        <v>489</v>
      </c>
      <c r="E256" s="12">
        <v>2.0</v>
      </c>
      <c r="F256" s="12">
        <v>1.0</v>
      </c>
      <c r="G256" s="12">
        <v>0.0</v>
      </c>
      <c r="H256" s="14">
        <v>0.0</v>
      </c>
      <c r="I256" s="15">
        <v>51.0</v>
      </c>
      <c r="J256" s="12" t="s">
        <v>462</v>
      </c>
      <c r="K256" s="12">
        <v>20.0</v>
      </c>
      <c r="L256" s="12" t="s">
        <v>501</v>
      </c>
    </row>
    <row r="257" ht="15.75" customHeight="1">
      <c r="A257" s="17" t="s">
        <v>815</v>
      </c>
      <c r="B257" s="17" t="s">
        <v>457</v>
      </c>
      <c r="C257" s="17" t="s">
        <v>150</v>
      </c>
      <c r="D257" s="17" t="s">
        <v>489</v>
      </c>
      <c r="E257" s="17">
        <v>2.0</v>
      </c>
      <c r="F257" s="17">
        <v>1.0</v>
      </c>
      <c r="G257" s="17">
        <v>0.0</v>
      </c>
      <c r="H257" s="19">
        <v>0.0</v>
      </c>
      <c r="I257" s="20">
        <v>52.0</v>
      </c>
      <c r="J257" s="17" t="s">
        <v>462</v>
      </c>
      <c r="K257" s="17">
        <v>20.0</v>
      </c>
      <c r="L257" s="17" t="s">
        <v>501</v>
      </c>
    </row>
    <row r="258" ht="15.75" customHeight="1">
      <c r="A258" s="12" t="s">
        <v>816</v>
      </c>
      <c r="B258" s="12" t="s">
        <v>457</v>
      </c>
      <c r="C258" s="12" t="s">
        <v>92</v>
      </c>
      <c r="D258" s="12" t="s">
        <v>489</v>
      </c>
      <c r="E258" s="12">
        <v>2.0</v>
      </c>
      <c r="F258" s="12">
        <v>1.0</v>
      </c>
      <c r="G258" s="12">
        <v>0.0</v>
      </c>
      <c r="H258" s="14">
        <v>0.0</v>
      </c>
      <c r="I258" s="15">
        <v>58.0</v>
      </c>
      <c r="J258" s="12" t="s">
        <v>462</v>
      </c>
      <c r="K258" s="12">
        <v>20.0</v>
      </c>
      <c r="L258" s="12" t="s">
        <v>501</v>
      </c>
    </row>
    <row r="259" ht="15.75" customHeight="1">
      <c r="A259" s="17" t="s">
        <v>819</v>
      </c>
      <c r="B259" s="17" t="s">
        <v>457</v>
      </c>
      <c r="C259" s="17" t="s">
        <v>150</v>
      </c>
      <c r="D259" s="17" t="s">
        <v>489</v>
      </c>
      <c r="E259" s="17">
        <v>2.0</v>
      </c>
      <c r="F259" s="17">
        <v>1.0</v>
      </c>
      <c r="G259" s="17">
        <v>0.0</v>
      </c>
      <c r="H259" s="19">
        <v>0.0</v>
      </c>
      <c r="I259" s="20">
        <v>58.0</v>
      </c>
      <c r="J259" s="17" t="s">
        <v>462</v>
      </c>
      <c r="K259" s="17">
        <v>20.0</v>
      </c>
      <c r="L259" s="17" t="s">
        <v>501</v>
      </c>
    </row>
    <row r="260" ht="15.75" customHeight="1">
      <c r="A260" s="12" t="s">
        <v>820</v>
      </c>
      <c r="B260" s="12" t="s">
        <v>476</v>
      </c>
      <c r="C260" s="12" t="s">
        <v>324</v>
      </c>
      <c r="D260" s="12" t="s">
        <v>489</v>
      </c>
      <c r="E260" s="12">
        <v>2.0</v>
      </c>
      <c r="F260" s="12">
        <v>1.0</v>
      </c>
      <c r="G260" s="12">
        <v>0.0</v>
      </c>
      <c r="H260" s="14">
        <v>0.0</v>
      </c>
      <c r="I260" s="15">
        <v>92.0</v>
      </c>
      <c r="J260" s="12" t="s">
        <v>462</v>
      </c>
      <c r="K260" s="12">
        <v>20.0</v>
      </c>
      <c r="L260" s="12" t="s">
        <v>501</v>
      </c>
    </row>
    <row r="261" ht="15.75" customHeight="1">
      <c r="A261" s="17" t="s">
        <v>822</v>
      </c>
      <c r="B261" s="17" t="s">
        <v>457</v>
      </c>
      <c r="C261" s="17" t="s">
        <v>150</v>
      </c>
      <c r="D261" s="17" t="s">
        <v>489</v>
      </c>
      <c r="E261" s="17">
        <v>2.0</v>
      </c>
      <c r="F261" s="17">
        <v>1.0</v>
      </c>
      <c r="G261" s="17">
        <v>0.0</v>
      </c>
      <c r="H261" s="19">
        <v>0.0</v>
      </c>
      <c r="I261" s="20">
        <v>95.0</v>
      </c>
      <c r="J261" s="17" t="s">
        <v>462</v>
      </c>
      <c r="K261" s="17">
        <v>20.0</v>
      </c>
      <c r="L261" s="17" t="s">
        <v>501</v>
      </c>
    </row>
    <row r="262" ht="15.75" customHeight="1">
      <c r="A262" s="12" t="s">
        <v>823</v>
      </c>
      <c r="B262" s="12" t="s">
        <v>457</v>
      </c>
      <c r="C262" s="12" t="s">
        <v>32</v>
      </c>
      <c r="D262" s="12" t="s">
        <v>458</v>
      </c>
      <c r="E262" s="12">
        <v>5.0</v>
      </c>
      <c r="F262" s="12">
        <v>1.0</v>
      </c>
      <c r="G262" s="12">
        <v>0.0</v>
      </c>
      <c r="H262" s="14">
        <v>0.0</v>
      </c>
      <c r="I262" s="15">
        <v>98.0</v>
      </c>
      <c r="J262" s="12" t="s">
        <v>462</v>
      </c>
      <c r="K262" s="12">
        <v>50.0</v>
      </c>
      <c r="L262" s="12" t="s">
        <v>501</v>
      </c>
    </row>
    <row r="263" ht="15.75" customHeight="1">
      <c r="A263" s="17" t="s">
        <v>1206</v>
      </c>
      <c r="B263" s="17" t="s">
        <v>669</v>
      </c>
      <c r="C263" s="17" t="s">
        <v>22</v>
      </c>
      <c r="D263" s="17" t="s">
        <v>489</v>
      </c>
      <c r="E263" s="17">
        <v>5.0</v>
      </c>
      <c r="F263" s="17">
        <v>0.0</v>
      </c>
      <c r="G263" s="17">
        <v>0.0</v>
      </c>
      <c r="H263" s="19">
        <v>0.0</v>
      </c>
      <c r="I263" s="20"/>
      <c r="J263" s="17" t="s">
        <v>1210</v>
      </c>
      <c r="K263" s="17">
        <v>50.0</v>
      </c>
      <c r="L263" s="17" t="s">
        <v>501</v>
      </c>
    </row>
    <row r="264" ht="15.75" customHeight="1">
      <c r="A264" s="12" t="s">
        <v>1211</v>
      </c>
      <c r="B264" s="12" t="s">
        <v>669</v>
      </c>
      <c r="C264" s="12" t="s">
        <v>22</v>
      </c>
      <c r="D264" s="12" t="s">
        <v>489</v>
      </c>
      <c r="E264" s="12">
        <v>5.0</v>
      </c>
      <c r="F264" s="12">
        <v>0.0</v>
      </c>
      <c r="G264" s="12">
        <v>0.0</v>
      </c>
      <c r="H264" s="14">
        <v>0.0</v>
      </c>
      <c r="I264" s="15"/>
      <c r="J264" s="12" t="s">
        <v>1210</v>
      </c>
      <c r="K264" s="12">
        <v>50.0</v>
      </c>
      <c r="L264" s="12" t="s">
        <v>501</v>
      </c>
    </row>
    <row r="265" ht="15.75" customHeight="1">
      <c r="A265" s="17" t="s">
        <v>1214</v>
      </c>
      <c r="B265" s="17" t="s">
        <v>669</v>
      </c>
      <c r="C265" s="17" t="s">
        <v>22</v>
      </c>
      <c r="D265" s="17" t="s">
        <v>489</v>
      </c>
      <c r="E265" s="17">
        <v>5.0</v>
      </c>
      <c r="F265" s="17">
        <v>0.0</v>
      </c>
      <c r="G265" s="17">
        <v>0.0</v>
      </c>
      <c r="H265" s="19">
        <v>0.0</v>
      </c>
      <c r="I265" s="20"/>
      <c r="J265" s="17" t="s">
        <v>1210</v>
      </c>
      <c r="K265" s="17">
        <v>50.0</v>
      </c>
      <c r="L265" s="17" t="s">
        <v>501</v>
      </c>
    </row>
    <row r="266" ht="15.75" customHeight="1">
      <c r="A266" s="12" t="s">
        <v>1218</v>
      </c>
      <c r="B266" s="12" t="s">
        <v>669</v>
      </c>
      <c r="C266" s="12" t="s">
        <v>22</v>
      </c>
      <c r="D266" s="12" t="s">
        <v>489</v>
      </c>
      <c r="E266" s="12">
        <v>5.0</v>
      </c>
      <c r="F266" s="12">
        <v>0.0</v>
      </c>
      <c r="G266" s="12">
        <v>0.0</v>
      </c>
      <c r="H266" s="14">
        <v>0.0</v>
      </c>
      <c r="I266" s="15"/>
      <c r="J266" s="12" t="s">
        <v>1210</v>
      </c>
      <c r="K266" s="12">
        <v>50.0</v>
      </c>
      <c r="L266" s="12" t="s">
        <v>501</v>
      </c>
    </row>
    <row r="267" ht="15.75" customHeight="1">
      <c r="A267" s="17" t="s">
        <v>1221</v>
      </c>
      <c r="B267" s="17" t="s">
        <v>669</v>
      </c>
      <c r="C267" s="17" t="s">
        <v>22</v>
      </c>
      <c r="D267" s="17" t="s">
        <v>489</v>
      </c>
      <c r="E267" s="17">
        <v>4.0</v>
      </c>
      <c r="F267" s="17">
        <v>0.0</v>
      </c>
      <c r="G267" s="17">
        <v>0.0</v>
      </c>
      <c r="H267" s="19">
        <v>0.0</v>
      </c>
      <c r="I267" s="20"/>
      <c r="J267" s="17" t="s">
        <v>1210</v>
      </c>
      <c r="K267" s="17">
        <v>40.0</v>
      </c>
      <c r="L267" s="17" t="s">
        <v>501</v>
      </c>
    </row>
    <row r="268" ht="15.75" customHeight="1">
      <c r="A268" s="12" t="s">
        <v>1225</v>
      </c>
      <c r="B268" s="12" t="s">
        <v>669</v>
      </c>
      <c r="C268" s="12" t="s">
        <v>22</v>
      </c>
      <c r="D268" s="12" t="s">
        <v>489</v>
      </c>
      <c r="E268" s="12">
        <v>4.0</v>
      </c>
      <c r="F268" s="12">
        <v>0.0</v>
      </c>
      <c r="G268" s="12">
        <v>0.0</v>
      </c>
      <c r="H268" s="14">
        <v>0.0</v>
      </c>
      <c r="I268" s="15"/>
      <c r="J268" s="12" t="s">
        <v>1210</v>
      </c>
      <c r="K268" s="12">
        <v>40.0</v>
      </c>
      <c r="L268" s="12" t="s">
        <v>501</v>
      </c>
    </row>
    <row r="269" ht="15.75" customHeight="1">
      <c r="A269" s="17" t="s">
        <v>1227</v>
      </c>
      <c r="B269" s="17" t="s">
        <v>669</v>
      </c>
      <c r="C269" s="17" t="s">
        <v>22</v>
      </c>
      <c r="D269" s="17" t="s">
        <v>489</v>
      </c>
      <c r="E269" s="17">
        <v>5.0</v>
      </c>
      <c r="F269" s="17">
        <v>0.0</v>
      </c>
      <c r="G269" s="17">
        <v>0.0</v>
      </c>
      <c r="H269" s="19">
        <v>0.0</v>
      </c>
      <c r="I269" s="20"/>
      <c r="J269" s="17" t="s">
        <v>1210</v>
      </c>
      <c r="K269" s="17">
        <v>50.0</v>
      </c>
      <c r="L269" s="17" t="s">
        <v>501</v>
      </c>
    </row>
    <row r="270" ht="15.75" customHeight="1">
      <c r="A270" s="12" t="s">
        <v>1232</v>
      </c>
      <c r="B270" s="12" t="s">
        <v>669</v>
      </c>
      <c r="C270" s="12" t="s">
        <v>22</v>
      </c>
      <c r="D270" s="12" t="s">
        <v>531</v>
      </c>
      <c r="E270" s="12">
        <v>4.0</v>
      </c>
      <c r="F270" s="12">
        <v>0.0</v>
      </c>
      <c r="G270" s="12">
        <v>0.0</v>
      </c>
      <c r="H270" s="14">
        <v>0.0</v>
      </c>
      <c r="I270" s="15"/>
      <c r="J270" s="12" t="s">
        <v>1210</v>
      </c>
      <c r="K270" s="12">
        <v>40.0</v>
      </c>
      <c r="L270" s="12" t="s">
        <v>501</v>
      </c>
    </row>
    <row r="271" ht="15.75" customHeight="1">
      <c r="A271" s="17" t="s">
        <v>1235</v>
      </c>
      <c r="B271" s="17" t="s">
        <v>669</v>
      </c>
      <c r="C271" s="17" t="s">
        <v>22</v>
      </c>
      <c r="D271" s="17" t="s">
        <v>489</v>
      </c>
      <c r="E271" s="17">
        <v>4.0</v>
      </c>
      <c r="F271" s="17">
        <v>0.0</v>
      </c>
      <c r="G271" s="17">
        <v>0.0</v>
      </c>
      <c r="H271" s="19">
        <v>0.0</v>
      </c>
      <c r="I271" s="20"/>
      <c r="J271" s="17" t="s">
        <v>1210</v>
      </c>
      <c r="K271" s="17">
        <v>40.0</v>
      </c>
      <c r="L271" s="17" t="s">
        <v>501</v>
      </c>
    </row>
    <row r="272" ht="15.75" customHeight="1">
      <c r="A272" s="12" t="s">
        <v>1240</v>
      </c>
      <c r="B272" s="12" t="s">
        <v>669</v>
      </c>
      <c r="C272" s="12" t="s">
        <v>22</v>
      </c>
      <c r="D272" s="12" t="s">
        <v>489</v>
      </c>
      <c r="E272" s="12">
        <v>5.0</v>
      </c>
      <c r="F272" s="12">
        <v>0.0</v>
      </c>
      <c r="G272" s="12">
        <v>0.0</v>
      </c>
      <c r="H272" s="14">
        <v>0.0</v>
      </c>
      <c r="I272" s="15"/>
      <c r="J272" s="12" t="s">
        <v>1210</v>
      </c>
      <c r="K272" s="12">
        <v>50.0</v>
      </c>
      <c r="L272" s="12" t="s">
        <v>501</v>
      </c>
    </row>
    <row r="273" ht="15.75" customHeight="1">
      <c r="A273" s="17" t="s">
        <v>1244</v>
      </c>
      <c r="B273" s="17" t="s">
        <v>669</v>
      </c>
      <c r="C273" s="17" t="s">
        <v>324</v>
      </c>
      <c r="D273" s="17" t="s">
        <v>524</v>
      </c>
      <c r="E273" s="17">
        <v>4.0</v>
      </c>
      <c r="F273" s="17">
        <v>0.0</v>
      </c>
      <c r="G273" s="17">
        <v>0.0</v>
      </c>
      <c r="H273" s="19">
        <v>0.0</v>
      </c>
      <c r="I273" s="20"/>
      <c r="J273" s="17" t="s">
        <v>1210</v>
      </c>
      <c r="K273" s="17">
        <v>40.0</v>
      </c>
      <c r="L273" s="17" t="s">
        <v>501</v>
      </c>
    </row>
    <row r="274" ht="15.75" customHeight="1">
      <c r="A274" s="12" t="s">
        <v>1247</v>
      </c>
      <c r="B274" s="12" t="s">
        <v>669</v>
      </c>
      <c r="C274" s="12" t="s">
        <v>45</v>
      </c>
      <c r="D274" s="12" t="s">
        <v>531</v>
      </c>
      <c r="E274" s="12">
        <v>5.0</v>
      </c>
      <c r="F274" s="12">
        <v>0.0</v>
      </c>
      <c r="G274" s="12">
        <v>0.0</v>
      </c>
      <c r="H274" s="14">
        <v>0.0</v>
      </c>
      <c r="I274" s="15"/>
      <c r="J274" s="12" t="s">
        <v>1210</v>
      </c>
      <c r="K274" s="12">
        <v>50.0</v>
      </c>
      <c r="L274" s="12" t="s">
        <v>501</v>
      </c>
    </row>
    <row r="275" ht="15.75" customHeight="1">
      <c r="A275" s="17" t="s">
        <v>1249</v>
      </c>
      <c r="B275" s="17" t="s">
        <v>669</v>
      </c>
      <c r="C275" s="17" t="s">
        <v>45</v>
      </c>
      <c r="D275" s="17" t="s">
        <v>531</v>
      </c>
      <c r="E275" s="17">
        <v>5.0</v>
      </c>
      <c r="F275" s="17">
        <v>0.0</v>
      </c>
      <c r="G275" s="17">
        <v>0.0</v>
      </c>
      <c r="H275" s="19">
        <v>0.0</v>
      </c>
      <c r="I275" s="20"/>
      <c r="J275" s="17" t="s">
        <v>1210</v>
      </c>
      <c r="K275" s="17">
        <v>50.0</v>
      </c>
      <c r="L275" s="17" t="s">
        <v>501</v>
      </c>
    </row>
    <row r="276" ht="15.75" customHeight="1">
      <c r="A276" s="12" t="s">
        <v>1253</v>
      </c>
      <c r="B276" s="12" t="s">
        <v>669</v>
      </c>
      <c r="C276" s="12" t="s">
        <v>210</v>
      </c>
      <c r="D276" s="12" t="s">
        <v>524</v>
      </c>
      <c r="E276" s="12">
        <v>5.0</v>
      </c>
      <c r="F276" s="12">
        <v>0.0</v>
      </c>
      <c r="G276" s="12">
        <v>0.0</v>
      </c>
      <c r="H276" s="14">
        <v>0.0</v>
      </c>
      <c r="I276" s="15"/>
      <c r="J276" s="12" t="s">
        <v>1210</v>
      </c>
      <c r="K276" s="12">
        <v>50.0</v>
      </c>
      <c r="L276" s="12" t="s">
        <v>501</v>
      </c>
    </row>
    <row r="277" ht="15.75" customHeight="1">
      <c r="A277" s="17" t="s">
        <v>1258</v>
      </c>
      <c r="B277" s="17" t="s">
        <v>669</v>
      </c>
      <c r="C277" s="17" t="s">
        <v>557</v>
      </c>
      <c r="D277" s="17" t="s">
        <v>524</v>
      </c>
      <c r="E277" s="17">
        <v>5.0</v>
      </c>
      <c r="F277" s="17">
        <v>0.0</v>
      </c>
      <c r="G277" s="17">
        <v>0.0</v>
      </c>
      <c r="H277" s="19">
        <v>0.0</v>
      </c>
      <c r="I277" s="20"/>
      <c r="J277" s="17" t="s">
        <v>1210</v>
      </c>
      <c r="K277" s="17">
        <v>50.0</v>
      </c>
      <c r="L277" s="17" t="s">
        <v>501</v>
      </c>
    </row>
    <row r="278" ht="15.75" customHeight="1">
      <c r="A278" s="12" t="s">
        <v>1261</v>
      </c>
      <c r="B278" s="12" t="s">
        <v>669</v>
      </c>
      <c r="C278" s="12" t="s">
        <v>557</v>
      </c>
      <c r="D278" s="12" t="s">
        <v>524</v>
      </c>
      <c r="E278" s="12">
        <v>4.0</v>
      </c>
      <c r="F278" s="12">
        <v>0.0</v>
      </c>
      <c r="G278" s="12">
        <v>0.0</v>
      </c>
      <c r="H278" s="14">
        <v>0.0</v>
      </c>
      <c r="I278" s="15"/>
      <c r="J278" s="12" t="s">
        <v>1210</v>
      </c>
      <c r="K278" s="12">
        <v>40.0</v>
      </c>
      <c r="L278" s="12" t="s">
        <v>501</v>
      </c>
    </row>
    <row r="279" ht="15.75" customHeight="1">
      <c r="A279" s="17" t="s">
        <v>1265</v>
      </c>
      <c r="B279" s="17" t="s">
        <v>669</v>
      </c>
      <c r="C279" s="17" t="s">
        <v>557</v>
      </c>
      <c r="D279" s="17" t="s">
        <v>524</v>
      </c>
      <c r="E279" s="17">
        <v>4.0</v>
      </c>
      <c r="F279" s="17">
        <v>0.0</v>
      </c>
      <c r="G279" s="17">
        <v>0.0</v>
      </c>
      <c r="H279" s="19">
        <v>0.0</v>
      </c>
      <c r="I279" s="20"/>
      <c r="J279" s="17" t="s">
        <v>1210</v>
      </c>
      <c r="K279" s="17">
        <v>40.0</v>
      </c>
      <c r="L279" s="17" t="s">
        <v>501</v>
      </c>
    </row>
    <row r="280" ht="15.75" customHeight="1">
      <c r="A280" s="12" t="s">
        <v>1267</v>
      </c>
      <c r="B280" s="12" t="s">
        <v>476</v>
      </c>
      <c r="C280" s="12" t="s">
        <v>22</v>
      </c>
      <c r="D280" s="12" t="s">
        <v>489</v>
      </c>
      <c r="E280" s="12">
        <v>5.0</v>
      </c>
      <c r="F280" s="12">
        <v>0.0</v>
      </c>
      <c r="G280" s="12">
        <v>0.0</v>
      </c>
      <c r="H280" s="14">
        <v>0.0</v>
      </c>
      <c r="I280" s="15"/>
      <c r="J280" s="12" t="s">
        <v>1210</v>
      </c>
      <c r="K280" s="12">
        <v>50.0</v>
      </c>
      <c r="L280" s="12" t="s">
        <v>501</v>
      </c>
    </row>
    <row r="281" ht="15.75" customHeight="1">
      <c r="A281" s="17" t="s">
        <v>1270</v>
      </c>
      <c r="B281" s="17" t="s">
        <v>476</v>
      </c>
      <c r="C281" s="17" t="s">
        <v>22</v>
      </c>
      <c r="D281" s="17" t="s">
        <v>489</v>
      </c>
      <c r="E281" s="17">
        <v>5.0</v>
      </c>
      <c r="F281" s="17">
        <v>0.0</v>
      </c>
      <c r="G281" s="17">
        <v>0.0</v>
      </c>
      <c r="H281" s="19">
        <v>0.0</v>
      </c>
      <c r="I281" s="20"/>
      <c r="J281" s="17" t="s">
        <v>1210</v>
      </c>
      <c r="K281" s="17">
        <v>50.0</v>
      </c>
      <c r="L281" s="17" t="s">
        <v>501</v>
      </c>
    </row>
    <row r="282" ht="15.75" customHeight="1">
      <c r="A282" s="12" t="s">
        <v>1273</v>
      </c>
      <c r="B282" s="12" t="s">
        <v>476</v>
      </c>
      <c r="C282" s="12" t="s">
        <v>22</v>
      </c>
      <c r="D282" s="12" t="s">
        <v>489</v>
      </c>
      <c r="E282" s="12">
        <v>5.0</v>
      </c>
      <c r="F282" s="12">
        <v>0.0</v>
      </c>
      <c r="G282" s="12">
        <v>0.0</v>
      </c>
      <c r="H282" s="14">
        <v>0.0</v>
      </c>
      <c r="I282" s="15"/>
      <c r="J282" s="12" t="s">
        <v>1210</v>
      </c>
      <c r="K282" s="12">
        <v>50.0</v>
      </c>
      <c r="L282" s="12" t="s">
        <v>501</v>
      </c>
    </row>
    <row r="283" ht="15.75" customHeight="1">
      <c r="A283" s="17" t="s">
        <v>1277</v>
      </c>
      <c r="B283" s="17" t="s">
        <v>476</v>
      </c>
      <c r="C283" s="17" t="s">
        <v>22</v>
      </c>
      <c r="D283" s="17" t="s">
        <v>489</v>
      </c>
      <c r="E283" s="17">
        <v>4.0</v>
      </c>
      <c r="F283" s="17">
        <v>0.0</v>
      </c>
      <c r="G283" s="17">
        <v>0.0</v>
      </c>
      <c r="H283" s="19">
        <v>0.0</v>
      </c>
      <c r="I283" s="20"/>
      <c r="J283" s="17" t="s">
        <v>1210</v>
      </c>
      <c r="K283" s="17">
        <v>40.0</v>
      </c>
      <c r="L283" s="17" t="s">
        <v>501</v>
      </c>
    </row>
    <row r="284" ht="15.75" customHeight="1">
      <c r="A284" s="12" t="s">
        <v>1281</v>
      </c>
      <c r="B284" s="12" t="s">
        <v>476</v>
      </c>
      <c r="C284" s="12" t="s">
        <v>22</v>
      </c>
      <c r="D284" s="12" t="s">
        <v>489</v>
      </c>
      <c r="E284" s="12">
        <v>5.0</v>
      </c>
      <c r="F284" s="12">
        <v>0.0</v>
      </c>
      <c r="G284" s="12">
        <v>0.0</v>
      </c>
      <c r="H284" s="14">
        <v>0.0</v>
      </c>
      <c r="I284" s="15"/>
      <c r="J284" s="12" t="s">
        <v>1210</v>
      </c>
      <c r="K284" s="12">
        <v>50.0</v>
      </c>
      <c r="L284" s="12" t="s">
        <v>501</v>
      </c>
    </row>
    <row r="285" ht="15.75" customHeight="1">
      <c r="A285" s="17" t="s">
        <v>1282</v>
      </c>
      <c r="B285" s="17" t="s">
        <v>476</v>
      </c>
      <c r="C285" s="17" t="s">
        <v>22</v>
      </c>
      <c r="D285" s="17" t="s">
        <v>489</v>
      </c>
      <c r="E285" s="17">
        <v>4.0</v>
      </c>
      <c r="F285" s="17">
        <v>0.0</v>
      </c>
      <c r="G285" s="17">
        <v>0.0</v>
      </c>
      <c r="H285" s="19">
        <v>0.0</v>
      </c>
      <c r="I285" s="20"/>
      <c r="J285" s="17" t="s">
        <v>1210</v>
      </c>
      <c r="K285" s="17">
        <v>40.0</v>
      </c>
      <c r="L285" s="17" t="s">
        <v>501</v>
      </c>
    </row>
    <row r="286" ht="15.75" customHeight="1">
      <c r="A286" s="12" t="s">
        <v>1286</v>
      </c>
      <c r="B286" s="12" t="s">
        <v>476</v>
      </c>
      <c r="C286" s="12" t="s">
        <v>32</v>
      </c>
      <c r="D286" s="12" t="s">
        <v>524</v>
      </c>
      <c r="E286" s="12">
        <v>5.0</v>
      </c>
      <c r="F286" s="12">
        <v>0.0</v>
      </c>
      <c r="G286" s="12">
        <v>0.0</v>
      </c>
      <c r="H286" s="14">
        <v>0.0</v>
      </c>
      <c r="I286" s="15"/>
      <c r="J286" s="12" t="s">
        <v>1210</v>
      </c>
      <c r="K286" s="12">
        <v>50.0</v>
      </c>
      <c r="L286" s="12" t="s">
        <v>501</v>
      </c>
    </row>
    <row r="287" ht="15.75" customHeight="1">
      <c r="A287" s="17" t="s">
        <v>1289</v>
      </c>
      <c r="B287" s="17" t="s">
        <v>476</v>
      </c>
      <c r="C287" s="17" t="s">
        <v>324</v>
      </c>
      <c r="D287" s="17" t="s">
        <v>524</v>
      </c>
      <c r="E287" s="17">
        <v>4.0</v>
      </c>
      <c r="F287" s="17">
        <v>0.0</v>
      </c>
      <c r="G287" s="17">
        <v>0.0</v>
      </c>
      <c r="H287" s="19">
        <v>0.0</v>
      </c>
      <c r="I287" s="20"/>
      <c r="J287" s="17" t="s">
        <v>1210</v>
      </c>
      <c r="K287" s="17">
        <v>40.0</v>
      </c>
      <c r="L287" s="17" t="s">
        <v>501</v>
      </c>
    </row>
    <row r="288" ht="15.75" customHeight="1">
      <c r="A288" s="12" t="s">
        <v>1294</v>
      </c>
      <c r="B288" s="12" t="s">
        <v>476</v>
      </c>
      <c r="C288" s="12" t="s">
        <v>324</v>
      </c>
      <c r="D288" s="12" t="s">
        <v>531</v>
      </c>
      <c r="E288" s="12">
        <v>5.0</v>
      </c>
      <c r="F288" s="12">
        <v>0.0</v>
      </c>
      <c r="G288" s="12">
        <v>0.0</v>
      </c>
      <c r="H288" s="14">
        <v>0.0</v>
      </c>
      <c r="I288" s="15"/>
      <c r="J288" s="12" t="s">
        <v>1210</v>
      </c>
      <c r="K288" s="12">
        <v>50.0</v>
      </c>
      <c r="L288" s="12" t="s">
        <v>501</v>
      </c>
    </row>
    <row r="289" ht="15.75" customHeight="1">
      <c r="A289" s="17" t="s">
        <v>1299</v>
      </c>
      <c r="B289" s="17" t="s">
        <v>476</v>
      </c>
      <c r="C289" s="17" t="s">
        <v>45</v>
      </c>
      <c r="D289" s="17" t="s">
        <v>531</v>
      </c>
      <c r="E289" s="17">
        <v>5.0</v>
      </c>
      <c r="F289" s="17">
        <v>0.0</v>
      </c>
      <c r="G289" s="17">
        <v>0.0</v>
      </c>
      <c r="H289" s="19">
        <v>0.0</v>
      </c>
      <c r="I289" s="20"/>
      <c r="J289" s="17" t="s">
        <v>1210</v>
      </c>
      <c r="K289" s="17">
        <v>50.0</v>
      </c>
      <c r="L289" s="17" t="s">
        <v>501</v>
      </c>
    </row>
    <row r="290" ht="15.75" customHeight="1">
      <c r="A290" s="12" t="s">
        <v>1304</v>
      </c>
      <c r="B290" s="12" t="s">
        <v>476</v>
      </c>
      <c r="C290" s="12" t="s">
        <v>210</v>
      </c>
      <c r="D290" s="12" t="s">
        <v>524</v>
      </c>
      <c r="E290" s="12">
        <v>5.0</v>
      </c>
      <c r="F290" s="12">
        <v>0.0</v>
      </c>
      <c r="G290" s="12">
        <v>0.0</v>
      </c>
      <c r="H290" s="14">
        <v>0.0</v>
      </c>
      <c r="I290" s="15"/>
      <c r="J290" s="12" t="s">
        <v>1210</v>
      </c>
      <c r="K290" s="12">
        <v>50.0</v>
      </c>
      <c r="L290" s="12" t="s">
        <v>501</v>
      </c>
    </row>
    <row r="291" ht="15.75" customHeight="1">
      <c r="A291" s="17" t="s">
        <v>1308</v>
      </c>
      <c r="B291" s="17" t="s">
        <v>476</v>
      </c>
      <c r="C291" s="17" t="s">
        <v>210</v>
      </c>
      <c r="D291" s="17" t="s">
        <v>524</v>
      </c>
      <c r="E291" s="17">
        <v>5.0</v>
      </c>
      <c r="F291" s="17">
        <v>0.0</v>
      </c>
      <c r="G291" s="17">
        <v>0.0</v>
      </c>
      <c r="H291" s="19">
        <v>0.0</v>
      </c>
      <c r="I291" s="20"/>
      <c r="J291" s="17" t="s">
        <v>1210</v>
      </c>
      <c r="K291" s="17">
        <v>50.0</v>
      </c>
      <c r="L291" s="17" t="s">
        <v>501</v>
      </c>
    </row>
    <row r="292" ht="15.75" customHeight="1">
      <c r="A292" s="12" t="s">
        <v>1311</v>
      </c>
      <c r="B292" s="12" t="s">
        <v>476</v>
      </c>
      <c r="C292" s="12" t="s">
        <v>557</v>
      </c>
      <c r="D292" s="12" t="s">
        <v>524</v>
      </c>
      <c r="E292" s="12">
        <v>5.0</v>
      </c>
      <c r="F292" s="12">
        <v>0.0</v>
      </c>
      <c r="G292" s="12">
        <v>0.0</v>
      </c>
      <c r="H292" s="14">
        <v>0.0</v>
      </c>
      <c r="I292" s="15"/>
      <c r="J292" s="12" t="s">
        <v>1210</v>
      </c>
      <c r="K292" s="12">
        <v>50.0</v>
      </c>
      <c r="L292" s="12" t="s">
        <v>501</v>
      </c>
    </row>
    <row r="293" ht="15.75" customHeight="1">
      <c r="A293" s="17" t="s">
        <v>1315</v>
      </c>
      <c r="B293" s="17" t="s">
        <v>476</v>
      </c>
      <c r="C293" s="17" t="s">
        <v>557</v>
      </c>
      <c r="D293" s="17" t="s">
        <v>524</v>
      </c>
      <c r="E293" s="17">
        <v>4.0</v>
      </c>
      <c r="F293" s="17">
        <v>0.0</v>
      </c>
      <c r="G293" s="17">
        <v>0.0</v>
      </c>
      <c r="H293" s="19">
        <v>0.0</v>
      </c>
      <c r="I293" s="20"/>
      <c r="J293" s="17" t="s">
        <v>1210</v>
      </c>
      <c r="K293" s="17">
        <v>40.0</v>
      </c>
      <c r="L293" s="17" t="s">
        <v>501</v>
      </c>
    </row>
    <row r="294" ht="15.75" customHeight="1">
      <c r="A294" s="61" t="s">
        <v>1318</v>
      </c>
      <c r="B294" s="61" t="s">
        <v>476</v>
      </c>
      <c r="C294" s="61" t="s">
        <v>45</v>
      </c>
      <c r="D294" s="61" t="s">
        <v>531</v>
      </c>
      <c r="E294" s="61">
        <v>5.0</v>
      </c>
      <c r="F294" s="61">
        <v>0.0</v>
      </c>
      <c r="G294" s="61">
        <v>0.0</v>
      </c>
      <c r="H294" s="63">
        <v>0.0</v>
      </c>
      <c r="I294" s="64"/>
      <c r="J294" s="61" t="s">
        <v>1210</v>
      </c>
      <c r="K294" s="61">
        <v>50.0</v>
      </c>
      <c r="L294" s="61" t="s">
        <v>501</v>
      </c>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conditionalFormatting sqref="L5:L294">
    <cfRule type="containsText" dxfId="5" priority="1" operator="containsText" text="P0">
      <formula>NOT(ISERROR(SEARCH(("P0"),(L5))))</formula>
    </cfRule>
  </conditionalFormatting>
  <conditionalFormatting sqref="L5:L294">
    <cfRule type="containsText" dxfId="6" priority="2" operator="containsText" text="P1">
      <formula>NOT(ISERROR(SEARCH(("P1"),(L5))))</formula>
    </cfRule>
  </conditionalFormatting>
  <conditionalFormatting sqref="L5:L294">
    <cfRule type="containsText" dxfId="7" priority="3" operator="containsText" text="P2">
      <formula>NOT(ISERROR(SEARCH(("P2"),(L5))))</formula>
    </cfRule>
  </conditionalFormatting>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min="2" max="2" width="24.0"/>
    <col customWidth="1" min="3" max="3" width="40.0"/>
    <col customWidth="1" min="4" max="4" width="45.0"/>
    <col customWidth="1" min="5" max="5" width="52.0"/>
    <col customWidth="1" min="6" max="6" width="18.0"/>
    <col customWidth="1" min="7" max="7" width="34.0"/>
    <col customWidth="1" min="8" max="26" width="8.63"/>
  </cols>
  <sheetData>
    <row r="1" ht="33.75" customHeight="1">
      <c r="A1" s="53" t="s">
        <v>507</v>
      </c>
    </row>
    <row r="2" ht="31.5" customHeight="1">
      <c r="A2" s="54" t="s">
        <v>508</v>
      </c>
    </row>
    <row r="4" ht="30.0" customHeight="1">
      <c r="A4" s="55" t="s">
        <v>510</v>
      </c>
      <c r="B4" s="56" t="s">
        <v>511</v>
      </c>
      <c r="C4" s="56" t="s">
        <v>512</v>
      </c>
      <c r="D4" s="56" t="s">
        <v>513</v>
      </c>
      <c r="E4" s="56" t="s">
        <v>514</v>
      </c>
      <c r="F4" s="56" t="s">
        <v>449</v>
      </c>
      <c r="G4" s="57" t="s">
        <v>517</v>
      </c>
    </row>
    <row r="5">
      <c r="A5" s="7" t="s">
        <v>518</v>
      </c>
      <c r="B5" s="7" t="s">
        <v>520</v>
      </c>
      <c r="C5" s="7" t="s">
        <v>521</v>
      </c>
      <c r="D5" s="7" t="s">
        <v>522</v>
      </c>
      <c r="E5" s="7" t="s">
        <v>523</v>
      </c>
      <c r="F5" s="7" t="s">
        <v>524</v>
      </c>
      <c r="G5" s="7" t="s">
        <v>525</v>
      </c>
    </row>
    <row r="6">
      <c r="A6" s="12" t="s">
        <v>518</v>
      </c>
      <c r="B6" s="12" t="s">
        <v>526</v>
      </c>
      <c r="C6" s="12" t="s">
        <v>527</v>
      </c>
      <c r="D6" s="12" t="s">
        <v>528</v>
      </c>
      <c r="E6" s="12" t="s">
        <v>530</v>
      </c>
      <c r="F6" s="12" t="s">
        <v>531</v>
      </c>
      <c r="G6" s="12" t="s">
        <v>525</v>
      </c>
    </row>
    <row r="7">
      <c r="A7" s="17" t="s">
        <v>518</v>
      </c>
      <c r="B7" s="17" t="s">
        <v>532</v>
      </c>
      <c r="C7" s="17" t="s">
        <v>533</v>
      </c>
      <c r="D7" s="17" t="s">
        <v>534</v>
      </c>
      <c r="E7" s="17" t="s">
        <v>535</v>
      </c>
      <c r="F7" s="17" t="s">
        <v>531</v>
      </c>
      <c r="G7" s="17" t="s">
        <v>525</v>
      </c>
    </row>
    <row r="8">
      <c r="A8" s="12" t="s">
        <v>518</v>
      </c>
      <c r="B8" s="12" t="s">
        <v>536</v>
      </c>
      <c r="C8" s="12" t="s">
        <v>538</v>
      </c>
      <c r="D8" s="12" t="s">
        <v>539</v>
      </c>
      <c r="E8" s="12" t="s">
        <v>540</v>
      </c>
      <c r="F8" s="12" t="s">
        <v>531</v>
      </c>
      <c r="G8" s="12" t="s">
        <v>525</v>
      </c>
    </row>
    <row r="9">
      <c r="A9" s="17" t="s">
        <v>518</v>
      </c>
      <c r="B9" s="17" t="s">
        <v>541</v>
      </c>
      <c r="C9" s="17" t="s">
        <v>543</v>
      </c>
      <c r="D9" s="17" t="s">
        <v>544</v>
      </c>
      <c r="E9" s="17" t="s">
        <v>545</v>
      </c>
      <c r="F9" s="17" t="s">
        <v>531</v>
      </c>
      <c r="G9" s="17" t="s">
        <v>525</v>
      </c>
    </row>
    <row r="10">
      <c r="A10" s="12" t="s">
        <v>546</v>
      </c>
      <c r="B10" s="12" t="s">
        <v>548</v>
      </c>
      <c r="C10" s="12" t="s">
        <v>549</v>
      </c>
      <c r="D10" s="12" t="s">
        <v>550</v>
      </c>
      <c r="E10" s="12" t="s">
        <v>551</v>
      </c>
      <c r="F10" s="12" t="s">
        <v>524</v>
      </c>
      <c r="G10" s="12" t="s">
        <v>525</v>
      </c>
    </row>
    <row r="11">
      <c r="A11" s="17" t="s">
        <v>546</v>
      </c>
      <c r="B11" s="17" t="s">
        <v>553</v>
      </c>
      <c r="C11" s="17" t="s">
        <v>554</v>
      </c>
      <c r="D11" s="17" t="s">
        <v>555</v>
      </c>
      <c r="E11" s="17" t="s">
        <v>556</v>
      </c>
      <c r="F11" s="17" t="s">
        <v>524</v>
      </c>
      <c r="G11" s="17" t="s">
        <v>525</v>
      </c>
    </row>
    <row r="12">
      <c r="A12" s="12" t="s">
        <v>557</v>
      </c>
      <c r="B12" s="12" t="s">
        <v>559</v>
      </c>
      <c r="C12" s="12" t="s">
        <v>560</v>
      </c>
      <c r="D12" s="12" t="s">
        <v>561</v>
      </c>
      <c r="E12" s="12" t="s">
        <v>562</v>
      </c>
      <c r="F12" s="12" t="s">
        <v>524</v>
      </c>
      <c r="G12" s="12" t="s">
        <v>525</v>
      </c>
    </row>
    <row r="13">
      <c r="A13" s="17" t="s">
        <v>557</v>
      </c>
      <c r="B13" s="17" t="s">
        <v>564</v>
      </c>
      <c r="C13" s="17" t="s">
        <v>566</v>
      </c>
      <c r="D13" s="17" t="s">
        <v>567</v>
      </c>
      <c r="E13" s="17" t="s">
        <v>568</v>
      </c>
      <c r="F13" s="17" t="s">
        <v>524</v>
      </c>
      <c r="G13" s="17" t="s">
        <v>525</v>
      </c>
    </row>
    <row r="14">
      <c r="A14" s="12" t="s">
        <v>557</v>
      </c>
      <c r="B14" s="12" t="s">
        <v>570</v>
      </c>
      <c r="C14" s="12" t="s">
        <v>571</v>
      </c>
      <c r="D14" s="12" t="s">
        <v>572</v>
      </c>
      <c r="E14" s="12" t="s">
        <v>574</v>
      </c>
      <c r="F14" s="12" t="s">
        <v>524</v>
      </c>
      <c r="G14" s="12" t="s">
        <v>525</v>
      </c>
    </row>
    <row r="15">
      <c r="A15" s="17" t="s">
        <v>575</v>
      </c>
      <c r="B15" s="17" t="s">
        <v>576</v>
      </c>
      <c r="C15" s="17" t="s">
        <v>22</v>
      </c>
      <c r="D15" s="17" t="s">
        <v>577</v>
      </c>
      <c r="E15" s="17" t="s">
        <v>579</v>
      </c>
      <c r="F15" s="17" t="s">
        <v>489</v>
      </c>
      <c r="G15" s="17" t="s">
        <v>525</v>
      </c>
    </row>
    <row r="16">
      <c r="A16" s="12" t="s">
        <v>575</v>
      </c>
      <c r="B16" s="12" t="s">
        <v>580</v>
      </c>
      <c r="C16" s="12" t="s">
        <v>581</v>
      </c>
      <c r="D16" s="12" t="s">
        <v>582</v>
      </c>
      <c r="E16" s="12" t="s">
        <v>583</v>
      </c>
      <c r="F16" s="12" t="s">
        <v>489</v>
      </c>
      <c r="G16" s="12" t="s">
        <v>525</v>
      </c>
    </row>
    <row r="17">
      <c r="A17" s="17" t="s">
        <v>575</v>
      </c>
      <c r="B17" s="17" t="s">
        <v>585</v>
      </c>
      <c r="C17" s="17" t="s">
        <v>586</v>
      </c>
      <c r="D17" s="17" t="s">
        <v>587</v>
      </c>
      <c r="E17" s="17" t="s">
        <v>588</v>
      </c>
      <c r="F17" s="17" t="s">
        <v>489</v>
      </c>
      <c r="G17" s="17" t="s">
        <v>525</v>
      </c>
    </row>
    <row r="18">
      <c r="A18" s="12" t="s">
        <v>575</v>
      </c>
      <c r="B18" s="12" t="s">
        <v>592</v>
      </c>
      <c r="C18" s="12" t="s">
        <v>593</v>
      </c>
      <c r="D18" s="12" t="s">
        <v>595</v>
      </c>
      <c r="E18" s="12" t="s">
        <v>597</v>
      </c>
      <c r="F18" s="12" t="s">
        <v>489</v>
      </c>
      <c r="G18" s="12" t="s">
        <v>525</v>
      </c>
    </row>
    <row r="19">
      <c r="A19" s="17" t="s">
        <v>575</v>
      </c>
      <c r="B19" s="17" t="s">
        <v>598</v>
      </c>
      <c r="C19" s="17" t="s">
        <v>599</v>
      </c>
      <c r="D19" s="17" t="s">
        <v>600</v>
      </c>
      <c r="E19" s="17" t="s">
        <v>601</v>
      </c>
      <c r="F19" s="17" t="s">
        <v>489</v>
      </c>
      <c r="G19" s="17" t="s">
        <v>525</v>
      </c>
    </row>
    <row r="20">
      <c r="A20" s="12" t="s">
        <v>575</v>
      </c>
      <c r="B20" s="12" t="s">
        <v>604</v>
      </c>
      <c r="C20" s="12" t="s">
        <v>605</v>
      </c>
      <c r="D20" s="12" t="s">
        <v>606</v>
      </c>
      <c r="E20" s="12" t="s">
        <v>607</v>
      </c>
      <c r="F20" s="12" t="s">
        <v>489</v>
      </c>
      <c r="G20" s="12" t="s">
        <v>525</v>
      </c>
    </row>
    <row r="21" ht="15.75" customHeight="1">
      <c r="A21" s="17" t="s">
        <v>575</v>
      </c>
      <c r="B21" s="17" t="s">
        <v>610</v>
      </c>
      <c r="C21" s="17" t="s">
        <v>611</v>
      </c>
      <c r="D21" s="17" t="s">
        <v>612</v>
      </c>
      <c r="E21" s="17" t="s">
        <v>614</v>
      </c>
      <c r="F21" s="17" t="s">
        <v>489</v>
      </c>
      <c r="G21" s="17" t="s">
        <v>525</v>
      </c>
    </row>
    <row r="22" ht="15.75" customHeight="1">
      <c r="A22" s="61" t="s">
        <v>617</v>
      </c>
      <c r="B22" s="61" t="s">
        <v>618</v>
      </c>
      <c r="C22" s="61" t="s">
        <v>620</v>
      </c>
      <c r="D22" s="61" t="s">
        <v>621</v>
      </c>
      <c r="E22" s="61" t="s">
        <v>622</v>
      </c>
      <c r="F22" s="61" t="s">
        <v>524</v>
      </c>
      <c r="G22" s="61" t="s">
        <v>624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8.0"/>
    <col customWidth="1" min="3" max="3" width="60.0"/>
    <col customWidth="1" min="4" max="4" width="22.0"/>
    <col customWidth="1" min="5" max="6" width="42.0"/>
    <col customWidth="1" min="7" max="7" width="12.0"/>
    <col customWidth="1" min="8" max="8" width="13.0"/>
    <col customWidth="1" min="9" max="9" width="11.0"/>
    <col customWidth="1" min="10" max="10" width="12.0"/>
    <col customWidth="1" min="11" max="11" width="11.0"/>
    <col customWidth="1" min="12" max="12" width="22.0"/>
    <col customWidth="1" min="13" max="13" width="18.0"/>
    <col customWidth="1" min="14" max="14" width="12.0"/>
    <col customWidth="1" min="15" max="26" width="8.63"/>
  </cols>
  <sheetData>
    <row r="1" ht="33.75" customHeight="1">
      <c r="A1" s="1" t="s">
        <v>655</v>
      </c>
    </row>
    <row r="2" ht="31.5" customHeight="1">
      <c r="A2" s="2" t="s">
        <v>656</v>
      </c>
    </row>
    <row r="3">
      <c r="A3" s="3"/>
      <c r="B3" s="3"/>
      <c r="C3" s="3"/>
      <c r="D3" s="3"/>
      <c r="E3" s="3"/>
      <c r="F3" s="3"/>
      <c r="G3" s="3"/>
      <c r="H3" s="3"/>
      <c r="I3" s="3"/>
      <c r="J3" s="3"/>
      <c r="K3" s="3"/>
      <c r="L3" s="3"/>
      <c r="M3" s="3"/>
      <c r="N3" s="3"/>
    </row>
    <row r="4" ht="30.0" customHeight="1">
      <c r="A4" s="4" t="s">
        <v>455</v>
      </c>
      <c r="B4" s="5" t="s">
        <v>658</v>
      </c>
      <c r="C4" s="5" t="s">
        <v>660</v>
      </c>
      <c r="D4" s="5" t="s">
        <v>662</v>
      </c>
      <c r="E4" s="5" t="s">
        <v>17</v>
      </c>
      <c r="F4" s="5" t="s">
        <v>663</v>
      </c>
      <c r="G4" s="5" t="s">
        <v>12</v>
      </c>
      <c r="H4" s="5" t="s">
        <v>166</v>
      </c>
      <c r="I4" s="5" t="s">
        <v>292</v>
      </c>
      <c r="J4" s="5" t="s">
        <v>296</v>
      </c>
      <c r="K4" s="5" t="s">
        <v>13</v>
      </c>
      <c r="L4" s="5" t="s">
        <v>665</v>
      </c>
      <c r="M4" s="5" t="s">
        <v>666</v>
      </c>
      <c r="N4" s="6" t="s">
        <v>667</v>
      </c>
    </row>
    <row r="5">
      <c r="A5" s="7" t="s">
        <v>463</v>
      </c>
      <c r="B5" s="7" t="s">
        <v>669</v>
      </c>
      <c r="C5" s="7" t="s">
        <v>40</v>
      </c>
      <c r="D5" s="7" t="s">
        <v>671</v>
      </c>
      <c r="E5" s="7" t="s">
        <v>672</v>
      </c>
      <c r="F5" s="7" t="s">
        <v>521</v>
      </c>
      <c r="G5" s="7">
        <v>200.0</v>
      </c>
      <c r="H5" s="7">
        <v>1248.0</v>
      </c>
      <c r="I5" s="7">
        <v>12.0</v>
      </c>
      <c r="J5" s="7">
        <v>7.79</v>
      </c>
      <c r="K5" s="7" t="b">
        <v>1</v>
      </c>
      <c r="L5" s="7" t="s">
        <v>675</v>
      </c>
      <c r="M5" s="7">
        <f>MIN(100,ROUND((MIN(H5,1000)/1000)*40+IF(A5="P0",35,IF(A5="P1",22,10))+IF(OR(G5=404,K5=FALSE),25,0),0))</f>
        <v>75</v>
      </c>
      <c r="N5" s="7" t="str">
        <f t="shared" ref="N5:N104" si="1">IF(M5&gt;=75,"Wave 1",IF(M5&gt;=50,"Wave 2","Wave 3"))</f>
        <v>Wave 1</v>
      </c>
    </row>
    <row r="6">
      <c r="A6" s="12" t="s">
        <v>463</v>
      </c>
      <c r="B6" s="12" t="s">
        <v>476</v>
      </c>
      <c r="C6" s="12" t="s">
        <v>357</v>
      </c>
      <c r="D6" s="12" t="s">
        <v>671</v>
      </c>
      <c r="E6" s="12" t="s">
        <v>672</v>
      </c>
      <c r="F6" s="12" t="s">
        <v>522</v>
      </c>
      <c r="G6" s="12">
        <v>200.0</v>
      </c>
      <c r="H6" s="12">
        <v>2.0</v>
      </c>
      <c r="I6" s="12">
        <v>0.0</v>
      </c>
      <c r="J6" s="12">
        <v>3.5</v>
      </c>
      <c r="K6" s="12" t="b">
        <v>1</v>
      </c>
      <c r="L6" s="12" t="s">
        <v>675</v>
      </c>
      <c r="M6" s="12">
        <f>MIN(100,ROUND((MIN(H6,1000)/1000)*40+IF(A6="P0",35,IF(A6="P2",22,10))+IF(OR(G6=404,K6=FALSE),25,0),0))</f>
        <v>35</v>
      </c>
      <c r="N6" s="12" t="str">
        <f t="shared" si="1"/>
        <v>Wave 3</v>
      </c>
    </row>
    <row r="7">
      <c r="A7" s="17" t="s">
        <v>463</v>
      </c>
      <c r="B7" s="17" t="s">
        <v>669</v>
      </c>
      <c r="C7" s="17" t="s">
        <v>264</v>
      </c>
      <c r="D7" s="17" t="s">
        <v>688</v>
      </c>
      <c r="E7" s="17" t="s">
        <v>689</v>
      </c>
      <c r="F7" s="17" t="s">
        <v>690</v>
      </c>
      <c r="G7" s="17">
        <v>200.0</v>
      </c>
      <c r="H7" s="17">
        <v>13.0</v>
      </c>
      <c r="I7" s="17">
        <v>0.0</v>
      </c>
      <c r="J7" s="17">
        <v>10.54</v>
      </c>
      <c r="K7" s="17" t="b">
        <v>1</v>
      </c>
      <c r="L7" s="17" t="s">
        <v>675</v>
      </c>
      <c r="M7" s="17">
        <f>MIN(100,ROUND((MIN(H7,1000)/1000)*40+IF(A7="P0",35,IF(A7="P3",22,10))+IF(OR(G7=404,K7=FALSE),25,0),0))</f>
        <v>36</v>
      </c>
      <c r="N7" s="17" t="str">
        <f t="shared" si="1"/>
        <v>Wave 3</v>
      </c>
    </row>
    <row r="8">
      <c r="A8" s="12" t="s">
        <v>463</v>
      </c>
      <c r="B8" s="12" t="s">
        <v>476</v>
      </c>
      <c r="C8" s="12" t="s">
        <v>215</v>
      </c>
      <c r="D8" s="12" t="s">
        <v>688</v>
      </c>
      <c r="E8" s="12" t="s">
        <v>689</v>
      </c>
      <c r="F8" s="12" t="s">
        <v>694</v>
      </c>
      <c r="G8" s="12">
        <v>200.0</v>
      </c>
      <c r="H8" s="12">
        <v>93.0</v>
      </c>
      <c r="I8" s="12">
        <v>0.0</v>
      </c>
      <c r="J8" s="12">
        <v>37.63</v>
      </c>
      <c r="K8" s="12" t="b">
        <v>1</v>
      </c>
      <c r="L8" s="12" t="s">
        <v>675</v>
      </c>
      <c r="M8" s="12">
        <f>MIN(100,ROUND((MIN(H8,1000)/1000)*40+IF(A8="P0",35,IF(A8="P4",22,10))+IF(OR(G8=404,K8=FALSE),25,0),0))</f>
        <v>39</v>
      </c>
      <c r="N8" s="12" t="str">
        <f t="shared" si="1"/>
        <v>Wave 3</v>
      </c>
    </row>
    <row r="9">
      <c r="A9" s="17" t="s">
        <v>463</v>
      </c>
      <c r="B9" s="17" t="s">
        <v>669</v>
      </c>
      <c r="C9" s="17" t="s">
        <v>94</v>
      </c>
      <c r="D9" s="17" t="s">
        <v>699</v>
      </c>
      <c r="E9" s="17" t="s">
        <v>701</v>
      </c>
      <c r="F9" s="17" t="s">
        <v>702</v>
      </c>
      <c r="G9" s="17">
        <v>200.0</v>
      </c>
      <c r="H9" s="17">
        <v>100.0</v>
      </c>
      <c r="I9" s="17">
        <v>2.0</v>
      </c>
      <c r="J9" s="17">
        <v>15.5</v>
      </c>
      <c r="K9" s="17" t="b">
        <v>1</v>
      </c>
      <c r="L9" s="17" t="s">
        <v>675</v>
      </c>
      <c r="M9" s="17">
        <f>MIN(100,ROUND((MIN(H9,1000)/1000)*40+IF(A9="P0",35,IF(A9="P5",22,10))+IF(OR(G9=404,K9=FALSE),25,0),0))</f>
        <v>39</v>
      </c>
      <c r="N9" s="17" t="str">
        <f t="shared" si="1"/>
        <v>Wave 3</v>
      </c>
    </row>
    <row r="10">
      <c r="A10" s="12" t="s">
        <v>463</v>
      </c>
      <c r="B10" s="12" t="s">
        <v>476</v>
      </c>
      <c r="C10" s="12" t="s">
        <v>670</v>
      </c>
      <c r="D10" s="12" t="s">
        <v>699</v>
      </c>
      <c r="E10" s="12" t="s">
        <v>701</v>
      </c>
      <c r="F10" s="12" t="s">
        <v>707</v>
      </c>
      <c r="G10" s="12">
        <v>200.0</v>
      </c>
      <c r="H10" s="12">
        <v>0.0</v>
      </c>
      <c r="I10" s="12">
        <v>0.0</v>
      </c>
      <c r="J10" s="12"/>
      <c r="K10" s="12" t="b">
        <v>1</v>
      </c>
      <c r="L10" s="12" t="s">
        <v>675</v>
      </c>
      <c r="M10" s="12">
        <f>MIN(100,ROUND((MIN(H10,1000)/1000)*40+IF(A10="P0",35,IF(A10="P6",22,10))+IF(OR(G10=404,K10=FALSE),25,0),0))</f>
        <v>35</v>
      </c>
      <c r="N10" s="12" t="str">
        <f t="shared" si="1"/>
        <v>Wave 3</v>
      </c>
    </row>
    <row r="11">
      <c r="A11" s="17" t="s">
        <v>463</v>
      </c>
      <c r="B11" s="17" t="s">
        <v>669</v>
      </c>
      <c r="C11" s="17" t="s">
        <v>710</v>
      </c>
      <c r="D11" s="17" t="s">
        <v>711</v>
      </c>
      <c r="E11" s="17" t="s">
        <v>712</v>
      </c>
      <c r="F11" s="17" t="s">
        <v>527</v>
      </c>
      <c r="G11" s="17" t="s">
        <v>714</v>
      </c>
      <c r="H11" s="17">
        <v>0.0</v>
      </c>
      <c r="I11" s="17">
        <v>0.0</v>
      </c>
      <c r="J11" s="17"/>
      <c r="K11" s="17" t="b">
        <v>0</v>
      </c>
      <c r="L11" s="17" t="s">
        <v>675</v>
      </c>
      <c r="M11" s="17">
        <f>MIN(100,ROUND((MIN(H11,1000)/1000)*40+IF(A11="P0",35,IF(A11="P7",22,10))+IF(OR(G11=404,K11=FALSE),25,0),0))</f>
        <v>60</v>
      </c>
      <c r="N11" s="17" t="str">
        <f t="shared" si="1"/>
        <v>Wave 2</v>
      </c>
    </row>
    <row r="12">
      <c r="A12" s="12" t="s">
        <v>463</v>
      </c>
      <c r="B12" s="12" t="s">
        <v>476</v>
      </c>
      <c r="C12" s="12" t="s">
        <v>718</v>
      </c>
      <c r="D12" s="12" t="s">
        <v>711</v>
      </c>
      <c r="E12" s="12" t="s">
        <v>712</v>
      </c>
      <c r="F12" s="12" t="s">
        <v>528</v>
      </c>
      <c r="G12" s="12" t="s">
        <v>714</v>
      </c>
      <c r="H12" s="12">
        <v>0.0</v>
      </c>
      <c r="I12" s="12">
        <v>0.0</v>
      </c>
      <c r="J12" s="12"/>
      <c r="K12" s="12" t="b">
        <v>0</v>
      </c>
      <c r="L12" s="12" t="s">
        <v>675</v>
      </c>
      <c r="M12" s="12">
        <f>MIN(100,ROUND((MIN(H12,1000)/1000)*40+IF(A12="P0",35,IF(A12="P8",22,10))+IF(OR(G12=404,K12=FALSE),25,0),0))</f>
        <v>60</v>
      </c>
      <c r="N12" s="12" t="str">
        <f t="shared" si="1"/>
        <v>Wave 2</v>
      </c>
    </row>
    <row r="13">
      <c r="A13" s="17" t="s">
        <v>463</v>
      </c>
      <c r="B13" s="17" t="s">
        <v>669</v>
      </c>
      <c r="C13" s="17" t="s">
        <v>44</v>
      </c>
      <c r="D13" s="17" t="s">
        <v>721</v>
      </c>
      <c r="E13" s="17" t="s">
        <v>722</v>
      </c>
      <c r="F13" s="17" t="s">
        <v>543</v>
      </c>
      <c r="G13" s="17">
        <v>200.0</v>
      </c>
      <c r="H13" s="17">
        <v>173.0</v>
      </c>
      <c r="I13" s="17">
        <v>9.0</v>
      </c>
      <c r="J13" s="17">
        <v>6.69</v>
      </c>
      <c r="K13" s="17" t="b">
        <v>0</v>
      </c>
      <c r="L13" s="17" t="s">
        <v>675</v>
      </c>
      <c r="M13" s="17">
        <f>MIN(100,ROUND((MIN(H13,1000)/1000)*40+IF(A13="P0",35,IF(A13="P9",22,10))+IF(OR(G13=404,K13=FALSE),25,0),0))</f>
        <v>67</v>
      </c>
      <c r="N13" s="17" t="str">
        <f t="shared" si="1"/>
        <v>Wave 2</v>
      </c>
    </row>
    <row r="14">
      <c r="A14" s="12" t="s">
        <v>463</v>
      </c>
      <c r="B14" s="12" t="s">
        <v>476</v>
      </c>
      <c r="C14" s="12" t="s">
        <v>330</v>
      </c>
      <c r="D14" s="12" t="s">
        <v>721</v>
      </c>
      <c r="E14" s="12" t="s">
        <v>722</v>
      </c>
      <c r="F14" s="12" t="s">
        <v>727</v>
      </c>
      <c r="G14" s="12" t="s">
        <v>714</v>
      </c>
      <c r="H14" s="12">
        <v>0.0</v>
      </c>
      <c r="I14" s="12">
        <v>0.0</v>
      </c>
      <c r="J14" s="12"/>
      <c r="K14" s="12" t="b">
        <v>0</v>
      </c>
      <c r="L14" s="12" t="s">
        <v>675</v>
      </c>
      <c r="M14" s="12">
        <f>MIN(100,ROUND((MIN(H14,1000)/1000)*40+IF(A14="P0",35,IF(A14="P10",22,10))+IF(OR(G14=404,K14=FALSE),25,0),0))</f>
        <v>60</v>
      </c>
      <c r="N14" s="12" t="str">
        <f t="shared" si="1"/>
        <v>Wave 2</v>
      </c>
    </row>
    <row r="15">
      <c r="A15" s="17" t="s">
        <v>473</v>
      </c>
      <c r="B15" s="17" t="s">
        <v>669</v>
      </c>
      <c r="C15" s="17" t="s">
        <v>226</v>
      </c>
      <c r="D15" s="17" t="s">
        <v>730</v>
      </c>
      <c r="E15" s="17" t="s">
        <v>731</v>
      </c>
      <c r="F15" s="17" t="s">
        <v>732</v>
      </c>
      <c r="G15" s="17">
        <v>200.0</v>
      </c>
      <c r="H15" s="17">
        <v>32.0</v>
      </c>
      <c r="I15" s="17">
        <v>0.0</v>
      </c>
      <c r="J15" s="17">
        <v>4.41</v>
      </c>
      <c r="K15" s="17" t="b">
        <v>0</v>
      </c>
      <c r="L15" s="17" t="s">
        <v>675</v>
      </c>
      <c r="M15" s="17">
        <f>MIN(100,ROUND((MIN(H15,1000)/1000)*40+IF(A15="P0",35,IF(A15="P11",22,10))+IF(OR(G15=404,K15=FALSE),25,0),0))</f>
        <v>36</v>
      </c>
      <c r="N15" s="17" t="str">
        <f t="shared" si="1"/>
        <v>Wave 3</v>
      </c>
    </row>
    <row r="16">
      <c r="A16" s="12" t="s">
        <v>473</v>
      </c>
      <c r="B16" s="12" t="s">
        <v>476</v>
      </c>
      <c r="C16" s="12" t="s">
        <v>65</v>
      </c>
      <c r="D16" s="12" t="s">
        <v>730</v>
      </c>
      <c r="E16" s="12" t="s">
        <v>731</v>
      </c>
      <c r="F16" s="12" t="s">
        <v>738</v>
      </c>
      <c r="G16" s="12">
        <v>200.0</v>
      </c>
      <c r="H16" s="12">
        <v>87.0</v>
      </c>
      <c r="I16" s="12">
        <v>3.0</v>
      </c>
      <c r="J16" s="12">
        <v>25.53</v>
      </c>
      <c r="K16" s="12" t="b">
        <v>0</v>
      </c>
      <c r="L16" s="12" t="s">
        <v>675</v>
      </c>
      <c r="M16" s="12">
        <f>MIN(100,ROUND((MIN(H16,1000)/1000)*40+IF(A16="P0",35,IF(A16="P12",22,10))+IF(OR(G16=404,K16=FALSE),25,0),0))</f>
        <v>38</v>
      </c>
      <c r="N16" s="12" t="str">
        <f t="shared" si="1"/>
        <v>Wave 3</v>
      </c>
    </row>
    <row r="17">
      <c r="A17" s="17" t="s">
        <v>463</v>
      </c>
      <c r="B17" s="17" t="s">
        <v>669</v>
      </c>
      <c r="C17" s="17" t="s">
        <v>361</v>
      </c>
      <c r="D17" s="17" t="s">
        <v>743</v>
      </c>
      <c r="E17" s="17" t="s">
        <v>744</v>
      </c>
      <c r="F17" s="17" t="s">
        <v>745</v>
      </c>
      <c r="G17" s="17" t="s">
        <v>714</v>
      </c>
      <c r="H17" s="17">
        <v>0.0</v>
      </c>
      <c r="I17" s="17">
        <v>0.0</v>
      </c>
      <c r="J17" s="17"/>
      <c r="K17" s="17" t="b">
        <v>0</v>
      </c>
      <c r="L17" s="17" t="s">
        <v>675</v>
      </c>
      <c r="M17" s="17">
        <f>MIN(100,ROUND((MIN(H17,1000)/1000)*40+IF(A17="P0",35,IF(A17="P13",22,10))+IF(OR(G17=404,K17=FALSE),25,0),0))</f>
        <v>60</v>
      </c>
      <c r="N17" s="17" t="str">
        <f t="shared" si="1"/>
        <v>Wave 2</v>
      </c>
    </row>
    <row r="18">
      <c r="A18" s="12" t="s">
        <v>463</v>
      </c>
      <c r="B18" s="12" t="s">
        <v>476</v>
      </c>
      <c r="C18" s="12" t="s">
        <v>185</v>
      </c>
      <c r="D18" s="12" t="s">
        <v>743</v>
      </c>
      <c r="E18" s="12" t="s">
        <v>744</v>
      </c>
      <c r="F18" s="12" t="s">
        <v>750</v>
      </c>
      <c r="G18" s="12">
        <v>200.0</v>
      </c>
      <c r="H18" s="12">
        <v>25.0</v>
      </c>
      <c r="I18" s="12">
        <v>1.0</v>
      </c>
      <c r="J18" s="12">
        <v>38.36</v>
      </c>
      <c r="K18" s="12" t="b">
        <v>0</v>
      </c>
      <c r="L18" s="12" t="s">
        <v>675</v>
      </c>
      <c r="M18" s="12">
        <f>MIN(100,ROUND((MIN(H18,1000)/1000)*40+IF(A18="P0",35,IF(A18="P14",22,10))+IF(OR(G18=404,K18=FALSE),25,0),0))</f>
        <v>61</v>
      </c>
      <c r="N18" s="12" t="str">
        <f t="shared" si="1"/>
        <v>Wave 2</v>
      </c>
    </row>
    <row r="19">
      <c r="A19" s="17" t="s">
        <v>463</v>
      </c>
      <c r="B19" s="17" t="s">
        <v>669</v>
      </c>
      <c r="C19" s="17" t="s">
        <v>229</v>
      </c>
      <c r="D19" s="17" t="s">
        <v>754</v>
      </c>
      <c r="E19" s="17" t="s">
        <v>755</v>
      </c>
      <c r="F19" s="17" t="s">
        <v>756</v>
      </c>
      <c r="G19" s="17">
        <v>200.0</v>
      </c>
      <c r="H19" s="17">
        <v>25.0</v>
      </c>
      <c r="I19" s="17">
        <v>0.0</v>
      </c>
      <c r="J19" s="17">
        <v>7.52</v>
      </c>
      <c r="K19" s="17" t="b">
        <v>1</v>
      </c>
      <c r="L19" s="17" t="s">
        <v>675</v>
      </c>
      <c r="M19" s="17">
        <f>MIN(100,ROUND((MIN(H19,1000)/1000)*40+IF(A19="P0",35,IF(A19="P15",22,10))+IF(OR(G19=404,K19=FALSE),25,0),0))</f>
        <v>36</v>
      </c>
      <c r="N19" s="17" t="str">
        <f t="shared" si="1"/>
        <v>Wave 3</v>
      </c>
    </row>
    <row r="20">
      <c r="A20" s="12" t="s">
        <v>463</v>
      </c>
      <c r="B20" s="12" t="s">
        <v>476</v>
      </c>
      <c r="C20" s="12" t="s">
        <v>244</v>
      </c>
      <c r="D20" s="12" t="s">
        <v>754</v>
      </c>
      <c r="E20" s="12" t="s">
        <v>755</v>
      </c>
      <c r="F20" s="12" t="s">
        <v>759</v>
      </c>
      <c r="G20" s="12">
        <v>200.0</v>
      </c>
      <c r="H20" s="12">
        <v>21.0</v>
      </c>
      <c r="I20" s="12">
        <v>0.0</v>
      </c>
      <c r="J20" s="12">
        <v>8.38</v>
      </c>
      <c r="K20" s="12" t="b">
        <v>1</v>
      </c>
      <c r="L20" s="12" t="s">
        <v>675</v>
      </c>
      <c r="M20" s="12">
        <f>MIN(100,ROUND((MIN(H20,1000)/1000)*40+IF(A20="P0",35,IF(A20="P16",22,10))+IF(OR(G20=404,K20=FALSE),25,0),0))</f>
        <v>36</v>
      </c>
      <c r="N20" s="12" t="str">
        <f t="shared" si="1"/>
        <v>Wave 3</v>
      </c>
    </row>
    <row r="21" ht="15.75" customHeight="1">
      <c r="A21" s="17" t="s">
        <v>463</v>
      </c>
      <c r="B21" s="17" t="s">
        <v>669</v>
      </c>
      <c r="C21" s="17" t="s">
        <v>765</v>
      </c>
      <c r="D21" s="17" t="s">
        <v>766</v>
      </c>
      <c r="E21" s="17" t="s">
        <v>767</v>
      </c>
      <c r="F21" s="17" t="s">
        <v>22</v>
      </c>
      <c r="G21" s="17">
        <v>200.0</v>
      </c>
      <c r="H21" s="17">
        <v>0.0</v>
      </c>
      <c r="I21" s="17">
        <v>0.0</v>
      </c>
      <c r="J21" s="17"/>
      <c r="K21" s="17" t="b">
        <v>1</v>
      </c>
      <c r="L21" s="17" t="s">
        <v>675</v>
      </c>
      <c r="M21" s="17">
        <f>MIN(100,ROUND((MIN(H21,1000)/1000)*40+IF(A21="P0",35,IF(A21="P17",22,10))+IF(OR(G21=404,K21=FALSE),25,0),0))</f>
        <v>35</v>
      </c>
      <c r="N21" s="17" t="str">
        <f t="shared" si="1"/>
        <v>Wave 3</v>
      </c>
    </row>
    <row r="22" ht="15.75" customHeight="1">
      <c r="A22" s="12" t="s">
        <v>463</v>
      </c>
      <c r="B22" s="12" t="s">
        <v>476</v>
      </c>
      <c r="C22" s="12" t="s">
        <v>771</v>
      </c>
      <c r="D22" s="12" t="s">
        <v>766</v>
      </c>
      <c r="E22" s="12" t="s">
        <v>767</v>
      </c>
      <c r="F22" s="12" t="s">
        <v>577</v>
      </c>
      <c r="G22" s="12">
        <v>200.0</v>
      </c>
      <c r="H22" s="12">
        <v>0.0</v>
      </c>
      <c r="I22" s="12">
        <v>0.0</v>
      </c>
      <c r="J22" s="12"/>
      <c r="K22" s="12" t="b">
        <v>1</v>
      </c>
      <c r="L22" s="12" t="s">
        <v>675</v>
      </c>
      <c r="M22" s="12">
        <f>MIN(100,ROUND((MIN(H22,1000)/1000)*40+IF(A22="P0",35,IF(A22="P18",22,10))+IF(OR(G22=404,K22=FALSE),25,0),0))</f>
        <v>35</v>
      </c>
      <c r="N22" s="12" t="str">
        <f t="shared" si="1"/>
        <v>Wave 3</v>
      </c>
    </row>
    <row r="23" ht="15.75" customHeight="1">
      <c r="A23" s="17" t="s">
        <v>473</v>
      </c>
      <c r="B23" s="17" t="s">
        <v>669</v>
      </c>
      <c r="C23" s="17" t="s">
        <v>773</v>
      </c>
      <c r="D23" s="17" t="s">
        <v>774</v>
      </c>
      <c r="E23" s="17" t="s">
        <v>776</v>
      </c>
      <c r="F23" s="17" t="s">
        <v>777</v>
      </c>
      <c r="G23" s="17">
        <v>200.0</v>
      </c>
      <c r="H23" s="17">
        <v>0.0</v>
      </c>
      <c r="I23" s="17">
        <v>0.0</v>
      </c>
      <c r="J23" s="17"/>
      <c r="K23" s="17" t="b">
        <v>1</v>
      </c>
      <c r="L23" s="17" t="s">
        <v>675</v>
      </c>
      <c r="M23" s="17">
        <f>MIN(100,ROUND((MIN(H23,1000)/1000)*40+IF(A23="P0",35,IF(A23="P19",22,10))+IF(OR(G23=404,K23=FALSE),25,0),0))</f>
        <v>10</v>
      </c>
      <c r="N23" s="17" t="str">
        <f t="shared" si="1"/>
        <v>Wave 3</v>
      </c>
    </row>
    <row r="24" ht="15.75" customHeight="1">
      <c r="A24" s="12" t="s">
        <v>473</v>
      </c>
      <c r="B24" s="12" t="s">
        <v>476</v>
      </c>
      <c r="C24" s="12" t="s">
        <v>781</v>
      </c>
      <c r="D24" s="12" t="s">
        <v>774</v>
      </c>
      <c r="E24" s="12" t="s">
        <v>776</v>
      </c>
      <c r="F24" s="12" t="s">
        <v>582</v>
      </c>
      <c r="G24" s="12">
        <v>200.0</v>
      </c>
      <c r="H24" s="12">
        <v>0.0</v>
      </c>
      <c r="I24" s="12">
        <v>0.0</v>
      </c>
      <c r="J24" s="12"/>
      <c r="K24" s="12" t="b">
        <v>1</v>
      </c>
      <c r="L24" s="12" t="s">
        <v>675</v>
      </c>
      <c r="M24" s="12">
        <f>MIN(100,ROUND((MIN(H24,1000)/1000)*40+IF(A24="P0",35,IF(A24="P20",22,10))+IF(OR(G24=404,K24=FALSE),25,0),0))</f>
        <v>10</v>
      </c>
      <c r="N24" s="12" t="str">
        <f t="shared" si="1"/>
        <v>Wave 3</v>
      </c>
    </row>
    <row r="25" ht="15.75" customHeight="1">
      <c r="A25" s="17" t="s">
        <v>473</v>
      </c>
      <c r="B25" s="17" t="s">
        <v>669</v>
      </c>
      <c r="C25" s="17" t="s">
        <v>28</v>
      </c>
      <c r="D25" s="17" t="s">
        <v>784</v>
      </c>
      <c r="E25" s="17" t="s">
        <v>785</v>
      </c>
      <c r="F25" s="17" t="s">
        <v>787</v>
      </c>
      <c r="G25" s="17" t="s">
        <v>714</v>
      </c>
      <c r="H25" s="17">
        <v>0.0</v>
      </c>
      <c r="I25" s="17">
        <v>0.0</v>
      </c>
      <c r="J25" s="17"/>
      <c r="K25" s="17" t="b">
        <v>0</v>
      </c>
      <c r="L25" s="17" t="s">
        <v>675</v>
      </c>
      <c r="M25" s="17">
        <f>MIN(100,ROUND((MIN(H25,1000)/1000)*40+IF(A25="P0",35,IF(A25="P21",22,10))+IF(OR(G25=404,K25=FALSE),25,0),0))</f>
        <v>35</v>
      </c>
      <c r="N25" s="17" t="str">
        <f t="shared" si="1"/>
        <v>Wave 3</v>
      </c>
    </row>
    <row r="26" ht="15.75" customHeight="1">
      <c r="A26" s="12" t="s">
        <v>473</v>
      </c>
      <c r="B26" s="12" t="s">
        <v>476</v>
      </c>
      <c r="C26" s="12" t="s">
        <v>157</v>
      </c>
      <c r="D26" s="12" t="s">
        <v>784</v>
      </c>
      <c r="E26" s="12" t="s">
        <v>785</v>
      </c>
      <c r="F26" s="12" t="s">
        <v>790</v>
      </c>
      <c r="G26" s="12" t="s">
        <v>714</v>
      </c>
      <c r="H26" s="12">
        <v>0.0</v>
      </c>
      <c r="I26" s="12">
        <v>0.0</v>
      </c>
      <c r="J26" s="12"/>
      <c r="K26" s="12" t="b">
        <v>0</v>
      </c>
      <c r="L26" s="12" t="s">
        <v>675</v>
      </c>
      <c r="M26" s="12">
        <f>MIN(100,ROUND((MIN(H26,1000)/1000)*40+IF(A26="P0",35,IF(A26="P22",22,10))+IF(OR(G26=404,K26=FALSE),25,0),0))</f>
        <v>35</v>
      </c>
      <c r="N26" s="12" t="str">
        <f t="shared" si="1"/>
        <v>Wave 3</v>
      </c>
    </row>
    <row r="27" ht="15.75" customHeight="1">
      <c r="A27" s="17" t="s">
        <v>473</v>
      </c>
      <c r="B27" s="17" t="s">
        <v>669</v>
      </c>
      <c r="C27" s="17" t="s">
        <v>300</v>
      </c>
      <c r="D27" s="17" t="s">
        <v>793</v>
      </c>
      <c r="E27" s="17" t="s">
        <v>794</v>
      </c>
      <c r="F27" s="17" t="s">
        <v>795</v>
      </c>
      <c r="G27" s="17">
        <v>200.0</v>
      </c>
      <c r="H27" s="17">
        <v>10.0</v>
      </c>
      <c r="I27" s="17">
        <v>0.0</v>
      </c>
      <c r="J27" s="17">
        <v>9.3</v>
      </c>
      <c r="K27" s="17" t="b">
        <v>0</v>
      </c>
      <c r="L27" s="17" t="s">
        <v>675</v>
      </c>
      <c r="M27" s="17">
        <f>MIN(100,ROUND((MIN(H27,1000)/1000)*40+IF(A27="P0",35,IF(A27="P23",22,10))+IF(OR(G27=404,K27=FALSE),25,0),0))</f>
        <v>35</v>
      </c>
      <c r="N27" s="17" t="str">
        <f t="shared" si="1"/>
        <v>Wave 3</v>
      </c>
    </row>
    <row r="28" ht="15.75" customHeight="1">
      <c r="A28" s="12" t="s">
        <v>473</v>
      </c>
      <c r="B28" s="12" t="s">
        <v>476</v>
      </c>
      <c r="C28" s="12" t="s">
        <v>799</v>
      </c>
      <c r="D28" s="12" t="s">
        <v>793</v>
      </c>
      <c r="E28" s="12" t="s">
        <v>794</v>
      </c>
      <c r="F28" s="12" t="s">
        <v>800</v>
      </c>
      <c r="G28" s="12" t="s">
        <v>714</v>
      </c>
      <c r="H28" s="12">
        <v>0.0</v>
      </c>
      <c r="I28" s="12">
        <v>0.0</v>
      </c>
      <c r="J28" s="12"/>
      <c r="K28" s="12" t="b">
        <v>0</v>
      </c>
      <c r="L28" s="12" t="s">
        <v>675</v>
      </c>
      <c r="M28" s="12">
        <f>MIN(100,ROUND((MIN(H28,1000)/1000)*40+IF(A28="P0",35,IF(A28="P24",22,10))+IF(OR(G28=404,K28=FALSE),25,0),0))</f>
        <v>35</v>
      </c>
      <c r="N28" s="12" t="str">
        <f t="shared" si="1"/>
        <v>Wave 3</v>
      </c>
    </row>
    <row r="29" ht="15.75" customHeight="1">
      <c r="A29" s="17" t="s">
        <v>463</v>
      </c>
      <c r="B29" s="17" t="s">
        <v>669</v>
      </c>
      <c r="C29" s="17" t="s">
        <v>803</v>
      </c>
      <c r="D29" s="17" t="s">
        <v>804</v>
      </c>
      <c r="E29" s="17" t="s">
        <v>805</v>
      </c>
      <c r="F29" s="17" t="s">
        <v>806</v>
      </c>
      <c r="G29" s="17" t="s">
        <v>714</v>
      </c>
      <c r="H29" s="17">
        <v>0.0</v>
      </c>
      <c r="I29" s="17">
        <v>0.0</v>
      </c>
      <c r="J29" s="17"/>
      <c r="K29" s="17" t="b">
        <v>0</v>
      </c>
      <c r="L29" s="17" t="s">
        <v>675</v>
      </c>
      <c r="M29" s="17">
        <f>MIN(100,ROUND((MIN(H29,1000)/1000)*40+IF(A29="P0",35,IF(A29="P25",22,10))+IF(OR(G29=404,K29=FALSE),25,0),0))</f>
        <v>60</v>
      </c>
      <c r="N29" s="17" t="str">
        <f t="shared" si="1"/>
        <v>Wave 2</v>
      </c>
    </row>
    <row r="30" ht="15.75" customHeight="1">
      <c r="A30" s="12" t="s">
        <v>463</v>
      </c>
      <c r="B30" s="12" t="s">
        <v>476</v>
      </c>
      <c r="C30" s="12" t="s">
        <v>165</v>
      </c>
      <c r="D30" s="12" t="s">
        <v>804</v>
      </c>
      <c r="E30" s="12" t="s">
        <v>805</v>
      </c>
      <c r="F30" s="12" t="s">
        <v>810</v>
      </c>
      <c r="G30" s="12">
        <v>200.0</v>
      </c>
      <c r="H30" s="12">
        <v>51.0</v>
      </c>
      <c r="I30" s="12">
        <v>1.0</v>
      </c>
      <c r="J30" s="12">
        <v>20.9</v>
      </c>
      <c r="K30" s="12" t="b">
        <v>0</v>
      </c>
      <c r="L30" s="12" t="s">
        <v>675</v>
      </c>
      <c r="M30" s="12">
        <f>MIN(100,ROUND((MIN(H30,1000)/1000)*40+IF(A30="P0",35,IF(A30="P26",22,10))+IF(OR(G30=404,K30=FALSE),25,0),0))</f>
        <v>62</v>
      </c>
      <c r="N30" s="12" t="str">
        <f t="shared" si="1"/>
        <v>Wave 2</v>
      </c>
    </row>
    <row r="31" ht="15.75" customHeight="1">
      <c r="A31" s="17" t="s">
        <v>463</v>
      </c>
      <c r="B31" s="17" t="s">
        <v>669</v>
      </c>
      <c r="C31" s="17" t="s">
        <v>26</v>
      </c>
      <c r="D31" s="17" t="s">
        <v>812</v>
      </c>
      <c r="E31" s="17" t="s">
        <v>814</v>
      </c>
      <c r="F31" s="17" t="s">
        <v>533</v>
      </c>
      <c r="G31" s="17">
        <v>200.0</v>
      </c>
      <c r="H31" s="17">
        <v>1442.0</v>
      </c>
      <c r="I31" s="17">
        <v>31.0</v>
      </c>
      <c r="J31" s="17">
        <v>7.89</v>
      </c>
      <c r="K31" s="17" t="b">
        <v>0</v>
      </c>
      <c r="L31" s="17" t="s">
        <v>675</v>
      </c>
      <c r="M31" s="17">
        <f>MIN(100,ROUND((MIN(H31,1000)/1000)*40+IF(A31="P0",35,IF(A31="P27",22,10))+IF(OR(G31=404,K31=FALSE),25,0),0))</f>
        <v>100</v>
      </c>
      <c r="N31" s="17" t="str">
        <f t="shared" si="1"/>
        <v>Wave 1</v>
      </c>
    </row>
    <row r="32" ht="15.75" customHeight="1">
      <c r="A32" s="12" t="s">
        <v>463</v>
      </c>
      <c r="B32" s="12" t="s">
        <v>476</v>
      </c>
      <c r="C32" s="12" t="s">
        <v>140</v>
      </c>
      <c r="D32" s="12" t="s">
        <v>812</v>
      </c>
      <c r="E32" s="12" t="s">
        <v>814</v>
      </c>
      <c r="F32" s="12" t="s">
        <v>534</v>
      </c>
      <c r="G32" s="12">
        <v>200.0</v>
      </c>
      <c r="H32" s="12">
        <v>71.0</v>
      </c>
      <c r="I32" s="12">
        <v>1.0</v>
      </c>
      <c r="J32" s="12">
        <v>7.85</v>
      </c>
      <c r="K32" s="12" t="b">
        <v>0</v>
      </c>
      <c r="L32" s="12" t="s">
        <v>675</v>
      </c>
      <c r="M32" s="12">
        <f>MIN(100,ROUND((MIN(H32,1000)/1000)*40+IF(A32="P0",35,IF(A32="P28",22,10))+IF(OR(G32=404,K32=FALSE),25,0),0))</f>
        <v>63</v>
      </c>
      <c r="N32" s="12" t="str">
        <f t="shared" si="1"/>
        <v>Wave 2</v>
      </c>
    </row>
    <row r="33" ht="15.75" customHeight="1">
      <c r="A33" s="17" t="s">
        <v>473</v>
      </c>
      <c r="B33" s="17" t="s">
        <v>669</v>
      </c>
      <c r="C33" s="17" t="s">
        <v>50</v>
      </c>
      <c r="D33" s="17" t="s">
        <v>812</v>
      </c>
      <c r="E33" s="17" t="s">
        <v>821</v>
      </c>
      <c r="F33" s="17" t="s">
        <v>538</v>
      </c>
      <c r="G33" s="17">
        <v>200.0</v>
      </c>
      <c r="H33" s="17">
        <v>161.0</v>
      </c>
      <c r="I33" s="17">
        <v>7.0</v>
      </c>
      <c r="J33" s="17">
        <v>6.43</v>
      </c>
      <c r="K33" s="17" t="b">
        <v>0</v>
      </c>
      <c r="L33" s="17" t="s">
        <v>675</v>
      </c>
      <c r="M33" s="17">
        <f>MIN(100,ROUND((MIN(H33,1000)/1000)*40+IF(A33="P0",35,IF(A33="P29",22,10))+IF(OR(G33=404,K33=FALSE),25,0),0))</f>
        <v>41</v>
      </c>
      <c r="N33" s="17" t="str">
        <f t="shared" si="1"/>
        <v>Wave 3</v>
      </c>
    </row>
    <row r="34" ht="15.75" customHeight="1">
      <c r="A34" s="12" t="s">
        <v>473</v>
      </c>
      <c r="B34" s="12" t="s">
        <v>476</v>
      </c>
      <c r="C34" s="12" t="s">
        <v>99</v>
      </c>
      <c r="D34" s="12" t="s">
        <v>812</v>
      </c>
      <c r="E34" s="12" t="s">
        <v>821</v>
      </c>
      <c r="F34" s="12" t="s">
        <v>824</v>
      </c>
      <c r="G34" s="12">
        <v>200.0</v>
      </c>
      <c r="H34" s="12">
        <v>82.0</v>
      </c>
      <c r="I34" s="12">
        <v>2.0</v>
      </c>
      <c r="J34" s="12">
        <v>23.22</v>
      </c>
      <c r="K34" s="12" t="b">
        <v>0</v>
      </c>
      <c r="L34" s="12" t="s">
        <v>675</v>
      </c>
      <c r="M34" s="12">
        <f>MIN(100,ROUND((MIN(H34,1000)/1000)*40+IF(A34="P0",35,IF(A34="P30",22,10))+IF(OR(G34=404,K34=FALSE),25,0),0))</f>
        <v>38</v>
      </c>
      <c r="N34" s="12" t="str">
        <f t="shared" si="1"/>
        <v>Wave 3</v>
      </c>
    </row>
    <row r="35" ht="15.75" customHeight="1">
      <c r="A35" s="17" t="s">
        <v>463</v>
      </c>
      <c r="B35" s="17" t="s">
        <v>669</v>
      </c>
      <c r="C35" s="17" t="s">
        <v>51</v>
      </c>
      <c r="D35" s="17" t="s">
        <v>812</v>
      </c>
      <c r="E35" s="17" t="s">
        <v>825</v>
      </c>
      <c r="F35" s="17" t="s">
        <v>826</v>
      </c>
      <c r="G35" s="17">
        <v>200.0</v>
      </c>
      <c r="H35" s="17">
        <v>467.0</v>
      </c>
      <c r="I35" s="17">
        <v>1.0</v>
      </c>
      <c r="J35" s="17">
        <v>5.37</v>
      </c>
      <c r="K35" s="17" t="b">
        <v>0</v>
      </c>
      <c r="L35" s="17" t="s">
        <v>675</v>
      </c>
      <c r="M35" s="17">
        <f>MIN(100,ROUND((MIN(H35,1000)/1000)*40+IF(A35="P0",35,IF(A35="P31",22,10))+IF(OR(G35=404,K35=FALSE),25,0),0))</f>
        <v>79</v>
      </c>
      <c r="N35" s="17" t="str">
        <f t="shared" si="1"/>
        <v>Wave 1</v>
      </c>
    </row>
    <row r="36" ht="15.75" customHeight="1">
      <c r="A36" s="12" t="s">
        <v>463</v>
      </c>
      <c r="B36" s="12" t="s">
        <v>476</v>
      </c>
      <c r="C36" s="12" t="s">
        <v>90</v>
      </c>
      <c r="D36" s="12" t="s">
        <v>812</v>
      </c>
      <c r="E36" s="12" t="s">
        <v>825</v>
      </c>
      <c r="F36" s="12" t="s">
        <v>528</v>
      </c>
      <c r="G36" s="12">
        <v>200.0</v>
      </c>
      <c r="H36" s="12">
        <v>116.0</v>
      </c>
      <c r="I36" s="12">
        <v>2.0</v>
      </c>
      <c r="J36" s="12">
        <v>20.58</v>
      </c>
      <c r="K36" s="12" t="b">
        <v>0</v>
      </c>
      <c r="L36" s="12" t="s">
        <v>675</v>
      </c>
      <c r="M36" s="12">
        <f>MIN(100,ROUND((MIN(H36,1000)/1000)*40+IF(A36="P0",35,IF(A36="P32",22,10))+IF(OR(G36=404,K36=FALSE),25,0),0))</f>
        <v>65</v>
      </c>
      <c r="N36" s="12" t="str">
        <f t="shared" si="1"/>
        <v>Wave 2</v>
      </c>
    </row>
    <row r="37" ht="15.75" customHeight="1">
      <c r="A37" s="17" t="s">
        <v>463</v>
      </c>
      <c r="B37" s="17" t="s">
        <v>669</v>
      </c>
      <c r="C37" s="17" t="s">
        <v>86</v>
      </c>
      <c r="D37" s="17" t="s">
        <v>812</v>
      </c>
      <c r="E37" s="17" t="s">
        <v>829</v>
      </c>
      <c r="F37" s="17" t="s">
        <v>830</v>
      </c>
      <c r="G37" s="17">
        <v>200.0</v>
      </c>
      <c r="H37" s="17">
        <v>148.0</v>
      </c>
      <c r="I37" s="17">
        <v>2.0</v>
      </c>
      <c r="J37" s="17">
        <v>10.28</v>
      </c>
      <c r="K37" s="17" t="b">
        <v>0</v>
      </c>
      <c r="L37" s="17" t="s">
        <v>675</v>
      </c>
      <c r="M37" s="17">
        <f>MIN(100,ROUND((MIN(H37,1000)/1000)*40+IF(A37="P0",35,IF(A37="P33",22,10))+IF(OR(G37=404,K37=FALSE),25,0),0))</f>
        <v>66</v>
      </c>
      <c r="N37" s="17" t="str">
        <f t="shared" si="1"/>
        <v>Wave 2</v>
      </c>
    </row>
    <row r="38" ht="15.75" customHeight="1">
      <c r="A38" s="12" t="s">
        <v>463</v>
      </c>
      <c r="B38" s="12" t="s">
        <v>476</v>
      </c>
      <c r="C38" s="12" t="s">
        <v>232</v>
      </c>
      <c r="D38" s="12" t="s">
        <v>812</v>
      </c>
      <c r="E38" s="12" t="s">
        <v>829</v>
      </c>
      <c r="F38" s="12" t="s">
        <v>831</v>
      </c>
      <c r="G38" s="12">
        <v>200.0</v>
      </c>
      <c r="H38" s="12">
        <v>24.0</v>
      </c>
      <c r="I38" s="12">
        <v>0.0</v>
      </c>
      <c r="J38" s="12">
        <v>13.62</v>
      </c>
      <c r="K38" s="12" t="b">
        <v>0</v>
      </c>
      <c r="L38" s="12" t="s">
        <v>675</v>
      </c>
      <c r="M38" s="12">
        <f>MIN(100,ROUND((MIN(H38,1000)/1000)*40+IF(A38="P0",35,IF(A38="P34",22,10))+IF(OR(G38=404,K38=FALSE),25,0),0))</f>
        <v>61</v>
      </c>
      <c r="N38" s="12" t="str">
        <f t="shared" si="1"/>
        <v>Wave 2</v>
      </c>
    </row>
    <row r="39" ht="15.75" customHeight="1">
      <c r="A39" s="17" t="s">
        <v>463</v>
      </c>
      <c r="B39" s="17" t="s">
        <v>669</v>
      </c>
      <c r="C39" s="17" t="s">
        <v>36</v>
      </c>
      <c r="D39" s="17" t="s">
        <v>812</v>
      </c>
      <c r="E39" s="17" t="s">
        <v>834</v>
      </c>
      <c r="F39" s="17" t="s">
        <v>611</v>
      </c>
      <c r="G39" s="17">
        <v>200.0</v>
      </c>
      <c r="H39" s="17">
        <v>1390.0</v>
      </c>
      <c r="I39" s="17">
        <v>12.0</v>
      </c>
      <c r="J39" s="17">
        <v>8.31</v>
      </c>
      <c r="K39" s="17" t="b">
        <v>0</v>
      </c>
      <c r="L39" s="17" t="s">
        <v>675</v>
      </c>
      <c r="M39" s="17">
        <f>MIN(100,ROUND((MIN(H39,1000)/1000)*40+IF(A39="P0",35,IF(A39="P35",22,10))+IF(OR(G39=404,K39=FALSE),25,0),0))</f>
        <v>100</v>
      </c>
      <c r="N39" s="17" t="str">
        <f t="shared" si="1"/>
        <v>Wave 1</v>
      </c>
    </row>
    <row r="40" ht="15.75" customHeight="1">
      <c r="A40" s="12" t="s">
        <v>463</v>
      </c>
      <c r="B40" s="12" t="s">
        <v>476</v>
      </c>
      <c r="C40" s="12" t="s">
        <v>837</v>
      </c>
      <c r="D40" s="12" t="s">
        <v>812</v>
      </c>
      <c r="E40" s="12" t="s">
        <v>834</v>
      </c>
      <c r="F40" s="12" t="s">
        <v>612</v>
      </c>
      <c r="G40" s="12" t="s">
        <v>714</v>
      </c>
      <c r="H40" s="12">
        <v>0.0</v>
      </c>
      <c r="I40" s="12">
        <v>0.0</v>
      </c>
      <c r="J40" s="12"/>
      <c r="K40" s="12" t="b">
        <v>0</v>
      </c>
      <c r="L40" s="12" t="s">
        <v>675</v>
      </c>
      <c r="M40" s="12">
        <f>MIN(100,ROUND((MIN(H40,1000)/1000)*40+IF(A40="P0",35,IF(A40="P36",22,10))+IF(OR(G40=404,K40=FALSE),25,0),0))</f>
        <v>60</v>
      </c>
      <c r="N40" s="12" t="str">
        <f t="shared" si="1"/>
        <v>Wave 2</v>
      </c>
    </row>
    <row r="41" ht="15.75" customHeight="1">
      <c r="A41" s="17" t="s">
        <v>473</v>
      </c>
      <c r="B41" s="17" t="s">
        <v>669</v>
      </c>
      <c r="C41" s="17" t="s">
        <v>62</v>
      </c>
      <c r="D41" s="17" t="s">
        <v>812</v>
      </c>
      <c r="E41" s="17" t="s">
        <v>839</v>
      </c>
      <c r="F41" s="17" t="s">
        <v>605</v>
      </c>
      <c r="G41" s="17">
        <v>200.0</v>
      </c>
      <c r="H41" s="17">
        <v>194.0</v>
      </c>
      <c r="I41" s="17">
        <v>3.0</v>
      </c>
      <c r="J41" s="17">
        <v>7.24</v>
      </c>
      <c r="K41" s="17" t="b">
        <v>0</v>
      </c>
      <c r="L41" s="17" t="s">
        <v>675</v>
      </c>
      <c r="M41" s="17">
        <f>MIN(100,ROUND((MIN(H41,1000)/1000)*40+IF(A41="P0",35,IF(A41="P37",22,10))+IF(OR(G41=404,K41=FALSE),25,0),0))</f>
        <v>43</v>
      </c>
      <c r="N41" s="17" t="str">
        <f t="shared" si="1"/>
        <v>Wave 3</v>
      </c>
    </row>
    <row r="42" ht="15.75" customHeight="1">
      <c r="A42" s="12" t="s">
        <v>473</v>
      </c>
      <c r="B42" s="12" t="s">
        <v>476</v>
      </c>
      <c r="C42" s="12" t="s">
        <v>840</v>
      </c>
      <c r="D42" s="12" t="s">
        <v>812</v>
      </c>
      <c r="E42" s="12" t="s">
        <v>839</v>
      </c>
      <c r="F42" s="12" t="s">
        <v>606</v>
      </c>
      <c r="G42" s="12" t="s">
        <v>714</v>
      </c>
      <c r="H42" s="12">
        <v>0.0</v>
      </c>
      <c r="I42" s="12">
        <v>0.0</v>
      </c>
      <c r="J42" s="12"/>
      <c r="K42" s="12" t="b">
        <v>0</v>
      </c>
      <c r="L42" s="12" t="s">
        <v>675</v>
      </c>
      <c r="M42" s="12">
        <f>MIN(100,ROUND((MIN(H42,1000)/1000)*40+IF(A42="P0",35,IF(A42="P38",22,10))+IF(OR(G42=404,K42=FALSE),25,0),0))</f>
        <v>35</v>
      </c>
      <c r="N42" s="12" t="str">
        <f t="shared" si="1"/>
        <v>Wave 3</v>
      </c>
    </row>
    <row r="43" ht="15.75" customHeight="1">
      <c r="A43" s="17" t="s">
        <v>473</v>
      </c>
      <c r="B43" s="17" t="s">
        <v>669</v>
      </c>
      <c r="C43" s="17" t="s">
        <v>82</v>
      </c>
      <c r="D43" s="17" t="s">
        <v>812</v>
      </c>
      <c r="E43" s="17" t="s">
        <v>844</v>
      </c>
      <c r="F43" s="17" t="s">
        <v>845</v>
      </c>
      <c r="G43" s="17">
        <v>200.0</v>
      </c>
      <c r="H43" s="17">
        <v>380.0</v>
      </c>
      <c r="I43" s="17">
        <v>2.0</v>
      </c>
      <c r="J43" s="17">
        <v>5.53</v>
      </c>
      <c r="K43" s="17" t="b">
        <v>0</v>
      </c>
      <c r="L43" s="17" t="s">
        <v>675</v>
      </c>
      <c r="M43" s="17">
        <f>MIN(100,ROUND((MIN(H43,1000)/1000)*40+IF(A43="P0",35,IF(A43="P39",22,10))+IF(OR(G43=404,K43=FALSE),25,0),0))</f>
        <v>50</v>
      </c>
      <c r="N43" s="17" t="str">
        <f t="shared" si="1"/>
        <v>Wave 2</v>
      </c>
    </row>
    <row r="44" ht="15.75" customHeight="1">
      <c r="A44" s="12" t="s">
        <v>473</v>
      </c>
      <c r="B44" s="12" t="s">
        <v>476</v>
      </c>
      <c r="C44" s="12" t="s">
        <v>848</v>
      </c>
      <c r="D44" s="12" t="s">
        <v>812</v>
      </c>
      <c r="E44" s="12" t="s">
        <v>844</v>
      </c>
      <c r="F44" s="12" t="s">
        <v>850</v>
      </c>
      <c r="G44" s="12" t="s">
        <v>714</v>
      </c>
      <c r="H44" s="12">
        <v>0.0</v>
      </c>
      <c r="I44" s="12">
        <v>0.0</v>
      </c>
      <c r="J44" s="12"/>
      <c r="K44" s="12" t="b">
        <v>0</v>
      </c>
      <c r="L44" s="12" t="s">
        <v>675</v>
      </c>
      <c r="M44" s="12">
        <f>MIN(100,ROUND((MIN(H44,1000)/1000)*40+IF(A44="P0",35,IF(A44="P40",22,10))+IF(OR(G44=404,K44=FALSE),25,0),0))</f>
        <v>35</v>
      </c>
      <c r="N44" s="12" t="str">
        <f t="shared" si="1"/>
        <v>Wave 3</v>
      </c>
    </row>
    <row r="45" ht="15.75" customHeight="1">
      <c r="A45" s="17" t="s">
        <v>473</v>
      </c>
      <c r="B45" s="17" t="s">
        <v>669</v>
      </c>
      <c r="C45" s="17" t="s">
        <v>239</v>
      </c>
      <c r="D45" s="17" t="s">
        <v>812</v>
      </c>
      <c r="E45" s="17" t="s">
        <v>863</v>
      </c>
      <c r="F45" s="17" t="s">
        <v>865</v>
      </c>
      <c r="G45" s="17">
        <v>200.0</v>
      </c>
      <c r="H45" s="17">
        <v>22.0</v>
      </c>
      <c r="I45" s="17">
        <v>0.0</v>
      </c>
      <c r="J45" s="17">
        <v>10.09</v>
      </c>
      <c r="K45" s="17" t="b">
        <v>0</v>
      </c>
      <c r="L45" s="17" t="s">
        <v>675</v>
      </c>
      <c r="M45" s="17">
        <f>MIN(100,ROUND((MIN(H45,1000)/1000)*40+IF(A45="P0",35,IF(A45="P41",22,10))+IF(OR(G45=404,K45=FALSE),25,0),0))</f>
        <v>36</v>
      </c>
      <c r="N45" s="17" t="str">
        <f t="shared" si="1"/>
        <v>Wave 3</v>
      </c>
    </row>
    <row r="46" ht="15.75" customHeight="1">
      <c r="A46" s="12" t="s">
        <v>473</v>
      </c>
      <c r="B46" s="12" t="s">
        <v>476</v>
      </c>
      <c r="C46" s="12" t="s">
        <v>872</v>
      </c>
      <c r="D46" s="12" t="s">
        <v>812</v>
      </c>
      <c r="E46" s="12" t="s">
        <v>863</v>
      </c>
      <c r="F46" s="12" t="s">
        <v>876</v>
      </c>
      <c r="G46" s="12" t="s">
        <v>714</v>
      </c>
      <c r="H46" s="12">
        <v>0.0</v>
      </c>
      <c r="I46" s="12">
        <v>0.0</v>
      </c>
      <c r="J46" s="12"/>
      <c r="K46" s="12" t="b">
        <v>0</v>
      </c>
      <c r="L46" s="12" t="s">
        <v>675</v>
      </c>
      <c r="M46" s="12">
        <f>MIN(100,ROUND((MIN(H46,1000)/1000)*40+IF(A46="P0",35,IF(A46="P42",22,10))+IF(OR(G46=404,K46=FALSE),25,0),0))</f>
        <v>35</v>
      </c>
      <c r="N46" s="12" t="str">
        <f t="shared" si="1"/>
        <v>Wave 3</v>
      </c>
    </row>
    <row r="47" ht="15.75" customHeight="1">
      <c r="A47" s="17" t="s">
        <v>473</v>
      </c>
      <c r="B47" s="17" t="s">
        <v>669</v>
      </c>
      <c r="C47" s="17" t="s">
        <v>169</v>
      </c>
      <c r="D47" s="17" t="s">
        <v>812</v>
      </c>
      <c r="E47" s="17" t="s">
        <v>863</v>
      </c>
      <c r="F47" s="17" t="s">
        <v>586</v>
      </c>
      <c r="G47" s="17">
        <v>200.0</v>
      </c>
      <c r="H47" s="17">
        <v>45.0</v>
      </c>
      <c r="I47" s="17">
        <v>1.0</v>
      </c>
      <c r="J47" s="17">
        <v>7.07</v>
      </c>
      <c r="K47" s="17" t="b">
        <v>0</v>
      </c>
      <c r="L47" s="17" t="s">
        <v>675</v>
      </c>
      <c r="M47" s="17">
        <f>MIN(100,ROUND((MIN(H47,1000)/1000)*40+IF(A47="P0",35,IF(A47="P43",22,10))+IF(OR(G47=404,K47=FALSE),25,0),0))</f>
        <v>37</v>
      </c>
      <c r="N47" s="17" t="str">
        <f t="shared" si="1"/>
        <v>Wave 3</v>
      </c>
    </row>
    <row r="48" ht="15.75" customHeight="1">
      <c r="A48" s="12" t="s">
        <v>473</v>
      </c>
      <c r="B48" s="12" t="s">
        <v>476</v>
      </c>
      <c r="C48" s="12" t="s">
        <v>887</v>
      </c>
      <c r="D48" s="12" t="s">
        <v>812</v>
      </c>
      <c r="E48" s="12" t="s">
        <v>863</v>
      </c>
      <c r="F48" s="12" t="s">
        <v>889</v>
      </c>
      <c r="G48" s="12" t="s">
        <v>714</v>
      </c>
      <c r="H48" s="12">
        <v>0.0</v>
      </c>
      <c r="I48" s="12">
        <v>0.0</v>
      </c>
      <c r="J48" s="12"/>
      <c r="K48" s="12" t="b">
        <v>0</v>
      </c>
      <c r="L48" s="12" t="s">
        <v>675</v>
      </c>
      <c r="M48" s="12">
        <f>MIN(100,ROUND((MIN(H48,1000)/1000)*40+IF(A48="P0",35,IF(A48="P44",22,10))+IF(OR(G48=404,K48=FALSE),25,0),0))</f>
        <v>35</v>
      </c>
      <c r="N48" s="12" t="str">
        <f t="shared" si="1"/>
        <v>Wave 3</v>
      </c>
    </row>
    <row r="49" ht="15.75" customHeight="1">
      <c r="A49" s="17" t="s">
        <v>473</v>
      </c>
      <c r="B49" s="17" t="s">
        <v>669</v>
      </c>
      <c r="C49" s="17" t="s">
        <v>896</v>
      </c>
      <c r="D49" s="17" t="s">
        <v>812</v>
      </c>
      <c r="E49" s="17" t="s">
        <v>897</v>
      </c>
      <c r="F49" s="17" t="s">
        <v>593</v>
      </c>
      <c r="G49" s="17" t="s">
        <v>714</v>
      </c>
      <c r="H49" s="17">
        <v>0.0</v>
      </c>
      <c r="I49" s="17">
        <v>0.0</v>
      </c>
      <c r="J49" s="17"/>
      <c r="K49" s="17" t="b">
        <v>0</v>
      </c>
      <c r="L49" s="17" t="s">
        <v>675</v>
      </c>
      <c r="M49" s="17">
        <f>MIN(100,ROUND((MIN(H49,1000)/1000)*40+IF(A49="P0",35,IF(A49="P45",22,10))+IF(OR(G49=404,K49=FALSE),25,0),0))</f>
        <v>35</v>
      </c>
      <c r="N49" s="17" t="str">
        <f t="shared" si="1"/>
        <v>Wave 3</v>
      </c>
    </row>
    <row r="50" ht="15.75" customHeight="1">
      <c r="A50" s="12" t="s">
        <v>473</v>
      </c>
      <c r="B50" s="12" t="s">
        <v>476</v>
      </c>
      <c r="C50" s="12" t="s">
        <v>904</v>
      </c>
      <c r="D50" s="12" t="s">
        <v>812</v>
      </c>
      <c r="E50" s="12" t="s">
        <v>897</v>
      </c>
      <c r="F50" s="12" t="s">
        <v>595</v>
      </c>
      <c r="G50" s="12" t="s">
        <v>714</v>
      </c>
      <c r="H50" s="12">
        <v>0.0</v>
      </c>
      <c r="I50" s="12">
        <v>0.0</v>
      </c>
      <c r="J50" s="12"/>
      <c r="K50" s="12" t="b">
        <v>0</v>
      </c>
      <c r="L50" s="12" t="s">
        <v>675</v>
      </c>
      <c r="M50" s="12">
        <f>MIN(100,ROUND((MIN(H50,1000)/1000)*40+IF(A50="P0",35,IF(A50="P46",22,10))+IF(OR(G50=404,K50=FALSE),25,0),0))</f>
        <v>35</v>
      </c>
      <c r="N50" s="12" t="str">
        <f t="shared" si="1"/>
        <v>Wave 3</v>
      </c>
    </row>
    <row r="51" ht="15.75" customHeight="1">
      <c r="A51" s="17" t="s">
        <v>473</v>
      </c>
      <c r="B51" s="17" t="s">
        <v>669</v>
      </c>
      <c r="C51" s="17" t="s">
        <v>910</v>
      </c>
      <c r="D51" s="17" t="s">
        <v>812</v>
      </c>
      <c r="E51" s="17" t="s">
        <v>912</v>
      </c>
      <c r="F51" s="17" t="s">
        <v>599</v>
      </c>
      <c r="G51" s="17" t="s">
        <v>714</v>
      </c>
      <c r="H51" s="17">
        <v>0.0</v>
      </c>
      <c r="I51" s="17">
        <v>0.0</v>
      </c>
      <c r="J51" s="17"/>
      <c r="K51" s="17" t="b">
        <v>0</v>
      </c>
      <c r="L51" s="17" t="s">
        <v>675</v>
      </c>
      <c r="M51" s="17">
        <f>MIN(100,ROUND((MIN(H51,1000)/1000)*40+IF(A51="P0",35,IF(A51="P47",22,10))+IF(OR(G51=404,K51=FALSE),25,0),0))</f>
        <v>35</v>
      </c>
      <c r="N51" s="17" t="str">
        <f t="shared" si="1"/>
        <v>Wave 3</v>
      </c>
    </row>
    <row r="52" ht="15.75" customHeight="1">
      <c r="A52" s="12" t="s">
        <v>473</v>
      </c>
      <c r="B52" s="12" t="s">
        <v>476</v>
      </c>
      <c r="C52" s="12" t="s">
        <v>916</v>
      </c>
      <c r="D52" s="12" t="s">
        <v>812</v>
      </c>
      <c r="E52" s="12" t="s">
        <v>912</v>
      </c>
      <c r="F52" s="12" t="s">
        <v>918</v>
      </c>
      <c r="G52" s="12" t="s">
        <v>714</v>
      </c>
      <c r="H52" s="12">
        <v>0.0</v>
      </c>
      <c r="I52" s="12">
        <v>0.0</v>
      </c>
      <c r="J52" s="12"/>
      <c r="K52" s="12" t="b">
        <v>0</v>
      </c>
      <c r="L52" s="12" t="s">
        <v>675</v>
      </c>
      <c r="M52" s="12">
        <f>MIN(100,ROUND((MIN(H52,1000)/1000)*40+IF(A52="P0",35,IF(A52="P48",22,10))+IF(OR(G52=404,K52=FALSE),25,0),0))</f>
        <v>35</v>
      </c>
      <c r="N52" s="12" t="str">
        <f t="shared" si="1"/>
        <v>Wave 3</v>
      </c>
    </row>
    <row r="53" ht="15.75" customHeight="1">
      <c r="A53" s="17" t="s">
        <v>473</v>
      </c>
      <c r="B53" s="17" t="s">
        <v>669</v>
      </c>
      <c r="C53" s="17" t="s">
        <v>38</v>
      </c>
      <c r="D53" s="17" t="s">
        <v>812</v>
      </c>
      <c r="E53" s="17" t="s">
        <v>923</v>
      </c>
      <c r="F53" s="17" t="s">
        <v>924</v>
      </c>
      <c r="G53" s="17" t="s">
        <v>714</v>
      </c>
      <c r="H53" s="17">
        <v>0.0</v>
      </c>
      <c r="I53" s="17">
        <v>0.0</v>
      </c>
      <c r="J53" s="17"/>
      <c r="K53" s="17" t="b">
        <v>0</v>
      </c>
      <c r="L53" s="17" t="s">
        <v>675</v>
      </c>
      <c r="M53" s="17">
        <f>MIN(100,ROUND((MIN(H53,1000)/1000)*40+IF(A53="P0",35,IF(A53="P49",22,10))+IF(OR(G53=404,K53=FALSE),25,0),0))</f>
        <v>35</v>
      </c>
      <c r="N53" s="17" t="str">
        <f t="shared" si="1"/>
        <v>Wave 3</v>
      </c>
    </row>
    <row r="54" ht="15.75" customHeight="1">
      <c r="A54" s="12" t="s">
        <v>473</v>
      </c>
      <c r="B54" s="12" t="s">
        <v>476</v>
      </c>
      <c r="C54" s="12" t="s">
        <v>927</v>
      </c>
      <c r="D54" s="12" t="s">
        <v>812</v>
      </c>
      <c r="E54" s="12" t="s">
        <v>923</v>
      </c>
      <c r="F54" s="12" t="s">
        <v>929</v>
      </c>
      <c r="G54" s="12" t="s">
        <v>714</v>
      </c>
      <c r="H54" s="12">
        <v>0.0</v>
      </c>
      <c r="I54" s="12">
        <v>0.0</v>
      </c>
      <c r="J54" s="12"/>
      <c r="K54" s="12" t="b">
        <v>0</v>
      </c>
      <c r="L54" s="12" t="s">
        <v>675</v>
      </c>
      <c r="M54" s="12">
        <f>MIN(100,ROUND((MIN(H54,1000)/1000)*40+IF(A54="P0",35,IF(A54="P50",22,10))+IF(OR(G54=404,K54=FALSE),25,0),0))</f>
        <v>35</v>
      </c>
      <c r="N54" s="12" t="str">
        <f t="shared" si="1"/>
        <v>Wave 3</v>
      </c>
    </row>
    <row r="55" ht="15.75" customHeight="1">
      <c r="A55" s="17" t="s">
        <v>463</v>
      </c>
      <c r="B55" s="17" t="s">
        <v>669</v>
      </c>
      <c r="C55" s="17" t="s">
        <v>935</v>
      </c>
      <c r="D55" s="17" t="s">
        <v>937</v>
      </c>
      <c r="E55" s="17" t="s">
        <v>938</v>
      </c>
      <c r="F55" s="17" t="s">
        <v>549</v>
      </c>
      <c r="G55" s="17" t="s">
        <v>714</v>
      </c>
      <c r="H55" s="17">
        <v>0.0</v>
      </c>
      <c r="I55" s="17">
        <v>0.0</v>
      </c>
      <c r="J55" s="17"/>
      <c r="K55" s="17" t="b">
        <v>0</v>
      </c>
      <c r="L55" s="17" t="s">
        <v>675</v>
      </c>
      <c r="M55" s="17">
        <f>MIN(100,ROUND((MIN(H55,1000)/1000)*40+IF(A55="P0",35,IF(A55="P51",22,10))+IF(OR(G55=404,K55=FALSE),25,0),0))</f>
        <v>60</v>
      </c>
      <c r="N55" s="17" t="str">
        <f t="shared" si="1"/>
        <v>Wave 2</v>
      </c>
    </row>
    <row r="56" ht="15.75" customHeight="1">
      <c r="A56" s="12" t="s">
        <v>463</v>
      </c>
      <c r="B56" s="12" t="s">
        <v>476</v>
      </c>
      <c r="C56" s="12" t="s">
        <v>943</v>
      </c>
      <c r="D56" s="12" t="s">
        <v>937</v>
      </c>
      <c r="E56" s="12" t="s">
        <v>938</v>
      </c>
      <c r="F56" s="12" t="s">
        <v>550</v>
      </c>
      <c r="G56" s="12" t="s">
        <v>714</v>
      </c>
      <c r="H56" s="12">
        <v>0.0</v>
      </c>
      <c r="I56" s="12">
        <v>0.0</v>
      </c>
      <c r="J56" s="12"/>
      <c r="K56" s="12" t="b">
        <v>0</v>
      </c>
      <c r="L56" s="12" t="s">
        <v>675</v>
      </c>
      <c r="M56" s="12">
        <f>MIN(100,ROUND((MIN(H56,1000)/1000)*40+IF(A56="P0",35,IF(A56="P52",22,10))+IF(OR(G56=404,K56=FALSE),25,0),0))</f>
        <v>60</v>
      </c>
      <c r="N56" s="12" t="str">
        <f t="shared" si="1"/>
        <v>Wave 2</v>
      </c>
    </row>
    <row r="57" ht="15.75" customHeight="1">
      <c r="A57" s="17" t="s">
        <v>463</v>
      </c>
      <c r="B57" s="17" t="s">
        <v>669</v>
      </c>
      <c r="C57" s="17" t="s">
        <v>950</v>
      </c>
      <c r="D57" s="17" t="s">
        <v>937</v>
      </c>
      <c r="E57" s="17" t="s">
        <v>938</v>
      </c>
      <c r="F57" s="17" t="s">
        <v>554</v>
      </c>
      <c r="G57" s="17" t="s">
        <v>714</v>
      </c>
      <c r="H57" s="17">
        <v>0.0</v>
      </c>
      <c r="I57" s="17">
        <v>0.0</v>
      </c>
      <c r="J57" s="17"/>
      <c r="K57" s="17" t="b">
        <v>0</v>
      </c>
      <c r="L57" s="17" t="s">
        <v>675</v>
      </c>
      <c r="M57" s="17">
        <f>MIN(100,ROUND((MIN(H57,1000)/1000)*40+IF(A57="P0",35,IF(A57="P53",22,10))+IF(OR(G57=404,K57=FALSE),25,0),0))</f>
        <v>60</v>
      </c>
      <c r="N57" s="17" t="str">
        <f t="shared" si="1"/>
        <v>Wave 2</v>
      </c>
    </row>
    <row r="58" ht="15.75" customHeight="1">
      <c r="A58" s="12" t="s">
        <v>463</v>
      </c>
      <c r="B58" s="12" t="s">
        <v>476</v>
      </c>
      <c r="C58" s="12" t="s">
        <v>955</v>
      </c>
      <c r="D58" s="12" t="s">
        <v>937</v>
      </c>
      <c r="E58" s="12" t="s">
        <v>938</v>
      </c>
      <c r="F58" s="12" t="s">
        <v>555</v>
      </c>
      <c r="G58" s="12" t="s">
        <v>714</v>
      </c>
      <c r="H58" s="12">
        <v>0.0</v>
      </c>
      <c r="I58" s="12">
        <v>0.0</v>
      </c>
      <c r="J58" s="12"/>
      <c r="K58" s="12" t="b">
        <v>0</v>
      </c>
      <c r="L58" s="12" t="s">
        <v>675</v>
      </c>
      <c r="M58" s="12">
        <f>MIN(100,ROUND((MIN(H58,1000)/1000)*40+IF(A58="P0",35,IF(A58="P54",22,10))+IF(OR(G58=404,K58=FALSE),25,0),0))</f>
        <v>60</v>
      </c>
      <c r="N58" s="12" t="str">
        <f t="shared" si="1"/>
        <v>Wave 2</v>
      </c>
    </row>
    <row r="59" ht="15.75" customHeight="1">
      <c r="A59" s="17" t="s">
        <v>473</v>
      </c>
      <c r="B59" s="17" t="s">
        <v>669</v>
      </c>
      <c r="C59" s="17" t="s">
        <v>287</v>
      </c>
      <c r="D59" s="17" t="s">
        <v>937</v>
      </c>
      <c r="E59" s="17" t="s">
        <v>938</v>
      </c>
      <c r="F59" s="17" t="s">
        <v>962</v>
      </c>
      <c r="G59" s="17">
        <v>200.0</v>
      </c>
      <c r="H59" s="17">
        <v>11.0</v>
      </c>
      <c r="I59" s="17">
        <v>0.0</v>
      </c>
      <c r="J59" s="17">
        <v>10.0</v>
      </c>
      <c r="K59" s="17" t="b">
        <v>0</v>
      </c>
      <c r="L59" s="17" t="s">
        <v>675</v>
      </c>
      <c r="M59" s="17">
        <f>MIN(100,ROUND((MIN(H59,1000)/1000)*40+IF(A59="P0",35,IF(A59="P55",22,10))+IF(OR(G59=404,K59=FALSE),25,0),0))</f>
        <v>35</v>
      </c>
      <c r="N59" s="17" t="str">
        <f t="shared" si="1"/>
        <v>Wave 3</v>
      </c>
    </row>
    <row r="60" ht="15.75" customHeight="1">
      <c r="A60" s="12" t="s">
        <v>473</v>
      </c>
      <c r="B60" s="12" t="s">
        <v>476</v>
      </c>
      <c r="C60" s="12" t="s">
        <v>968</v>
      </c>
      <c r="D60" s="12" t="s">
        <v>937</v>
      </c>
      <c r="E60" s="12" t="s">
        <v>938</v>
      </c>
      <c r="F60" s="12" t="s">
        <v>969</v>
      </c>
      <c r="G60" s="12" t="s">
        <v>714</v>
      </c>
      <c r="H60" s="12">
        <v>0.0</v>
      </c>
      <c r="I60" s="12">
        <v>0.0</v>
      </c>
      <c r="J60" s="12"/>
      <c r="K60" s="12" t="b">
        <v>0</v>
      </c>
      <c r="L60" s="12" t="s">
        <v>675</v>
      </c>
      <c r="M60" s="12">
        <f>MIN(100,ROUND((MIN(H60,1000)/1000)*40+IF(A60="P0",35,IF(A60="P56",22,10))+IF(OR(G60=404,K60=FALSE),25,0),0))</f>
        <v>35</v>
      </c>
      <c r="N60" s="12" t="str">
        <f t="shared" si="1"/>
        <v>Wave 3</v>
      </c>
    </row>
    <row r="61" ht="15.75" customHeight="1">
      <c r="A61" s="17" t="s">
        <v>473</v>
      </c>
      <c r="B61" s="17" t="s">
        <v>669</v>
      </c>
      <c r="C61" s="17" t="s">
        <v>973</v>
      </c>
      <c r="D61" s="17" t="s">
        <v>937</v>
      </c>
      <c r="E61" s="17" t="s">
        <v>938</v>
      </c>
      <c r="F61" s="17" t="s">
        <v>975</v>
      </c>
      <c r="G61" s="17" t="s">
        <v>714</v>
      </c>
      <c r="H61" s="17">
        <v>0.0</v>
      </c>
      <c r="I61" s="17">
        <v>0.0</v>
      </c>
      <c r="J61" s="17"/>
      <c r="K61" s="17" t="b">
        <v>0</v>
      </c>
      <c r="L61" s="17" t="s">
        <v>675</v>
      </c>
      <c r="M61" s="17">
        <f>MIN(100,ROUND((MIN(H61,1000)/1000)*40+IF(A61="P0",35,IF(A61="P57",22,10))+IF(OR(G61=404,K61=FALSE),25,0),0))</f>
        <v>35</v>
      </c>
      <c r="N61" s="17" t="str">
        <f t="shared" si="1"/>
        <v>Wave 3</v>
      </c>
    </row>
    <row r="62" ht="15.75" customHeight="1">
      <c r="A62" s="12" t="s">
        <v>473</v>
      </c>
      <c r="B62" s="12" t="s">
        <v>476</v>
      </c>
      <c r="C62" s="12" t="s">
        <v>195</v>
      </c>
      <c r="D62" s="12" t="s">
        <v>937</v>
      </c>
      <c r="E62" s="12" t="s">
        <v>938</v>
      </c>
      <c r="F62" s="12" t="s">
        <v>983</v>
      </c>
      <c r="G62" s="12">
        <v>200.0</v>
      </c>
      <c r="H62" s="12">
        <v>9.0</v>
      </c>
      <c r="I62" s="12">
        <v>1.0</v>
      </c>
      <c r="J62" s="12">
        <v>10.22</v>
      </c>
      <c r="K62" s="12" t="b">
        <v>0</v>
      </c>
      <c r="L62" s="12" t="s">
        <v>675</v>
      </c>
      <c r="M62" s="12">
        <f>MIN(100,ROUND((MIN(H62,1000)/1000)*40+IF(A62="P0",35,IF(A62="P58",22,10))+IF(OR(G62=404,K62=FALSE),25,0),0))</f>
        <v>35</v>
      </c>
      <c r="N62" s="12" t="str">
        <f t="shared" si="1"/>
        <v>Wave 3</v>
      </c>
    </row>
    <row r="63" ht="15.75" customHeight="1">
      <c r="A63" s="17" t="s">
        <v>473</v>
      </c>
      <c r="B63" s="17" t="s">
        <v>669</v>
      </c>
      <c r="C63" s="17" t="s">
        <v>71</v>
      </c>
      <c r="D63" s="17" t="s">
        <v>937</v>
      </c>
      <c r="E63" s="17" t="s">
        <v>938</v>
      </c>
      <c r="F63" s="17" t="s">
        <v>989</v>
      </c>
      <c r="G63" s="17">
        <v>200.0</v>
      </c>
      <c r="H63" s="17">
        <v>69.0</v>
      </c>
      <c r="I63" s="17">
        <v>3.0</v>
      </c>
      <c r="J63" s="17">
        <v>7.45</v>
      </c>
      <c r="K63" s="17" t="b">
        <v>0</v>
      </c>
      <c r="L63" s="17" t="s">
        <v>675</v>
      </c>
      <c r="M63" s="17">
        <f>MIN(100,ROUND((MIN(H63,1000)/1000)*40+IF(A63="P0",35,IF(A63="P59",22,10))+IF(OR(G63=404,K63=FALSE),25,0),0))</f>
        <v>38</v>
      </c>
      <c r="N63" s="17" t="str">
        <f t="shared" si="1"/>
        <v>Wave 3</v>
      </c>
    </row>
    <row r="64" ht="15.75" customHeight="1">
      <c r="A64" s="12" t="s">
        <v>473</v>
      </c>
      <c r="B64" s="12" t="s">
        <v>476</v>
      </c>
      <c r="C64" s="12" t="s">
        <v>995</v>
      </c>
      <c r="D64" s="12" t="s">
        <v>937</v>
      </c>
      <c r="E64" s="12" t="s">
        <v>938</v>
      </c>
      <c r="F64" s="12" t="s">
        <v>997</v>
      </c>
      <c r="G64" s="12" t="s">
        <v>714</v>
      </c>
      <c r="H64" s="12">
        <v>0.0</v>
      </c>
      <c r="I64" s="12">
        <v>0.0</v>
      </c>
      <c r="J64" s="12"/>
      <c r="K64" s="12" t="b">
        <v>0</v>
      </c>
      <c r="L64" s="12" t="s">
        <v>675</v>
      </c>
      <c r="M64" s="12">
        <f>MIN(100,ROUND((MIN(H64,1000)/1000)*40+IF(A64="P0",35,IF(A64="P60",22,10))+IF(OR(G64=404,K64=FALSE),25,0),0))</f>
        <v>35</v>
      </c>
      <c r="N64" s="12" t="str">
        <f t="shared" si="1"/>
        <v>Wave 3</v>
      </c>
    </row>
    <row r="65" ht="15.75" customHeight="1">
      <c r="A65" s="17" t="s">
        <v>473</v>
      </c>
      <c r="B65" s="17" t="s">
        <v>669</v>
      </c>
      <c r="C65" s="17" t="s">
        <v>1000</v>
      </c>
      <c r="D65" s="17" t="s">
        <v>937</v>
      </c>
      <c r="E65" s="17" t="s">
        <v>938</v>
      </c>
      <c r="F65" s="17" t="s">
        <v>1001</v>
      </c>
      <c r="G65" s="17" t="s">
        <v>714</v>
      </c>
      <c r="H65" s="17">
        <v>0.0</v>
      </c>
      <c r="I65" s="17">
        <v>0.0</v>
      </c>
      <c r="J65" s="17"/>
      <c r="K65" s="17" t="b">
        <v>0</v>
      </c>
      <c r="L65" s="17" t="s">
        <v>675</v>
      </c>
      <c r="M65" s="17">
        <f>MIN(100,ROUND((MIN(H65,1000)/1000)*40+IF(A65="P0",35,IF(A65="P61",22,10))+IF(OR(G65=404,K65=FALSE),25,0),0))</f>
        <v>35</v>
      </c>
      <c r="N65" s="17" t="str">
        <f t="shared" si="1"/>
        <v>Wave 3</v>
      </c>
    </row>
    <row r="66" ht="15.75" customHeight="1">
      <c r="A66" s="12" t="s">
        <v>473</v>
      </c>
      <c r="B66" s="12" t="s">
        <v>476</v>
      </c>
      <c r="C66" s="12" t="s">
        <v>1021</v>
      </c>
      <c r="D66" s="12" t="s">
        <v>937</v>
      </c>
      <c r="E66" s="12" t="s">
        <v>938</v>
      </c>
      <c r="F66" s="12" t="s">
        <v>1024</v>
      </c>
      <c r="G66" s="12" t="s">
        <v>714</v>
      </c>
      <c r="H66" s="12">
        <v>0.0</v>
      </c>
      <c r="I66" s="12">
        <v>0.0</v>
      </c>
      <c r="J66" s="12"/>
      <c r="K66" s="12" t="b">
        <v>0</v>
      </c>
      <c r="L66" s="12" t="s">
        <v>675</v>
      </c>
      <c r="M66" s="12">
        <f>MIN(100,ROUND((MIN(H66,1000)/1000)*40+IF(A66="P0",35,IF(A66="P62",22,10))+IF(OR(G66=404,K66=FALSE),25,0),0))</f>
        <v>35</v>
      </c>
      <c r="N66" s="12" t="str">
        <f t="shared" si="1"/>
        <v>Wave 3</v>
      </c>
    </row>
    <row r="67" ht="15.75" customHeight="1">
      <c r="A67" s="17" t="s">
        <v>473</v>
      </c>
      <c r="B67" s="17" t="s">
        <v>669</v>
      </c>
      <c r="C67" s="17" t="s">
        <v>220</v>
      </c>
      <c r="D67" s="17" t="s">
        <v>937</v>
      </c>
      <c r="E67" s="17" t="s">
        <v>938</v>
      </c>
      <c r="F67" s="17" t="s">
        <v>1006</v>
      </c>
      <c r="G67" s="17">
        <v>200.0</v>
      </c>
      <c r="H67" s="17">
        <v>68.0</v>
      </c>
      <c r="I67" s="17">
        <v>0.0</v>
      </c>
      <c r="J67" s="17">
        <v>12.44</v>
      </c>
      <c r="K67" s="17" t="b">
        <v>0</v>
      </c>
      <c r="L67" s="17" t="s">
        <v>675</v>
      </c>
      <c r="M67" s="17">
        <f>MIN(100,ROUND((MIN(H67,1000)/1000)*40+IF(A67="P0",35,IF(A67="P63",22,10))+IF(OR(G67=404,K67=FALSE),25,0),0))</f>
        <v>38</v>
      </c>
      <c r="N67" s="17" t="str">
        <f t="shared" si="1"/>
        <v>Wave 3</v>
      </c>
    </row>
    <row r="68" ht="15.75" customHeight="1">
      <c r="A68" s="12" t="s">
        <v>473</v>
      </c>
      <c r="B68" s="12" t="s">
        <v>476</v>
      </c>
      <c r="C68" s="12" t="s">
        <v>1056</v>
      </c>
      <c r="D68" s="12" t="s">
        <v>937</v>
      </c>
      <c r="E68" s="12" t="s">
        <v>938</v>
      </c>
      <c r="F68" s="12" t="s">
        <v>1059</v>
      </c>
      <c r="G68" s="12" t="s">
        <v>714</v>
      </c>
      <c r="H68" s="12">
        <v>0.0</v>
      </c>
      <c r="I68" s="12">
        <v>0.0</v>
      </c>
      <c r="J68" s="12"/>
      <c r="K68" s="12" t="b">
        <v>0</v>
      </c>
      <c r="L68" s="12" t="s">
        <v>675</v>
      </c>
      <c r="M68" s="12">
        <f>MIN(100,ROUND((MIN(H68,1000)/1000)*40+IF(A68="P0",35,IF(A68="P64",22,10))+IF(OR(G68=404,K68=FALSE),25,0),0))</f>
        <v>35</v>
      </c>
      <c r="N68" s="12" t="str">
        <f t="shared" si="1"/>
        <v>Wave 3</v>
      </c>
    </row>
    <row r="69" ht="15.75" customHeight="1">
      <c r="A69" s="17" t="s">
        <v>473</v>
      </c>
      <c r="B69" s="17" t="s">
        <v>669</v>
      </c>
      <c r="C69" s="17" t="s">
        <v>1011</v>
      </c>
      <c r="D69" s="17" t="s">
        <v>937</v>
      </c>
      <c r="E69" s="17" t="s">
        <v>938</v>
      </c>
      <c r="F69" s="17" t="s">
        <v>1013</v>
      </c>
      <c r="G69" s="17" t="s">
        <v>714</v>
      </c>
      <c r="H69" s="17">
        <v>0.0</v>
      </c>
      <c r="I69" s="17">
        <v>0.0</v>
      </c>
      <c r="J69" s="17"/>
      <c r="K69" s="17" t="b">
        <v>0</v>
      </c>
      <c r="L69" s="17" t="s">
        <v>675</v>
      </c>
      <c r="M69" s="17">
        <f>MIN(100,ROUND((MIN(H69,1000)/1000)*40+IF(A69="P0",35,IF(A69="P65",22,10))+IF(OR(G69=404,K69=FALSE),25,0),0))</f>
        <v>35</v>
      </c>
      <c r="N69" s="17" t="str">
        <f t="shared" si="1"/>
        <v>Wave 3</v>
      </c>
    </row>
    <row r="70" ht="15.75" customHeight="1">
      <c r="A70" s="12" t="s">
        <v>473</v>
      </c>
      <c r="B70" s="12" t="s">
        <v>476</v>
      </c>
      <c r="C70" s="12" t="s">
        <v>1078</v>
      </c>
      <c r="D70" s="12" t="s">
        <v>937</v>
      </c>
      <c r="E70" s="12" t="s">
        <v>938</v>
      </c>
      <c r="F70" s="12" t="s">
        <v>1081</v>
      </c>
      <c r="G70" s="12" t="s">
        <v>714</v>
      </c>
      <c r="H70" s="12">
        <v>0.0</v>
      </c>
      <c r="I70" s="12">
        <v>0.0</v>
      </c>
      <c r="J70" s="12"/>
      <c r="K70" s="12" t="b">
        <v>0</v>
      </c>
      <c r="L70" s="12" t="s">
        <v>675</v>
      </c>
      <c r="M70" s="12">
        <f>MIN(100,ROUND((MIN(H70,1000)/1000)*40+IF(A70="P0",35,IF(A70="P66",22,10))+IF(OR(G70=404,K70=FALSE),25,0),0))</f>
        <v>35</v>
      </c>
      <c r="N70" s="12" t="str">
        <f t="shared" si="1"/>
        <v>Wave 3</v>
      </c>
    </row>
    <row r="71" ht="15.75" customHeight="1">
      <c r="A71" s="17" t="s">
        <v>473</v>
      </c>
      <c r="B71" s="17" t="s">
        <v>669</v>
      </c>
      <c r="C71" s="17" t="s">
        <v>1018</v>
      </c>
      <c r="D71" s="17" t="s">
        <v>937</v>
      </c>
      <c r="E71" s="17" t="s">
        <v>938</v>
      </c>
      <c r="F71" s="17" t="s">
        <v>1019</v>
      </c>
      <c r="G71" s="17" t="s">
        <v>714</v>
      </c>
      <c r="H71" s="17">
        <v>0.0</v>
      </c>
      <c r="I71" s="17">
        <v>0.0</v>
      </c>
      <c r="J71" s="17"/>
      <c r="K71" s="17" t="b">
        <v>0</v>
      </c>
      <c r="L71" s="17" t="s">
        <v>675</v>
      </c>
      <c r="M71" s="17">
        <f>MIN(100,ROUND((MIN(H71,1000)/1000)*40+IF(A71="P0",35,IF(A71="P67",22,10))+IF(OR(G71=404,K71=FALSE),25,0),0))</f>
        <v>35</v>
      </c>
      <c r="N71" s="17" t="str">
        <f t="shared" si="1"/>
        <v>Wave 3</v>
      </c>
    </row>
    <row r="72" ht="15.75" customHeight="1">
      <c r="A72" s="12" t="s">
        <v>473</v>
      </c>
      <c r="B72" s="12" t="s">
        <v>476</v>
      </c>
      <c r="C72" s="12" t="s">
        <v>1099</v>
      </c>
      <c r="D72" s="12" t="s">
        <v>937</v>
      </c>
      <c r="E72" s="12" t="s">
        <v>938</v>
      </c>
      <c r="F72" s="12" t="s">
        <v>1102</v>
      </c>
      <c r="G72" s="12" t="s">
        <v>714</v>
      </c>
      <c r="H72" s="12">
        <v>0.0</v>
      </c>
      <c r="I72" s="12">
        <v>0.0</v>
      </c>
      <c r="J72" s="12"/>
      <c r="K72" s="12" t="b">
        <v>0</v>
      </c>
      <c r="L72" s="12" t="s">
        <v>675</v>
      </c>
      <c r="M72" s="12">
        <f>MIN(100,ROUND((MIN(H72,1000)/1000)*40+IF(A72="P0",35,IF(A72="P68",22,10))+IF(OR(G72=404,K72=FALSE),25,0),0))</f>
        <v>35</v>
      </c>
      <c r="N72" s="12" t="str">
        <f t="shared" si="1"/>
        <v>Wave 3</v>
      </c>
    </row>
    <row r="73" ht="15.75" customHeight="1">
      <c r="A73" s="17" t="s">
        <v>473</v>
      </c>
      <c r="B73" s="17" t="s">
        <v>669</v>
      </c>
      <c r="C73" s="17" t="s">
        <v>1026</v>
      </c>
      <c r="D73" s="17" t="s">
        <v>1027</v>
      </c>
      <c r="E73" s="17" t="s">
        <v>1028</v>
      </c>
      <c r="F73" s="17" t="s">
        <v>560</v>
      </c>
      <c r="G73" s="17">
        <v>200.0</v>
      </c>
      <c r="H73" s="17">
        <v>0.0</v>
      </c>
      <c r="I73" s="17">
        <v>0.0</v>
      </c>
      <c r="J73" s="17"/>
      <c r="K73" s="17" t="b">
        <v>1</v>
      </c>
      <c r="L73" s="17" t="s">
        <v>675</v>
      </c>
      <c r="M73" s="17">
        <f>MIN(100,ROUND((MIN(H73,1000)/1000)*40+IF(A73="P0",35,IF(A73="P69",22,10))+IF(OR(G73=404,K73=FALSE),25,0),0))</f>
        <v>10</v>
      </c>
      <c r="N73" s="17" t="str">
        <f t="shared" si="1"/>
        <v>Wave 3</v>
      </c>
    </row>
    <row r="74" ht="15.75" customHeight="1">
      <c r="A74" s="12" t="s">
        <v>473</v>
      </c>
      <c r="B74" s="12" t="s">
        <v>476</v>
      </c>
      <c r="C74" s="12" t="s">
        <v>248</v>
      </c>
      <c r="D74" s="12" t="s">
        <v>1027</v>
      </c>
      <c r="E74" s="12" t="s">
        <v>1028</v>
      </c>
      <c r="F74" s="12" t="s">
        <v>561</v>
      </c>
      <c r="G74" s="12">
        <v>200.0</v>
      </c>
      <c r="H74" s="12">
        <v>16.0</v>
      </c>
      <c r="I74" s="12">
        <v>0.0</v>
      </c>
      <c r="J74" s="12">
        <v>27.88</v>
      </c>
      <c r="K74" s="12" t="b">
        <v>1</v>
      </c>
      <c r="L74" s="12" t="s">
        <v>675</v>
      </c>
      <c r="M74" s="12">
        <f>MIN(100,ROUND((MIN(H74,1000)/1000)*40+IF(A74="P0",35,IF(A74="P70",22,10))+IF(OR(G74=404,K74=FALSE),25,0),0))</f>
        <v>11</v>
      </c>
      <c r="N74" s="12" t="str">
        <f t="shared" si="1"/>
        <v>Wave 3</v>
      </c>
    </row>
    <row r="75" ht="15.75" customHeight="1">
      <c r="A75" s="17" t="s">
        <v>473</v>
      </c>
      <c r="B75" s="17" t="s">
        <v>669</v>
      </c>
      <c r="C75" s="17" t="s">
        <v>1033</v>
      </c>
      <c r="D75" s="17" t="s">
        <v>1027</v>
      </c>
      <c r="E75" s="17" t="s">
        <v>1028</v>
      </c>
      <c r="F75" s="17" t="s">
        <v>566</v>
      </c>
      <c r="G75" s="17">
        <v>200.0</v>
      </c>
      <c r="H75" s="17">
        <v>0.0</v>
      </c>
      <c r="I75" s="17">
        <v>0.0</v>
      </c>
      <c r="J75" s="17"/>
      <c r="K75" s="17" t="b">
        <v>1</v>
      </c>
      <c r="L75" s="17" t="s">
        <v>675</v>
      </c>
      <c r="M75" s="17">
        <f>MIN(100,ROUND((MIN(H75,1000)/1000)*40+IF(A75="P0",35,IF(A75="P71",22,10))+IF(OR(G75=404,K75=FALSE),25,0),0))</f>
        <v>10</v>
      </c>
      <c r="N75" s="17" t="str">
        <f t="shared" si="1"/>
        <v>Wave 3</v>
      </c>
    </row>
    <row r="76" ht="15.75" customHeight="1">
      <c r="A76" s="12" t="s">
        <v>473</v>
      </c>
      <c r="B76" s="12" t="s">
        <v>476</v>
      </c>
      <c r="C76" s="12" t="s">
        <v>354</v>
      </c>
      <c r="D76" s="12" t="s">
        <v>1027</v>
      </c>
      <c r="E76" s="12" t="s">
        <v>1028</v>
      </c>
      <c r="F76" s="12" t="s">
        <v>567</v>
      </c>
      <c r="G76" s="12">
        <v>200.0</v>
      </c>
      <c r="H76" s="12">
        <v>3.0</v>
      </c>
      <c r="I76" s="12">
        <v>0.0</v>
      </c>
      <c r="J76" s="12">
        <v>57.67</v>
      </c>
      <c r="K76" s="12" t="b">
        <v>1</v>
      </c>
      <c r="L76" s="12" t="s">
        <v>675</v>
      </c>
      <c r="M76" s="12">
        <f>MIN(100,ROUND((MIN(H76,1000)/1000)*40+IF(A76="P0",35,IF(A76="P72",22,10))+IF(OR(G76=404,K76=FALSE),25,0),0))</f>
        <v>10</v>
      </c>
      <c r="N76" s="12" t="str">
        <f t="shared" si="1"/>
        <v>Wave 3</v>
      </c>
    </row>
    <row r="77" ht="15.75" customHeight="1">
      <c r="A77" s="17" t="s">
        <v>473</v>
      </c>
      <c r="B77" s="17" t="s">
        <v>669</v>
      </c>
      <c r="C77" s="17" t="s">
        <v>1038</v>
      </c>
      <c r="D77" s="17" t="s">
        <v>1027</v>
      </c>
      <c r="E77" s="17" t="s">
        <v>1028</v>
      </c>
      <c r="F77" s="17" t="s">
        <v>571</v>
      </c>
      <c r="G77" s="17">
        <v>200.0</v>
      </c>
      <c r="H77" s="17">
        <v>0.0</v>
      </c>
      <c r="I77" s="17">
        <v>0.0</v>
      </c>
      <c r="J77" s="17"/>
      <c r="K77" s="17" t="b">
        <v>1</v>
      </c>
      <c r="L77" s="17" t="s">
        <v>675</v>
      </c>
      <c r="M77" s="17">
        <f>MIN(100,ROUND((MIN(H77,1000)/1000)*40+IF(A77="P0",35,IF(A77="P73",22,10))+IF(OR(G77=404,K77=FALSE),25,0),0))</f>
        <v>10</v>
      </c>
      <c r="N77" s="17" t="str">
        <f t="shared" si="1"/>
        <v>Wave 3</v>
      </c>
    </row>
    <row r="78" ht="15.75" customHeight="1">
      <c r="A78" s="12" t="s">
        <v>473</v>
      </c>
      <c r="B78" s="12" t="s">
        <v>476</v>
      </c>
      <c r="C78" s="12" t="s">
        <v>783</v>
      </c>
      <c r="D78" s="12" t="s">
        <v>1027</v>
      </c>
      <c r="E78" s="12" t="s">
        <v>1028</v>
      </c>
      <c r="F78" s="12" t="s">
        <v>572</v>
      </c>
      <c r="G78" s="12">
        <v>200.0</v>
      </c>
      <c r="H78" s="12">
        <v>0.0</v>
      </c>
      <c r="I78" s="12">
        <v>0.0</v>
      </c>
      <c r="J78" s="12"/>
      <c r="K78" s="12" t="b">
        <v>1</v>
      </c>
      <c r="L78" s="12" t="s">
        <v>675</v>
      </c>
      <c r="M78" s="12">
        <f>MIN(100,ROUND((MIN(H78,1000)/1000)*40+IF(A78="P0",35,IF(A78="P74",22,10))+IF(OR(G78=404,K78=FALSE),25,0),0))</f>
        <v>10</v>
      </c>
      <c r="N78" s="12" t="str">
        <f t="shared" si="1"/>
        <v>Wave 3</v>
      </c>
    </row>
    <row r="79" ht="15.75" customHeight="1">
      <c r="A79" s="17" t="s">
        <v>473</v>
      </c>
      <c r="B79" s="17" t="s">
        <v>669</v>
      </c>
      <c r="C79" s="17" t="s">
        <v>956</v>
      </c>
      <c r="D79" s="17" t="s">
        <v>1043</v>
      </c>
      <c r="E79" s="17" t="s">
        <v>1045</v>
      </c>
      <c r="F79" s="17" t="s">
        <v>1046</v>
      </c>
      <c r="G79" s="17">
        <v>200.0</v>
      </c>
      <c r="H79" s="17">
        <v>0.0</v>
      </c>
      <c r="I79" s="17">
        <v>0.0</v>
      </c>
      <c r="J79" s="17"/>
      <c r="K79" s="17" t="b">
        <v>1</v>
      </c>
      <c r="L79" s="17" t="s">
        <v>675</v>
      </c>
      <c r="M79" s="17">
        <f>MIN(100,ROUND((MIN(H79,1000)/1000)*40+IF(A79="P0",35,IF(A79="P75",22,10))+IF(OR(G79=404,K79=FALSE),25,0),0))</f>
        <v>10</v>
      </c>
      <c r="N79" s="17" t="str">
        <f t="shared" si="1"/>
        <v>Wave 3</v>
      </c>
    </row>
    <row r="80" ht="15.75" customHeight="1">
      <c r="A80" s="12" t="s">
        <v>473</v>
      </c>
      <c r="B80" s="12" t="s">
        <v>476</v>
      </c>
      <c r="C80" s="12" t="s">
        <v>715</v>
      </c>
      <c r="D80" s="12" t="s">
        <v>1043</v>
      </c>
      <c r="E80" s="12" t="s">
        <v>1045</v>
      </c>
      <c r="F80" s="12" t="s">
        <v>1137</v>
      </c>
      <c r="G80" s="12">
        <v>200.0</v>
      </c>
      <c r="H80" s="12">
        <v>0.0</v>
      </c>
      <c r="I80" s="12">
        <v>0.0</v>
      </c>
      <c r="J80" s="12"/>
      <c r="K80" s="12" t="b">
        <v>1</v>
      </c>
      <c r="L80" s="12" t="s">
        <v>675</v>
      </c>
      <c r="M80" s="12">
        <f>MIN(100,ROUND((MIN(H80,1000)/1000)*40+IF(A80="P0",35,IF(A80="P76",22,10))+IF(OR(G80=404,K80=FALSE),25,0),0))</f>
        <v>10</v>
      </c>
      <c r="N80" s="12" t="str">
        <f t="shared" si="1"/>
        <v>Wave 3</v>
      </c>
    </row>
    <row r="81" ht="15.75" customHeight="1">
      <c r="A81" s="17" t="s">
        <v>473</v>
      </c>
      <c r="B81" s="17" t="s">
        <v>669</v>
      </c>
      <c r="C81" s="17" t="s">
        <v>1012</v>
      </c>
      <c r="D81" s="17" t="s">
        <v>1043</v>
      </c>
      <c r="E81" s="17" t="s">
        <v>1045</v>
      </c>
      <c r="F81" s="17" t="s">
        <v>1053</v>
      </c>
      <c r="G81" s="17">
        <v>200.0</v>
      </c>
      <c r="H81" s="17">
        <v>0.0</v>
      </c>
      <c r="I81" s="17">
        <v>0.0</v>
      </c>
      <c r="J81" s="17"/>
      <c r="K81" s="17" t="b">
        <v>1</v>
      </c>
      <c r="L81" s="17" t="s">
        <v>675</v>
      </c>
      <c r="M81" s="17">
        <f>MIN(100,ROUND((MIN(H81,1000)/1000)*40+IF(A81="P0",35,IF(A81="P77",22,10))+IF(OR(G81=404,K81=FALSE),25,0),0))</f>
        <v>10</v>
      </c>
      <c r="N81" s="17" t="str">
        <f t="shared" si="1"/>
        <v>Wave 3</v>
      </c>
    </row>
    <row r="82" ht="15.75" customHeight="1">
      <c r="A82" s="12" t="s">
        <v>473</v>
      </c>
      <c r="B82" s="12" t="s">
        <v>476</v>
      </c>
      <c r="C82" s="12" t="s">
        <v>119</v>
      </c>
      <c r="D82" s="12" t="s">
        <v>1043</v>
      </c>
      <c r="E82" s="12" t="s">
        <v>1045</v>
      </c>
      <c r="F82" s="12" t="s">
        <v>1140</v>
      </c>
      <c r="G82" s="12">
        <v>200.0</v>
      </c>
      <c r="H82" s="12">
        <v>7.0</v>
      </c>
      <c r="I82" s="12">
        <v>2.0</v>
      </c>
      <c r="J82" s="12">
        <v>6.86</v>
      </c>
      <c r="K82" s="12" t="b">
        <v>1</v>
      </c>
      <c r="L82" s="12" t="s">
        <v>675</v>
      </c>
      <c r="M82" s="12">
        <f>MIN(100,ROUND((MIN(H82,1000)/1000)*40+IF(A82="P0",35,IF(A82="P78",22,10))+IF(OR(G82=404,K82=FALSE),25,0),0))</f>
        <v>10</v>
      </c>
      <c r="N82" s="12" t="str">
        <f t="shared" si="1"/>
        <v>Wave 3</v>
      </c>
    </row>
    <row r="83" ht="15.75" customHeight="1">
      <c r="A83" s="17" t="s">
        <v>473</v>
      </c>
      <c r="B83" s="17" t="s">
        <v>669</v>
      </c>
      <c r="C83" s="17" t="s">
        <v>222</v>
      </c>
      <c r="D83" s="17" t="s">
        <v>1043</v>
      </c>
      <c r="E83" s="17" t="s">
        <v>1045</v>
      </c>
      <c r="F83" s="17" t="s">
        <v>1060</v>
      </c>
      <c r="G83" s="17">
        <v>200.0</v>
      </c>
      <c r="H83" s="17">
        <v>35.0</v>
      </c>
      <c r="I83" s="17">
        <v>0.0</v>
      </c>
      <c r="J83" s="17">
        <v>4.66</v>
      </c>
      <c r="K83" s="17" t="b">
        <v>1</v>
      </c>
      <c r="L83" s="17" t="s">
        <v>675</v>
      </c>
      <c r="M83" s="17">
        <f>MIN(100,ROUND((MIN(H83,1000)/1000)*40+IF(A83="P0",35,IF(A83="P79",22,10))+IF(OR(G83=404,K83=FALSE),25,0),0))</f>
        <v>11</v>
      </c>
      <c r="N83" s="17" t="str">
        <f t="shared" si="1"/>
        <v>Wave 3</v>
      </c>
    </row>
    <row r="84" ht="15.75" customHeight="1">
      <c r="A84" s="12" t="s">
        <v>473</v>
      </c>
      <c r="B84" s="12" t="s">
        <v>476</v>
      </c>
      <c r="C84" s="12" t="s">
        <v>705</v>
      </c>
      <c r="D84" s="12" t="s">
        <v>1043</v>
      </c>
      <c r="E84" s="12" t="s">
        <v>1045</v>
      </c>
      <c r="F84" s="12" t="s">
        <v>1141</v>
      </c>
      <c r="G84" s="12">
        <v>200.0</v>
      </c>
      <c r="H84" s="12">
        <v>0.0</v>
      </c>
      <c r="I84" s="12">
        <v>0.0</v>
      </c>
      <c r="J84" s="12"/>
      <c r="K84" s="12" t="b">
        <v>1</v>
      </c>
      <c r="L84" s="12" t="s">
        <v>675</v>
      </c>
      <c r="M84" s="12">
        <f>MIN(100,ROUND((MIN(H84,1000)/1000)*40+IF(A84="P0",35,IF(A84="P80",22,10))+IF(OR(G84=404,K84=FALSE),25,0),0))</f>
        <v>10</v>
      </c>
      <c r="N84" s="12" t="str">
        <f t="shared" si="1"/>
        <v>Wave 3</v>
      </c>
    </row>
    <row r="85" ht="15.75" customHeight="1">
      <c r="A85" s="17" t="s">
        <v>473</v>
      </c>
      <c r="B85" s="17" t="s">
        <v>669</v>
      </c>
      <c r="C85" s="17" t="s">
        <v>931</v>
      </c>
      <c r="D85" s="17" t="s">
        <v>1043</v>
      </c>
      <c r="E85" s="17" t="s">
        <v>1045</v>
      </c>
      <c r="F85" s="17" t="s">
        <v>1067</v>
      </c>
      <c r="G85" s="17">
        <v>200.0</v>
      </c>
      <c r="H85" s="17">
        <v>0.0</v>
      </c>
      <c r="I85" s="17">
        <v>0.0</v>
      </c>
      <c r="J85" s="17"/>
      <c r="K85" s="17" t="b">
        <v>1</v>
      </c>
      <c r="L85" s="17" t="s">
        <v>675</v>
      </c>
      <c r="M85" s="17">
        <f>MIN(100,ROUND((MIN(H85,1000)/1000)*40+IF(A85="P0",35,IF(A85="P81",22,10))+IF(OR(G85=404,K85=FALSE),25,0),0))</f>
        <v>10</v>
      </c>
      <c r="N85" s="17" t="str">
        <f t="shared" si="1"/>
        <v>Wave 3</v>
      </c>
    </row>
    <row r="86" ht="15.75" customHeight="1">
      <c r="A86" s="12" t="s">
        <v>473</v>
      </c>
      <c r="B86" s="12" t="s">
        <v>476</v>
      </c>
      <c r="C86" s="12" t="s">
        <v>698</v>
      </c>
      <c r="D86" s="12" t="s">
        <v>1043</v>
      </c>
      <c r="E86" s="12" t="s">
        <v>1045</v>
      </c>
      <c r="F86" s="12" t="s">
        <v>1151</v>
      </c>
      <c r="G86" s="12">
        <v>200.0</v>
      </c>
      <c r="H86" s="12">
        <v>0.0</v>
      </c>
      <c r="I86" s="12">
        <v>0.0</v>
      </c>
      <c r="J86" s="12"/>
      <c r="K86" s="12" t="b">
        <v>1</v>
      </c>
      <c r="L86" s="12" t="s">
        <v>675</v>
      </c>
      <c r="M86" s="12">
        <f>MIN(100,ROUND((MIN(H86,1000)/1000)*40+IF(A86="P0",35,IF(A86="P82",22,10))+IF(OR(G86=404,K86=FALSE),25,0),0))</f>
        <v>10</v>
      </c>
      <c r="N86" s="12" t="str">
        <f t="shared" si="1"/>
        <v>Wave 3</v>
      </c>
    </row>
    <row r="87" ht="15.75" customHeight="1">
      <c r="A87" s="17" t="s">
        <v>473</v>
      </c>
      <c r="B87" s="17" t="s">
        <v>669</v>
      </c>
      <c r="C87" s="17" t="s">
        <v>327</v>
      </c>
      <c r="D87" s="17" t="s">
        <v>1043</v>
      </c>
      <c r="E87" s="17" t="s">
        <v>1045</v>
      </c>
      <c r="F87" s="17" t="s">
        <v>1073</v>
      </c>
      <c r="G87" s="17">
        <v>200.0</v>
      </c>
      <c r="H87" s="17">
        <v>6.0</v>
      </c>
      <c r="I87" s="17">
        <v>0.0</v>
      </c>
      <c r="J87" s="17">
        <v>10.33</v>
      </c>
      <c r="K87" s="17" t="b">
        <v>1</v>
      </c>
      <c r="L87" s="17" t="s">
        <v>675</v>
      </c>
      <c r="M87" s="17">
        <f>MIN(100,ROUND((MIN(H87,1000)/1000)*40+IF(A87="P0",35,IF(A87="P83",22,10))+IF(OR(G87=404,K87=FALSE),25,0),0))</f>
        <v>10</v>
      </c>
      <c r="N87" s="17" t="str">
        <f t="shared" si="1"/>
        <v>Wave 3</v>
      </c>
    </row>
    <row r="88" ht="15.75" customHeight="1">
      <c r="A88" s="12" t="s">
        <v>473</v>
      </c>
      <c r="B88" s="12" t="s">
        <v>476</v>
      </c>
      <c r="C88" s="12" t="s">
        <v>684</v>
      </c>
      <c r="D88" s="12" t="s">
        <v>1043</v>
      </c>
      <c r="E88" s="12" t="s">
        <v>1045</v>
      </c>
      <c r="F88" s="12" t="s">
        <v>1166</v>
      </c>
      <c r="G88" s="12">
        <v>200.0</v>
      </c>
      <c r="H88" s="12">
        <v>0.0</v>
      </c>
      <c r="I88" s="12">
        <v>0.0</v>
      </c>
      <c r="J88" s="12"/>
      <c r="K88" s="12" t="b">
        <v>1</v>
      </c>
      <c r="L88" s="12" t="s">
        <v>675</v>
      </c>
      <c r="M88" s="12">
        <f>MIN(100,ROUND((MIN(H88,1000)/1000)*40+IF(A88="P0",35,IF(A88="P84",22,10))+IF(OR(G88=404,K88=FALSE),25,0),0))</f>
        <v>10</v>
      </c>
      <c r="N88" s="12" t="str">
        <f t="shared" si="1"/>
        <v>Wave 3</v>
      </c>
    </row>
    <row r="89" ht="15.75" customHeight="1">
      <c r="A89" s="17" t="s">
        <v>473</v>
      </c>
      <c r="B89" s="17" t="s">
        <v>669</v>
      </c>
      <c r="C89" s="17" t="s">
        <v>966</v>
      </c>
      <c r="D89" s="17" t="s">
        <v>1043</v>
      </c>
      <c r="E89" s="17" t="s">
        <v>1045</v>
      </c>
      <c r="F89" s="17" t="s">
        <v>1079</v>
      </c>
      <c r="G89" s="17">
        <v>200.0</v>
      </c>
      <c r="H89" s="17">
        <v>0.0</v>
      </c>
      <c r="I89" s="17">
        <v>0.0</v>
      </c>
      <c r="J89" s="17"/>
      <c r="K89" s="17" t="b">
        <v>1</v>
      </c>
      <c r="L89" s="17" t="s">
        <v>675</v>
      </c>
      <c r="M89" s="17">
        <f>MIN(100,ROUND((MIN(H89,1000)/1000)*40+IF(A89="P0",35,IF(A89="P85",22,10))+IF(OR(G89=404,K89=FALSE),25,0),0))</f>
        <v>10</v>
      </c>
      <c r="N89" s="17" t="str">
        <f t="shared" si="1"/>
        <v>Wave 3</v>
      </c>
    </row>
    <row r="90" ht="15.75" customHeight="1">
      <c r="A90" s="12" t="s">
        <v>473</v>
      </c>
      <c r="B90" s="12" t="s">
        <v>476</v>
      </c>
      <c r="C90" s="12" t="s">
        <v>317</v>
      </c>
      <c r="D90" s="12" t="s">
        <v>1043</v>
      </c>
      <c r="E90" s="12" t="s">
        <v>1045</v>
      </c>
      <c r="F90" s="12" t="s">
        <v>1185</v>
      </c>
      <c r="G90" s="12">
        <v>200.0</v>
      </c>
      <c r="H90" s="12">
        <v>6.0</v>
      </c>
      <c r="I90" s="12">
        <v>0.0</v>
      </c>
      <c r="J90" s="12">
        <v>5.5</v>
      </c>
      <c r="K90" s="12" t="b">
        <v>1</v>
      </c>
      <c r="L90" s="12" t="s">
        <v>675</v>
      </c>
      <c r="M90" s="12">
        <f>MIN(100,ROUND((MIN(H90,1000)/1000)*40+IF(A90="P0",35,IF(A90="P86",22,10))+IF(OR(G90=404,K90=FALSE),25,0),0))</f>
        <v>10</v>
      </c>
      <c r="N90" s="12" t="str">
        <f t="shared" si="1"/>
        <v>Wave 3</v>
      </c>
    </row>
    <row r="91" ht="15.75" customHeight="1">
      <c r="A91" s="17" t="s">
        <v>473</v>
      </c>
      <c r="B91" s="17" t="s">
        <v>669</v>
      </c>
      <c r="C91" s="17" t="s">
        <v>986</v>
      </c>
      <c r="D91" s="17" t="s">
        <v>1043</v>
      </c>
      <c r="E91" s="17" t="s">
        <v>1045</v>
      </c>
      <c r="F91" s="17" t="s">
        <v>1086</v>
      </c>
      <c r="G91" s="17">
        <v>200.0</v>
      </c>
      <c r="H91" s="17">
        <v>0.0</v>
      </c>
      <c r="I91" s="17">
        <v>0.0</v>
      </c>
      <c r="J91" s="17"/>
      <c r="K91" s="17" t="b">
        <v>1</v>
      </c>
      <c r="L91" s="17" t="s">
        <v>675</v>
      </c>
      <c r="M91" s="17">
        <f>MIN(100,ROUND((MIN(H91,1000)/1000)*40+IF(A91="P0",35,IF(A91="P87",22,10))+IF(OR(G91=404,K91=FALSE),25,0),0))</f>
        <v>10</v>
      </c>
      <c r="N91" s="17" t="str">
        <f t="shared" si="1"/>
        <v>Wave 3</v>
      </c>
    </row>
    <row r="92" ht="15.75" customHeight="1">
      <c r="A92" s="12" t="s">
        <v>473</v>
      </c>
      <c r="B92" s="12" t="s">
        <v>476</v>
      </c>
      <c r="C92" s="12" t="s">
        <v>728</v>
      </c>
      <c r="D92" s="12" t="s">
        <v>1043</v>
      </c>
      <c r="E92" s="12" t="s">
        <v>1045</v>
      </c>
      <c r="F92" s="12" t="s">
        <v>1198</v>
      </c>
      <c r="G92" s="12">
        <v>200.0</v>
      </c>
      <c r="H92" s="12">
        <v>0.0</v>
      </c>
      <c r="I92" s="12">
        <v>0.0</v>
      </c>
      <c r="J92" s="12"/>
      <c r="K92" s="12" t="b">
        <v>1</v>
      </c>
      <c r="L92" s="12" t="s">
        <v>675</v>
      </c>
      <c r="M92" s="12">
        <f>MIN(100,ROUND((MIN(H92,1000)/1000)*40+IF(A92="P0",35,IF(A92="P88",22,10))+IF(OR(G92=404,K92=FALSE),25,0),0))</f>
        <v>10</v>
      </c>
      <c r="N92" s="12" t="str">
        <f t="shared" si="1"/>
        <v>Wave 3</v>
      </c>
    </row>
    <row r="93" ht="15.75" customHeight="1">
      <c r="A93" s="17" t="s">
        <v>473</v>
      </c>
      <c r="B93" s="17" t="s">
        <v>669</v>
      </c>
      <c r="C93" s="17" t="s">
        <v>48</v>
      </c>
      <c r="D93" s="17" t="s">
        <v>1043</v>
      </c>
      <c r="E93" s="17" t="s">
        <v>1045</v>
      </c>
      <c r="F93" s="17" t="s">
        <v>1091</v>
      </c>
      <c r="G93" s="17">
        <v>200.0</v>
      </c>
      <c r="H93" s="17">
        <v>58.0</v>
      </c>
      <c r="I93" s="17">
        <v>9.0</v>
      </c>
      <c r="J93" s="17">
        <v>4.19</v>
      </c>
      <c r="K93" s="17" t="b">
        <v>1</v>
      </c>
      <c r="L93" s="17" t="s">
        <v>675</v>
      </c>
      <c r="M93" s="17">
        <f>MIN(100,ROUND((MIN(H93,1000)/1000)*40+IF(A93="P0",35,IF(A93="P89",22,10))+IF(OR(G93=404,K93=FALSE),25,0),0))</f>
        <v>12</v>
      </c>
      <c r="N93" s="17" t="str">
        <f t="shared" si="1"/>
        <v>Wave 3</v>
      </c>
    </row>
    <row r="94" ht="15.75" customHeight="1">
      <c r="A94" s="12" t="s">
        <v>473</v>
      </c>
      <c r="B94" s="12" t="s">
        <v>476</v>
      </c>
      <c r="C94" s="12" t="s">
        <v>736</v>
      </c>
      <c r="D94" s="12" t="s">
        <v>1043</v>
      </c>
      <c r="E94" s="12" t="s">
        <v>1045</v>
      </c>
      <c r="F94" s="12" t="s">
        <v>1220</v>
      </c>
      <c r="G94" s="12">
        <v>200.0</v>
      </c>
      <c r="H94" s="12">
        <v>0.0</v>
      </c>
      <c r="I94" s="12">
        <v>0.0</v>
      </c>
      <c r="J94" s="12"/>
      <c r="K94" s="12" t="b">
        <v>1</v>
      </c>
      <c r="L94" s="12" t="s">
        <v>675</v>
      </c>
      <c r="M94" s="12">
        <f>MIN(100,ROUND((MIN(H94,1000)/1000)*40+IF(A94="P0",35,IF(A94="P90",22,10))+IF(OR(G94=404,K94=FALSE),25,0),0))</f>
        <v>10</v>
      </c>
      <c r="N94" s="12" t="str">
        <f t="shared" si="1"/>
        <v>Wave 3</v>
      </c>
    </row>
    <row r="95" ht="15.75" customHeight="1">
      <c r="A95" s="17" t="s">
        <v>473</v>
      </c>
      <c r="B95" s="17" t="s">
        <v>669</v>
      </c>
      <c r="C95" s="17" t="s">
        <v>363</v>
      </c>
      <c r="D95" s="17" t="s">
        <v>1043</v>
      </c>
      <c r="E95" s="17" t="s">
        <v>1045</v>
      </c>
      <c r="F95" s="17" t="s">
        <v>1097</v>
      </c>
      <c r="G95" s="17">
        <v>200.0</v>
      </c>
      <c r="H95" s="17">
        <v>2.0</v>
      </c>
      <c r="I95" s="17">
        <v>0.0</v>
      </c>
      <c r="J95" s="17">
        <v>7.0</v>
      </c>
      <c r="K95" s="17" t="b">
        <v>1</v>
      </c>
      <c r="L95" s="17" t="s">
        <v>675</v>
      </c>
      <c r="M95" s="17">
        <f>MIN(100,ROUND((MIN(H95,1000)/1000)*40+IF(A95="P0",35,IF(A95="P91",22,10))+IF(OR(G95=404,K95=FALSE),25,0),0))</f>
        <v>10</v>
      </c>
      <c r="N95" s="17" t="str">
        <f t="shared" si="1"/>
        <v>Wave 3</v>
      </c>
    </row>
    <row r="96" ht="15.75" customHeight="1">
      <c r="A96" s="12" t="s">
        <v>473</v>
      </c>
      <c r="B96" s="12" t="s">
        <v>476</v>
      </c>
      <c r="C96" s="12" t="s">
        <v>202</v>
      </c>
      <c r="D96" s="12" t="s">
        <v>1043</v>
      </c>
      <c r="E96" s="12" t="s">
        <v>1045</v>
      </c>
      <c r="F96" s="12" t="s">
        <v>1237</v>
      </c>
      <c r="G96" s="12">
        <v>200.0</v>
      </c>
      <c r="H96" s="12">
        <v>8.0</v>
      </c>
      <c r="I96" s="12">
        <v>1.0</v>
      </c>
      <c r="J96" s="12">
        <v>7.75</v>
      </c>
      <c r="K96" s="12" t="b">
        <v>1</v>
      </c>
      <c r="L96" s="12" t="s">
        <v>675</v>
      </c>
      <c r="M96" s="12">
        <f>MIN(100,ROUND((MIN(H96,1000)/1000)*40+IF(A96="P0",35,IF(A96="P92",22,10))+IF(OR(G96=404,K96=FALSE),25,0),0))</f>
        <v>10</v>
      </c>
      <c r="N96" s="12" t="str">
        <f t="shared" si="1"/>
        <v>Wave 3</v>
      </c>
    </row>
    <row r="97" ht="15.75" customHeight="1">
      <c r="A97" s="17" t="s">
        <v>473</v>
      </c>
      <c r="B97" s="17" t="s">
        <v>669</v>
      </c>
      <c r="C97" s="17" t="s">
        <v>371</v>
      </c>
      <c r="D97" s="17" t="s">
        <v>1043</v>
      </c>
      <c r="E97" s="17" t="s">
        <v>1045</v>
      </c>
      <c r="F97" s="17" t="s">
        <v>1104</v>
      </c>
      <c r="G97" s="17">
        <v>200.0</v>
      </c>
      <c r="H97" s="17">
        <v>2.0</v>
      </c>
      <c r="I97" s="17">
        <v>0.0</v>
      </c>
      <c r="J97" s="17">
        <v>28.5</v>
      </c>
      <c r="K97" s="17" t="b">
        <v>1</v>
      </c>
      <c r="L97" s="17" t="s">
        <v>675</v>
      </c>
      <c r="M97" s="17">
        <f>MIN(100,ROUND((MIN(H97,1000)/1000)*40+IF(A97="P0",35,IF(A97="P93",22,10))+IF(OR(G97=404,K97=FALSE),25,0),0))</f>
        <v>10</v>
      </c>
      <c r="N97" s="17" t="str">
        <f t="shared" si="1"/>
        <v>Wave 3</v>
      </c>
    </row>
    <row r="98" ht="15.75" customHeight="1">
      <c r="A98" s="12" t="s">
        <v>473</v>
      </c>
      <c r="B98" s="12" t="s">
        <v>476</v>
      </c>
      <c r="C98" s="12" t="s">
        <v>751</v>
      </c>
      <c r="D98" s="12" t="s">
        <v>1043</v>
      </c>
      <c r="E98" s="12" t="s">
        <v>1045</v>
      </c>
      <c r="F98" s="12" t="s">
        <v>1255</v>
      </c>
      <c r="G98" s="12">
        <v>200.0</v>
      </c>
      <c r="H98" s="12">
        <v>0.0</v>
      </c>
      <c r="I98" s="12">
        <v>0.0</v>
      </c>
      <c r="J98" s="12"/>
      <c r="K98" s="12" t="b">
        <v>1</v>
      </c>
      <c r="L98" s="12" t="s">
        <v>675</v>
      </c>
      <c r="M98" s="12">
        <f>MIN(100,ROUND((MIN(H98,1000)/1000)*40+IF(A98="P0",35,IF(A98="P94",22,10))+IF(OR(G98=404,K98=FALSE),25,0),0))</f>
        <v>10</v>
      </c>
      <c r="N98" s="12" t="str">
        <f t="shared" si="1"/>
        <v>Wave 3</v>
      </c>
    </row>
    <row r="99" ht="15.75" customHeight="1">
      <c r="A99" s="17" t="s">
        <v>473</v>
      </c>
      <c r="B99" s="17" t="s">
        <v>669</v>
      </c>
      <c r="C99" s="17" t="s">
        <v>295</v>
      </c>
      <c r="D99" s="17" t="s">
        <v>1043</v>
      </c>
      <c r="E99" s="17" t="s">
        <v>1045</v>
      </c>
      <c r="F99" s="17" t="s">
        <v>1111</v>
      </c>
      <c r="G99" s="17">
        <v>200.0</v>
      </c>
      <c r="H99" s="17">
        <v>10.0</v>
      </c>
      <c r="I99" s="17">
        <v>0.0</v>
      </c>
      <c r="J99" s="17">
        <v>3.1</v>
      </c>
      <c r="K99" s="17" t="b">
        <v>1</v>
      </c>
      <c r="L99" s="17" t="s">
        <v>675</v>
      </c>
      <c r="M99" s="17">
        <f>MIN(100,ROUND((MIN(H99,1000)/1000)*40+IF(A99="P0",35,IF(A99="P95",22,10))+IF(OR(G99=404,K99=FALSE),25,0),0))</f>
        <v>10</v>
      </c>
      <c r="N99" s="17" t="str">
        <f t="shared" si="1"/>
        <v>Wave 3</v>
      </c>
    </row>
    <row r="100" ht="15.75" customHeight="1">
      <c r="A100" s="12" t="s">
        <v>473</v>
      </c>
      <c r="B100" s="12" t="s">
        <v>476</v>
      </c>
      <c r="C100" s="12" t="s">
        <v>724</v>
      </c>
      <c r="D100" s="12" t="s">
        <v>1043</v>
      </c>
      <c r="E100" s="12" t="s">
        <v>1045</v>
      </c>
      <c r="F100" s="12" t="s">
        <v>1275</v>
      </c>
      <c r="G100" s="12">
        <v>200.0</v>
      </c>
      <c r="H100" s="12">
        <v>0.0</v>
      </c>
      <c r="I100" s="12">
        <v>0.0</v>
      </c>
      <c r="J100" s="12"/>
      <c r="K100" s="12" t="b">
        <v>1</v>
      </c>
      <c r="L100" s="12" t="s">
        <v>675</v>
      </c>
      <c r="M100" s="12">
        <f>MIN(100,ROUND((MIN(H100,1000)/1000)*40+IF(A100="P0",35,IF(A100="P96",22,10))+IF(OR(G100=404,K100=FALSE),25,0),0))</f>
        <v>10</v>
      </c>
      <c r="N100" s="12" t="str">
        <f t="shared" si="1"/>
        <v>Wave 3</v>
      </c>
    </row>
    <row r="101" ht="15.75" customHeight="1">
      <c r="A101" s="17" t="s">
        <v>473</v>
      </c>
      <c r="B101" s="17" t="s">
        <v>669</v>
      </c>
      <c r="C101" s="17" t="s">
        <v>903</v>
      </c>
      <c r="D101" s="17" t="s">
        <v>1043</v>
      </c>
      <c r="E101" s="17" t="s">
        <v>1045</v>
      </c>
      <c r="F101" s="17" t="s">
        <v>1116</v>
      </c>
      <c r="G101" s="17">
        <v>200.0</v>
      </c>
      <c r="H101" s="17">
        <v>0.0</v>
      </c>
      <c r="I101" s="17">
        <v>0.0</v>
      </c>
      <c r="J101" s="17"/>
      <c r="K101" s="17" t="b">
        <v>1</v>
      </c>
      <c r="L101" s="17" t="s">
        <v>675</v>
      </c>
      <c r="M101" s="17">
        <f>MIN(100,ROUND((MIN(H101,1000)/1000)*40+IF(A101="P0",35,IF(A101="P97",22,10))+IF(OR(G101=404,K101=FALSE),25,0),0))</f>
        <v>10</v>
      </c>
      <c r="N101" s="17" t="str">
        <f t="shared" si="1"/>
        <v>Wave 3</v>
      </c>
    </row>
    <row r="102" ht="15.75" customHeight="1">
      <c r="A102" s="12" t="s">
        <v>473</v>
      </c>
      <c r="B102" s="12" t="s">
        <v>476</v>
      </c>
      <c r="C102" s="12" t="s">
        <v>680</v>
      </c>
      <c r="D102" s="12" t="s">
        <v>1043</v>
      </c>
      <c r="E102" s="12" t="s">
        <v>1045</v>
      </c>
      <c r="F102" s="12" t="s">
        <v>1293</v>
      </c>
      <c r="G102" s="12">
        <v>200.0</v>
      </c>
      <c r="H102" s="12">
        <v>0.0</v>
      </c>
      <c r="I102" s="12">
        <v>0.0</v>
      </c>
      <c r="J102" s="12"/>
      <c r="K102" s="12" t="b">
        <v>1</v>
      </c>
      <c r="L102" s="12" t="s">
        <v>675</v>
      </c>
      <c r="M102" s="12">
        <f>MIN(100,ROUND((MIN(H102,1000)/1000)*40+IF(A102="P0",35,IF(A102="P98",22,10))+IF(OR(G102=404,K102=FALSE),25,0),0))</f>
        <v>10</v>
      </c>
      <c r="N102" s="12" t="str">
        <f t="shared" si="1"/>
        <v>Wave 3</v>
      </c>
    </row>
    <row r="103" ht="15.75" customHeight="1">
      <c r="A103" s="17" t="s">
        <v>463</v>
      </c>
      <c r="B103" s="17" t="s">
        <v>669</v>
      </c>
      <c r="C103" s="17" t="s">
        <v>18</v>
      </c>
      <c r="D103" s="17" t="s">
        <v>1122</v>
      </c>
      <c r="E103" s="17" t="s">
        <v>1123</v>
      </c>
      <c r="F103" s="17" t="s">
        <v>620</v>
      </c>
      <c r="G103" s="17">
        <v>404.0</v>
      </c>
      <c r="H103" s="17">
        <v>2800.0</v>
      </c>
      <c r="I103" s="17">
        <v>100.0</v>
      </c>
      <c r="J103" s="17">
        <v>10.58</v>
      </c>
      <c r="K103" s="17" t="b">
        <v>0</v>
      </c>
      <c r="L103" s="17" t="s">
        <v>1129</v>
      </c>
      <c r="M103" s="17">
        <f>MIN(100,ROUND((MIN(H103,1000)/1000)*40+IF(A103="P0",35,IF(A103="P99",22,10))+IF(OR(G103=404,K103=FALSE),25,0),0))</f>
        <v>100</v>
      </c>
      <c r="N103" s="17" t="str">
        <f t="shared" si="1"/>
        <v>Wave 1</v>
      </c>
    </row>
    <row r="104" ht="15.75" customHeight="1">
      <c r="A104" s="61" t="s">
        <v>463</v>
      </c>
      <c r="B104" s="61" t="s">
        <v>476</v>
      </c>
      <c r="C104" s="61" t="s">
        <v>1312</v>
      </c>
      <c r="D104" s="61" t="s">
        <v>1122</v>
      </c>
      <c r="E104" s="61" t="s">
        <v>1123</v>
      </c>
      <c r="F104" s="61" t="s">
        <v>621</v>
      </c>
      <c r="G104" s="61" t="s">
        <v>714</v>
      </c>
      <c r="H104" s="61">
        <v>0.0</v>
      </c>
      <c r="I104" s="61">
        <v>0.0</v>
      </c>
      <c r="J104" s="61"/>
      <c r="K104" s="61" t="b">
        <v>0</v>
      </c>
      <c r="L104" s="61" t="s">
        <v>1129</v>
      </c>
      <c r="M104" s="61">
        <f>MIN(100,ROUND((MIN(H104,1000)/1000)*40+IF(A104="P0",35,IF(A104="P100",22,10))+IF(OR(G104=404,K104=FALSE),25,0),0))</f>
        <v>60</v>
      </c>
      <c r="N104" s="61" t="str">
        <f t="shared" si="1"/>
        <v>Wave 2</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conditionalFormatting sqref="A5:A104">
    <cfRule type="containsText" dxfId="5" priority="1" operator="containsText" text="P0">
      <formula>NOT(ISERROR(SEARCH(("P0"),(A5))))</formula>
    </cfRule>
  </conditionalFormatting>
  <conditionalFormatting sqref="A5:A104">
    <cfRule type="containsText" dxfId="6" priority="2" operator="containsText" text="P1">
      <formula>NOT(ISERROR(SEARCH(("P1"),(A5))))</formula>
    </cfRule>
  </conditionalFormatting>
  <conditionalFormatting sqref="A5:A104">
    <cfRule type="containsText" dxfId="7" priority="3" operator="containsText" text="P2">
      <formula>NOT(ISERROR(SEARCH(("P2"),(A5))))</formula>
    </cfRule>
  </conditionalFormatting>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62.0"/>
    <col customWidth="1" min="3" max="3" width="22.0"/>
    <col customWidth="1" min="4" max="5" width="42.0"/>
    <col customWidth="1" min="6" max="6" width="60.0"/>
    <col customWidth="1" min="7" max="7" width="10.0"/>
    <col customWidth="1" min="8" max="8" width="72.0"/>
    <col customWidth="1" min="9" max="9" width="10.0"/>
    <col customWidth="1" min="10" max="10" width="52.0"/>
    <col customWidth="1" min="11" max="11" width="105.0"/>
    <col customWidth="1" min="12" max="12" width="24.0"/>
    <col customWidth="1" min="13" max="26" width="8.63"/>
  </cols>
  <sheetData>
    <row r="1" ht="33.75" customHeight="1">
      <c r="A1" s="53" t="s">
        <v>842</v>
      </c>
    </row>
    <row r="2" ht="31.5" customHeight="1">
      <c r="A2" s="54" t="s">
        <v>843</v>
      </c>
    </row>
    <row r="4" ht="30.0" customHeight="1">
      <c r="A4" s="55" t="s">
        <v>455</v>
      </c>
      <c r="B4" s="56" t="s">
        <v>262</v>
      </c>
      <c r="C4" s="56" t="s">
        <v>662</v>
      </c>
      <c r="D4" s="56" t="s">
        <v>17</v>
      </c>
      <c r="E4" s="56" t="s">
        <v>663</v>
      </c>
      <c r="F4" s="56" t="s">
        <v>846</v>
      </c>
      <c r="G4" s="56" t="s">
        <v>274</v>
      </c>
      <c r="H4" s="56" t="s">
        <v>275</v>
      </c>
      <c r="I4" s="56" t="s">
        <v>277</v>
      </c>
      <c r="J4" s="56" t="s">
        <v>280</v>
      </c>
      <c r="K4" s="56" t="s">
        <v>847</v>
      </c>
      <c r="L4" s="57" t="s">
        <v>267</v>
      </c>
    </row>
    <row r="5" ht="150.0" customHeight="1">
      <c r="A5" s="7" t="s">
        <v>463</v>
      </c>
      <c r="B5" s="7" t="s">
        <v>40</v>
      </c>
      <c r="C5" s="7" t="s">
        <v>671</v>
      </c>
      <c r="D5" s="7" t="s">
        <v>672</v>
      </c>
      <c r="E5" s="7" t="s">
        <v>521</v>
      </c>
      <c r="F5" s="7" t="s">
        <v>849</v>
      </c>
      <c r="G5" s="7">
        <v>50.0</v>
      </c>
      <c r="H5" s="7" t="s">
        <v>851</v>
      </c>
      <c r="I5" s="7">
        <v>138.0</v>
      </c>
      <c r="J5" s="7" t="s">
        <v>852</v>
      </c>
      <c r="K5" s="7" t="s">
        <v>853</v>
      </c>
      <c r="L5" s="7" t="s">
        <v>675</v>
      </c>
    </row>
    <row r="6" ht="150.0" customHeight="1">
      <c r="A6" s="12" t="s">
        <v>463</v>
      </c>
      <c r="B6" s="12" t="s">
        <v>264</v>
      </c>
      <c r="C6" s="12" t="s">
        <v>688</v>
      </c>
      <c r="D6" s="12" t="s">
        <v>689</v>
      </c>
      <c r="E6" s="12" t="s">
        <v>690</v>
      </c>
      <c r="F6" s="12" t="s">
        <v>854</v>
      </c>
      <c r="G6" s="12">
        <v>57.0</v>
      </c>
      <c r="H6" s="12" t="s">
        <v>855</v>
      </c>
      <c r="I6" s="12">
        <v>140.0</v>
      </c>
      <c r="J6" s="12" t="s">
        <v>856</v>
      </c>
      <c r="K6" s="12" t="s">
        <v>857</v>
      </c>
      <c r="L6" s="12" t="s">
        <v>675</v>
      </c>
    </row>
    <row r="7" ht="150.0" customHeight="1">
      <c r="A7" s="17" t="s">
        <v>463</v>
      </c>
      <c r="B7" s="17" t="s">
        <v>94</v>
      </c>
      <c r="C7" s="17" t="s">
        <v>699</v>
      </c>
      <c r="D7" s="17" t="s">
        <v>701</v>
      </c>
      <c r="E7" s="17" t="s">
        <v>702</v>
      </c>
      <c r="F7" s="17" t="s">
        <v>858</v>
      </c>
      <c r="G7" s="17">
        <v>56.0</v>
      </c>
      <c r="H7" s="17" t="s">
        <v>859</v>
      </c>
      <c r="I7" s="17">
        <v>146.0</v>
      </c>
      <c r="J7" s="17" t="s">
        <v>861</v>
      </c>
      <c r="K7" s="17" t="s">
        <v>864</v>
      </c>
      <c r="L7" s="17" t="s">
        <v>675</v>
      </c>
    </row>
    <row r="8" ht="150.0" customHeight="1">
      <c r="A8" s="12" t="s">
        <v>463</v>
      </c>
      <c r="B8" s="12" t="s">
        <v>710</v>
      </c>
      <c r="C8" s="12" t="s">
        <v>711</v>
      </c>
      <c r="D8" s="12" t="s">
        <v>712</v>
      </c>
      <c r="E8" s="12" t="s">
        <v>527</v>
      </c>
      <c r="F8" s="12" t="s">
        <v>866</v>
      </c>
      <c r="G8" s="12">
        <v>53.0</v>
      </c>
      <c r="H8" s="12" t="s">
        <v>867</v>
      </c>
      <c r="I8" s="12">
        <v>149.0</v>
      </c>
      <c r="J8" s="12" t="s">
        <v>868</v>
      </c>
      <c r="K8" s="12" t="s">
        <v>869</v>
      </c>
      <c r="L8" s="12" t="s">
        <v>675</v>
      </c>
    </row>
    <row r="9" ht="150.0" customHeight="1">
      <c r="A9" s="17" t="s">
        <v>463</v>
      </c>
      <c r="B9" s="17" t="s">
        <v>44</v>
      </c>
      <c r="C9" s="17" t="s">
        <v>721</v>
      </c>
      <c r="D9" s="17" t="s">
        <v>722</v>
      </c>
      <c r="E9" s="17" t="s">
        <v>543</v>
      </c>
      <c r="F9" s="17" t="s">
        <v>870</v>
      </c>
      <c r="G9" s="17">
        <v>55.0</v>
      </c>
      <c r="H9" s="17" t="s">
        <v>871</v>
      </c>
      <c r="I9" s="17">
        <v>147.0</v>
      </c>
      <c r="J9" s="17" t="s">
        <v>873</v>
      </c>
      <c r="K9" s="17" t="s">
        <v>875</v>
      </c>
      <c r="L9" s="17" t="s">
        <v>675</v>
      </c>
    </row>
    <row r="10" ht="150.0" customHeight="1">
      <c r="A10" s="12" t="s">
        <v>473</v>
      </c>
      <c r="B10" s="12" t="s">
        <v>226</v>
      </c>
      <c r="C10" s="12" t="s">
        <v>730</v>
      </c>
      <c r="D10" s="12" t="s">
        <v>731</v>
      </c>
      <c r="E10" s="12" t="s">
        <v>732</v>
      </c>
      <c r="F10" s="12" t="s">
        <v>877</v>
      </c>
      <c r="G10" s="12">
        <v>59.0</v>
      </c>
      <c r="H10" s="12" t="s">
        <v>878</v>
      </c>
      <c r="I10" s="12">
        <v>126.0</v>
      </c>
      <c r="J10" s="12" t="s">
        <v>879</v>
      </c>
      <c r="K10" s="12" t="s">
        <v>880</v>
      </c>
      <c r="L10" s="12" t="s">
        <v>675</v>
      </c>
    </row>
    <row r="11" ht="150.0" customHeight="1">
      <c r="A11" s="17" t="s">
        <v>463</v>
      </c>
      <c r="B11" s="17" t="s">
        <v>361</v>
      </c>
      <c r="C11" s="17" t="s">
        <v>743</v>
      </c>
      <c r="D11" s="17" t="s">
        <v>744</v>
      </c>
      <c r="E11" s="17" t="s">
        <v>745</v>
      </c>
      <c r="F11" s="17" t="s">
        <v>881</v>
      </c>
      <c r="G11" s="17">
        <v>59.0</v>
      </c>
      <c r="H11" s="17" t="s">
        <v>882</v>
      </c>
      <c r="I11" s="17">
        <v>145.0</v>
      </c>
      <c r="J11" s="17" t="s">
        <v>883</v>
      </c>
      <c r="K11" s="17" t="s">
        <v>884</v>
      </c>
      <c r="L11" s="17" t="s">
        <v>675</v>
      </c>
    </row>
    <row r="12" ht="150.0" customHeight="1">
      <c r="A12" s="12" t="s">
        <v>463</v>
      </c>
      <c r="B12" s="12" t="s">
        <v>229</v>
      </c>
      <c r="C12" s="12" t="s">
        <v>754</v>
      </c>
      <c r="D12" s="12" t="s">
        <v>755</v>
      </c>
      <c r="E12" s="12" t="s">
        <v>756</v>
      </c>
      <c r="F12" s="12" t="s">
        <v>886</v>
      </c>
      <c r="G12" s="12">
        <v>58.0</v>
      </c>
      <c r="H12" s="12" t="s">
        <v>888</v>
      </c>
      <c r="I12" s="12">
        <v>141.0</v>
      </c>
      <c r="J12" s="12" t="s">
        <v>890</v>
      </c>
      <c r="K12" s="12" t="s">
        <v>891</v>
      </c>
      <c r="L12" s="12" t="s">
        <v>675</v>
      </c>
    </row>
    <row r="13" ht="150.0" customHeight="1">
      <c r="A13" s="17" t="s">
        <v>463</v>
      </c>
      <c r="B13" s="17" t="s">
        <v>765</v>
      </c>
      <c r="C13" s="17" t="s">
        <v>766</v>
      </c>
      <c r="D13" s="17" t="s">
        <v>767</v>
      </c>
      <c r="E13" s="17" t="s">
        <v>22</v>
      </c>
      <c r="F13" s="17" t="s">
        <v>892</v>
      </c>
      <c r="G13" s="17">
        <v>57.0</v>
      </c>
      <c r="H13" s="17" t="s">
        <v>893</v>
      </c>
      <c r="I13" s="17">
        <v>143.0</v>
      </c>
      <c r="J13" s="17" t="s">
        <v>894</v>
      </c>
      <c r="K13" s="17" t="s">
        <v>895</v>
      </c>
      <c r="L13" s="17" t="s">
        <v>675</v>
      </c>
    </row>
    <row r="14" ht="150.0" customHeight="1">
      <c r="A14" s="12" t="s">
        <v>473</v>
      </c>
      <c r="B14" s="12" t="s">
        <v>773</v>
      </c>
      <c r="C14" s="12" t="s">
        <v>774</v>
      </c>
      <c r="D14" s="12" t="s">
        <v>776</v>
      </c>
      <c r="E14" s="12" t="s">
        <v>777</v>
      </c>
      <c r="F14" s="12" t="s">
        <v>899</v>
      </c>
      <c r="G14" s="12">
        <v>48.0</v>
      </c>
      <c r="H14" s="12" t="s">
        <v>900</v>
      </c>
      <c r="I14" s="12">
        <v>136.0</v>
      </c>
      <c r="J14" s="12" t="s">
        <v>901</v>
      </c>
      <c r="K14" s="12" t="s">
        <v>902</v>
      </c>
      <c r="L14" s="12" t="s">
        <v>675</v>
      </c>
    </row>
    <row r="15" ht="150.0" customHeight="1">
      <c r="A15" s="17" t="s">
        <v>473</v>
      </c>
      <c r="B15" s="17" t="s">
        <v>28</v>
      </c>
      <c r="C15" s="17" t="s">
        <v>784</v>
      </c>
      <c r="D15" s="17" t="s">
        <v>785</v>
      </c>
      <c r="E15" s="17" t="s">
        <v>787</v>
      </c>
      <c r="F15" s="17" t="s">
        <v>905</v>
      </c>
      <c r="G15" s="17">
        <v>60.0</v>
      </c>
      <c r="H15" s="17" t="s">
        <v>906</v>
      </c>
      <c r="I15" s="17">
        <v>147.0</v>
      </c>
      <c r="J15" s="17" t="s">
        <v>907</v>
      </c>
      <c r="K15" s="17" t="s">
        <v>908</v>
      </c>
      <c r="L15" s="17" t="s">
        <v>675</v>
      </c>
    </row>
    <row r="16" ht="150.0" customHeight="1">
      <c r="A16" s="12" t="s">
        <v>473</v>
      </c>
      <c r="B16" s="12" t="s">
        <v>300</v>
      </c>
      <c r="C16" s="12" t="s">
        <v>793</v>
      </c>
      <c r="D16" s="12" t="s">
        <v>794</v>
      </c>
      <c r="E16" s="12" t="s">
        <v>795</v>
      </c>
      <c r="F16" s="12" t="s">
        <v>909</v>
      </c>
      <c r="G16" s="12">
        <v>57.0</v>
      </c>
      <c r="H16" s="12" t="s">
        <v>911</v>
      </c>
      <c r="I16" s="12">
        <v>151.0</v>
      </c>
      <c r="J16" s="12" t="s">
        <v>913</v>
      </c>
      <c r="K16" s="12" t="s">
        <v>914</v>
      </c>
      <c r="L16" s="12" t="s">
        <v>675</v>
      </c>
    </row>
    <row r="17" ht="150.0" customHeight="1">
      <c r="A17" s="17" t="s">
        <v>463</v>
      </c>
      <c r="B17" s="17" t="s">
        <v>803</v>
      </c>
      <c r="C17" s="17" t="s">
        <v>804</v>
      </c>
      <c r="D17" s="17" t="s">
        <v>805</v>
      </c>
      <c r="E17" s="17" t="s">
        <v>806</v>
      </c>
      <c r="F17" s="17" t="s">
        <v>915</v>
      </c>
      <c r="G17" s="17">
        <v>45.0</v>
      </c>
      <c r="H17" s="17" t="s">
        <v>917</v>
      </c>
      <c r="I17" s="17">
        <v>132.0</v>
      </c>
      <c r="J17" s="17" t="s">
        <v>919</v>
      </c>
      <c r="K17" s="17" t="s">
        <v>920</v>
      </c>
      <c r="L17" s="17" t="s">
        <v>675</v>
      </c>
    </row>
    <row r="18" ht="150.0" customHeight="1">
      <c r="A18" s="12" t="s">
        <v>463</v>
      </c>
      <c r="B18" s="12" t="s">
        <v>26</v>
      </c>
      <c r="C18" s="12" t="s">
        <v>812</v>
      </c>
      <c r="D18" s="12" t="s">
        <v>814</v>
      </c>
      <c r="E18" s="12" t="s">
        <v>533</v>
      </c>
      <c r="F18" s="12" t="s">
        <v>921</v>
      </c>
      <c r="G18" s="12">
        <v>47.0</v>
      </c>
      <c r="H18" s="12" t="s">
        <v>922</v>
      </c>
      <c r="I18" s="12">
        <v>158.0</v>
      </c>
      <c r="J18" s="12" t="s">
        <v>921</v>
      </c>
      <c r="K18" s="12" t="s">
        <v>925</v>
      </c>
      <c r="L18" s="12" t="s">
        <v>675</v>
      </c>
    </row>
    <row r="19" ht="150.0" customHeight="1">
      <c r="A19" s="17" t="s">
        <v>473</v>
      </c>
      <c r="B19" s="17" t="s">
        <v>50</v>
      </c>
      <c r="C19" s="17" t="s">
        <v>812</v>
      </c>
      <c r="D19" s="17" t="s">
        <v>821</v>
      </c>
      <c r="E19" s="17" t="s">
        <v>538</v>
      </c>
      <c r="F19" s="17" t="s">
        <v>926</v>
      </c>
      <c r="G19" s="17">
        <v>53.0</v>
      </c>
      <c r="H19" s="17" t="s">
        <v>928</v>
      </c>
      <c r="I19" s="17">
        <v>158.0</v>
      </c>
      <c r="J19" s="17" t="s">
        <v>926</v>
      </c>
      <c r="K19" s="17" t="s">
        <v>930</v>
      </c>
      <c r="L19" s="17" t="s">
        <v>675</v>
      </c>
    </row>
    <row r="20" ht="150.0" customHeight="1">
      <c r="A20" s="12" t="s">
        <v>463</v>
      </c>
      <c r="B20" s="12" t="s">
        <v>51</v>
      </c>
      <c r="C20" s="12" t="s">
        <v>812</v>
      </c>
      <c r="D20" s="12" t="s">
        <v>825</v>
      </c>
      <c r="E20" s="12" t="s">
        <v>826</v>
      </c>
      <c r="F20" s="12" t="s">
        <v>932</v>
      </c>
      <c r="G20" s="12">
        <v>48.0</v>
      </c>
      <c r="H20" s="12" t="s">
        <v>933</v>
      </c>
      <c r="I20" s="12">
        <v>158.0</v>
      </c>
      <c r="J20" s="12" t="s">
        <v>932</v>
      </c>
      <c r="K20" s="12" t="s">
        <v>934</v>
      </c>
      <c r="L20" s="12" t="s">
        <v>675</v>
      </c>
    </row>
    <row r="21" ht="150.0" customHeight="1">
      <c r="A21" s="17" t="s">
        <v>463</v>
      </c>
      <c r="B21" s="17" t="s">
        <v>86</v>
      </c>
      <c r="C21" s="17" t="s">
        <v>812</v>
      </c>
      <c r="D21" s="17" t="s">
        <v>829</v>
      </c>
      <c r="E21" s="17" t="s">
        <v>830</v>
      </c>
      <c r="F21" s="17" t="s">
        <v>936</v>
      </c>
      <c r="G21" s="17">
        <v>39.0</v>
      </c>
      <c r="H21" s="17" t="s">
        <v>939</v>
      </c>
      <c r="I21" s="17">
        <v>158.0</v>
      </c>
      <c r="J21" s="17" t="s">
        <v>936</v>
      </c>
      <c r="K21" s="17" t="s">
        <v>940</v>
      </c>
      <c r="L21" s="17" t="s">
        <v>675</v>
      </c>
    </row>
    <row r="22" ht="150.0" customHeight="1">
      <c r="A22" s="12" t="s">
        <v>463</v>
      </c>
      <c r="B22" s="12" t="s">
        <v>36</v>
      </c>
      <c r="C22" s="12" t="s">
        <v>812</v>
      </c>
      <c r="D22" s="12" t="s">
        <v>834</v>
      </c>
      <c r="E22" s="12" t="s">
        <v>611</v>
      </c>
      <c r="F22" s="12" t="s">
        <v>941</v>
      </c>
      <c r="G22" s="12">
        <v>53.0</v>
      </c>
      <c r="H22" s="12" t="s">
        <v>942</v>
      </c>
      <c r="I22" s="12">
        <v>158.0</v>
      </c>
      <c r="J22" s="12" t="s">
        <v>941</v>
      </c>
      <c r="K22" s="12" t="s">
        <v>944</v>
      </c>
      <c r="L22" s="12" t="s">
        <v>675</v>
      </c>
    </row>
    <row r="23" ht="150.0" customHeight="1">
      <c r="A23" s="17" t="s">
        <v>473</v>
      </c>
      <c r="B23" s="17" t="s">
        <v>62</v>
      </c>
      <c r="C23" s="17" t="s">
        <v>812</v>
      </c>
      <c r="D23" s="17" t="s">
        <v>839</v>
      </c>
      <c r="E23" s="17" t="s">
        <v>605</v>
      </c>
      <c r="F23" s="17" t="s">
        <v>945</v>
      </c>
      <c r="G23" s="17">
        <v>53.0</v>
      </c>
      <c r="H23" s="17" t="s">
        <v>946</v>
      </c>
      <c r="I23" s="17">
        <v>158.0</v>
      </c>
      <c r="J23" s="17" t="s">
        <v>945</v>
      </c>
      <c r="K23" s="17" t="s">
        <v>947</v>
      </c>
      <c r="L23" s="17" t="s">
        <v>675</v>
      </c>
    </row>
    <row r="24" ht="150.0" customHeight="1">
      <c r="A24" s="12" t="s">
        <v>473</v>
      </c>
      <c r="B24" s="12" t="s">
        <v>82</v>
      </c>
      <c r="C24" s="12" t="s">
        <v>812</v>
      </c>
      <c r="D24" s="12" t="s">
        <v>844</v>
      </c>
      <c r="E24" s="12" t="s">
        <v>845</v>
      </c>
      <c r="F24" s="12" t="s">
        <v>948</v>
      </c>
      <c r="G24" s="12">
        <v>51.0</v>
      </c>
      <c r="H24" s="12" t="s">
        <v>949</v>
      </c>
      <c r="I24" s="12">
        <v>158.0</v>
      </c>
      <c r="J24" s="12" t="s">
        <v>948</v>
      </c>
      <c r="K24" s="12" t="s">
        <v>951</v>
      </c>
      <c r="L24" s="12" t="s">
        <v>675</v>
      </c>
    </row>
    <row r="25" ht="150.0" customHeight="1">
      <c r="A25" s="17" t="s">
        <v>473</v>
      </c>
      <c r="B25" s="17" t="s">
        <v>239</v>
      </c>
      <c r="C25" s="17" t="s">
        <v>812</v>
      </c>
      <c r="D25" s="17" t="s">
        <v>863</v>
      </c>
      <c r="E25" s="17" t="s">
        <v>865</v>
      </c>
      <c r="F25" s="17" t="s">
        <v>952</v>
      </c>
      <c r="G25" s="17">
        <v>50.0</v>
      </c>
      <c r="H25" s="17" t="s">
        <v>953</v>
      </c>
      <c r="I25" s="17">
        <v>158.0</v>
      </c>
      <c r="J25" s="17" t="s">
        <v>952</v>
      </c>
      <c r="K25" s="17" t="s">
        <v>954</v>
      </c>
      <c r="L25" s="17" t="s">
        <v>675</v>
      </c>
    </row>
    <row r="26" ht="150.0" customHeight="1">
      <c r="A26" s="12" t="s">
        <v>473</v>
      </c>
      <c r="B26" s="12" t="s">
        <v>169</v>
      </c>
      <c r="C26" s="12" t="s">
        <v>812</v>
      </c>
      <c r="D26" s="12" t="s">
        <v>863</v>
      </c>
      <c r="E26" s="12" t="s">
        <v>586</v>
      </c>
      <c r="F26" s="12" t="s">
        <v>957</v>
      </c>
      <c r="G26" s="12">
        <v>60.0</v>
      </c>
      <c r="H26" s="12" t="s">
        <v>958</v>
      </c>
      <c r="I26" s="12">
        <v>158.0</v>
      </c>
      <c r="J26" s="12" t="s">
        <v>957</v>
      </c>
      <c r="K26" s="12" t="s">
        <v>959</v>
      </c>
      <c r="L26" s="12" t="s">
        <v>675</v>
      </c>
    </row>
    <row r="27" ht="150.0" customHeight="1">
      <c r="A27" s="17" t="s">
        <v>473</v>
      </c>
      <c r="B27" s="17" t="s">
        <v>896</v>
      </c>
      <c r="C27" s="17" t="s">
        <v>812</v>
      </c>
      <c r="D27" s="17" t="s">
        <v>897</v>
      </c>
      <c r="E27" s="17" t="s">
        <v>593</v>
      </c>
      <c r="F27" s="17" t="s">
        <v>960</v>
      </c>
      <c r="G27" s="17">
        <v>47.0</v>
      </c>
      <c r="H27" s="17" t="s">
        <v>961</v>
      </c>
      <c r="I27" s="17">
        <v>158.0</v>
      </c>
      <c r="J27" s="17" t="s">
        <v>960</v>
      </c>
      <c r="K27" s="17" t="s">
        <v>963</v>
      </c>
      <c r="L27" s="17" t="s">
        <v>675</v>
      </c>
    </row>
    <row r="28" ht="150.0" customHeight="1">
      <c r="A28" s="12" t="s">
        <v>473</v>
      </c>
      <c r="B28" s="12" t="s">
        <v>910</v>
      </c>
      <c r="C28" s="12" t="s">
        <v>812</v>
      </c>
      <c r="D28" s="12" t="s">
        <v>912</v>
      </c>
      <c r="E28" s="12" t="s">
        <v>599</v>
      </c>
      <c r="F28" s="12" t="s">
        <v>964</v>
      </c>
      <c r="G28" s="12">
        <v>50.0</v>
      </c>
      <c r="H28" s="12" t="s">
        <v>965</v>
      </c>
      <c r="I28" s="12">
        <v>158.0</v>
      </c>
      <c r="J28" s="12" t="s">
        <v>964</v>
      </c>
      <c r="K28" s="12" t="s">
        <v>967</v>
      </c>
      <c r="L28" s="12" t="s">
        <v>675</v>
      </c>
    </row>
    <row r="29" ht="150.0" customHeight="1">
      <c r="A29" s="17" t="s">
        <v>473</v>
      </c>
      <c r="B29" s="17" t="s">
        <v>38</v>
      </c>
      <c r="C29" s="17" t="s">
        <v>812</v>
      </c>
      <c r="D29" s="17" t="s">
        <v>923</v>
      </c>
      <c r="E29" s="17" t="s">
        <v>924</v>
      </c>
      <c r="F29" s="17" t="s">
        <v>970</v>
      </c>
      <c r="G29" s="17">
        <v>51.0</v>
      </c>
      <c r="H29" s="17" t="s">
        <v>971</v>
      </c>
      <c r="I29" s="17">
        <v>158.0</v>
      </c>
      <c r="J29" s="17" t="s">
        <v>970</v>
      </c>
      <c r="K29" s="17" t="s">
        <v>972</v>
      </c>
      <c r="L29" s="17" t="s">
        <v>675</v>
      </c>
    </row>
    <row r="30" ht="150.0" customHeight="1">
      <c r="A30" s="12" t="s">
        <v>463</v>
      </c>
      <c r="B30" s="12" t="s">
        <v>935</v>
      </c>
      <c r="C30" s="12" t="s">
        <v>937</v>
      </c>
      <c r="D30" s="12" t="s">
        <v>938</v>
      </c>
      <c r="E30" s="12" t="s">
        <v>549</v>
      </c>
      <c r="F30" s="12" t="s">
        <v>974</v>
      </c>
      <c r="G30" s="12">
        <v>56.0</v>
      </c>
      <c r="H30" s="12" t="s">
        <v>976</v>
      </c>
      <c r="I30" s="12">
        <v>150.0</v>
      </c>
      <c r="J30" s="12" t="s">
        <v>977</v>
      </c>
      <c r="K30" s="12" t="s">
        <v>978</v>
      </c>
      <c r="L30" s="12" t="s">
        <v>675</v>
      </c>
    </row>
    <row r="31" ht="150.0" customHeight="1">
      <c r="A31" s="17" t="s">
        <v>463</v>
      </c>
      <c r="B31" s="17" t="s">
        <v>950</v>
      </c>
      <c r="C31" s="17" t="s">
        <v>937</v>
      </c>
      <c r="D31" s="17" t="s">
        <v>938</v>
      </c>
      <c r="E31" s="17" t="s">
        <v>554</v>
      </c>
      <c r="F31" s="17" t="s">
        <v>979</v>
      </c>
      <c r="G31" s="17">
        <v>65.0</v>
      </c>
      <c r="H31" s="17" t="s">
        <v>980</v>
      </c>
      <c r="I31" s="17">
        <v>158.0</v>
      </c>
      <c r="J31" s="17" t="s">
        <v>981</v>
      </c>
      <c r="K31" s="17" t="s">
        <v>982</v>
      </c>
      <c r="L31" s="17" t="s">
        <v>675</v>
      </c>
    </row>
    <row r="32" ht="150.0" customHeight="1">
      <c r="A32" s="12" t="s">
        <v>473</v>
      </c>
      <c r="B32" s="12" t="s">
        <v>287</v>
      </c>
      <c r="C32" s="12" t="s">
        <v>937</v>
      </c>
      <c r="D32" s="12" t="s">
        <v>938</v>
      </c>
      <c r="E32" s="12" t="s">
        <v>962</v>
      </c>
      <c r="F32" s="12" t="s">
        <v>984</v>
      </c>
      <c r="G32" s="12">
        <v>64.0</v>
      </c>
      <c r="H32" s="12" t="s">
        <v>985</v>
      </c>
      <c r="I32" s="12">
        <v>158.0</v>
      </c>
      <c r="J32" s="12" t="s">
        <v>987</v>
      </c>
      <c r="K32" s="12" t="s">
        <v>988</v>
      </c>
      <c r="L32" s="12" t="s">
        <v>675</v>
      </c>
    </row>
    <row r="33" ht="150.0" customHeight="1">
      <c r="A33" s="17" t="s">
        <v>473</v>
      </c>
      <c r="B33" s="17" t="s">
        <v>973</v>
      </c>
      <c r="C33" s="17" t="s">
        <v>937</v>
      </c>
      <c r="D33" s="17" t="s">
        <v>938</v>
      </c>
      <c r="E33" s="17" t="s">
        <v>975</v>
      </c>
      <c r="F33" s="17" t="s">
        <v>990</v>
      </c>
      <c r="G33" s="17">
        <v>61.0</v>
      </c>
      <c r="H33" s="17" t="s">
        <v>991</v>
      </c>
      <c r="I33" s="17">
        <v>155.0</v>
      </c>
      <c r="J33" s="17" t="s">
        <v>992</v>
      </c>
      <c r="K33" s="17" t="s">
        <v>993</v>
      </c>
      <c r="L33" s="17" t="s">
        <v>675</v>
      </c>
    </row>
    <row r="34" ht="150.0" customHeight="1">
      <c r="A34" s="12" t="s">
        <v>473</v>
      </c>
      <c r="B34" s="12" t="s">
        <v>71</v>
      </c>
      <c r="C34" s="12" t="s">
        <v>937</v>
      </c>
      <c r="D34" s="12" t="s">
        <v>938</v>
      </c>
      <c r="E34" s="12" t="s">
        <v>989</v>
      </c>
      <c r="F34" s="12" t="s">
        <v>994</v>
      </c>
      <c r="G34" s="12">
        <v>55.0</v>
      </c>
      <c r="H34" s="12" t="s">
        <v>996</v>
      </c>
      <c r="I34" s="12">
        <v>149.0</v>
      </c>
      <c r="J34" s="12" t="s">
        <v>998</v>
      </c>
      <c r="K34" s="12" t="s">
        <v>999</v>
      </c>
      <c r="L34" s="12" t="s">
        <v>675</v>
      </c>
    </row>
    <row r="35" ht="150.0" customHeight="1">
      <c r="A35" s="17" t="s">
        <v>473</v>
      </c>
      <c r="B35" s="17" t="s">
        <v>1000</v>
      </c>
      <c r="C35" s="17" t="s">
        <v>937</v>
      </c>
      <c r="D35" s="17" t="s">
        <v>938</v>
      </c>
      <c r="E35" s="17" t="s">
        <v>1001</v>
      </c>
      <c r="F35" s="17" t="s">
        <v>1002</v>
      </c>
      <c r="G35" s="17">
        <v>51.0</v>
      </c>
      <c r="H35" s="17" t="s">
        <v>1003</v>
      </c>
      <c r="I35" s="17">
        <v>145.0</v>
      </c>
      <c r="J35" s="17" t="s">
        <v>1004</v>
      </c>
      <c r="K35" s="17" t="s">
        <v>1005</v>
      </c>
      <c r="L35" s="17" t="s">
        <v>675</v>
      </c>
    </row>
    <row r="36" ht="150.0" customHeight="1">
      <c r="A36" s="12" t="s">
        <v>473</v>
      </c>
      <c r="B36" s="12" t="s">
        <v>220</v>
      </c>
      <c r="C36" s="12" t="s">
        <v>937</v>
      </c>
      <c r="D36" s="12" t="s">
        <v>938</v>
      </c>
      <c r="E36" s="12" t="s">
        <v>1006</v>
      </c>
      <c r="F36" s="12" t="s">
        <v>1007</v>
      </c>
      <c r="G36" s="12">
        <v>57.0</v>
      </c>
      <c r="H36" s="12" t="s">
        <v>1008</v>
      </c>
      <c r="I36" s="12">
        <v>151.0</v>
      </c>
      <c r="J36" s="12" t="s">
        <v>1009</v>
      </c>
      <c r="K36" s="12" t="s">
        <v>1010</v>
      </c>
      <c r="L36" s="12" t="s">
        <v>675</v>
      </c>
    </row>
    <row r="37" ht="150.0" customHeight="1">
      <c r="A37" s="17" t="s">
        <v>473</v>
      </c>
      <c r="B37" s="17" t="s">
        <v>1011</v>
      </c>
      <c r="C37" s="17" t="s">
        <v>937</v>
      </c>
      <c r="D37" s="17" t="s">
        <v>938</v>
      </c>
      <c r="E37" s="17" t="s">
        <v>1013</v>
      </c>
      <c r="F37" s="17" t="s">
        <v>1014</v>
      </c>
      <c r="G37" s="17">
        <v>52.0</v>
      </c>
      <c r="H37" s="17" t="s">
        <v>1015</v>
      </c>
      <c r="I37" s="17">
        <v>146.0</v>
      </c>
      <c r="J37" s="17" t="s">
        <v>1016</v>
      </c>
      <c r="K37" s="17" t="s">
        <v>1017</v>
      </c>
      <c r="L37" s="17" t="s">
        <v>675</v>
      </c>
    </row>
    <row r="38" ht="150.0" customHeight="1">
      <c r="A38" s="12" t="s">
        <v>473</v>
      </c>
      <c r="B38" s="12" t="s">
        <v>1018</v>
      </c>
      <c r="C38" s="12" t="s">
        <v>937</v>
      </c>
      <c r="D38" s="12" t="s">
        <v>938</v>
      </c>
      <c r="E38" s="12" t="s">
        <v>1019</v>
      </c>
      <c r="F38" s="12" t="s">
        <v>1020</v>
      </c>
      <c r="G38" s="12">
        <v>57.0</v>
      </c>
      <c r="H38" s="12" t="s">
        <v>1022</v>
      </c>
      <c r="I38" s="12">
        <v>151.0</v>
      </c>
      <c r="J38" s="12" t="s">
        <v>1023</v>
      </c>
      <c r="K38" s="12" t="s">
        <v>1025</v>
      </c>
      <c r="L38" s="12" t="s">
        <v>675</v>
      </c>
    </row>
    <row r="39" ht="150.0" customHeight="1">
      <c r="A39" s="17" t="s">
        <v>473</v>
      </c>
      <c r="B39" s="17" t="s">
        <v>1026</v>
      </c>
      <c r="C39" s="17" t="s">
        <v>1027</v>
      </c>
      <c r="D39" s="17" t="s">
        <v>1028</v>
      </c>
      <c r="E39" s="17" t="s">
        <v>560</v>
      </c>
      <c r="F39" s="17" t="s">
        <v>1029</v>
      </c>
      <c r="G39" s="17">
        <v>57.0</v>
      </c>
      <c r="H39" s="17" t="s">
        <v>1030</v>
      </c>
      <c r="I39" s="17">
        <v>144.0</v>
      </c>
      <c r="J39" s="17" t="s">
        <v>1031</v>
      </c>
      <c r="K39" s="17" t="s">
        <v>1032</v>
      </c>
      <c r="L39" s="17" t="s">
        <v>675</v>
      </c>
    </row>
    <row r="40" ht="150.0" customHeight="1">
      <c r="A40" s="12" t="s">
        <v>473</v>
      </c>
      <c r="B40" s="12" t="s">
        <v>1033</v>
      </c>
      <c r="C40" s="12" t="s">
        <v>1027</v>
      </c>
      <c r="D40" s="12" t="s">
        <v>1028</v>
      </c>
      <c r="E40" s="12" t="s">
        <v>566</v>
      </c>
      <c r="F40" s="12" t="s">
        <v>1034</v>
      </c>
      <c r="G40" s="12">
        <v>65.0</v>
      </c>
      <c r="H40" s="12" t="s">
        <v>1035</v>
      </c>
      <c r="I40" s="12">
        <v>152.0</v>
      </c>
      <c r="J40" s="12" t="s">
        <v>1036</v>
      </c>
      <c r="K40" s="12" t="s">
        <v>1037</v>
      </c>
      <c r="L40" s="12" t="s">
        <v>675</v>
      </c>
    </row>
    <row r="41" ht="150.0" customHeight="1">
      <c r="A41" s="17" t="s">
        <v>473</v>
      </c>
      <c r="B41" s="17" t="s">
        <v>1038</v>
      </c>
      <c r="C41" s="17" t="s">
        <v>1027</v>
      </c>
      <c r="D41" s="17" t="s">
        <v>1028</v>
      </c>
      <c r="E41" s="17" t="s">
        <v>571</v>
      </c>
      <c r="F41" s="17" t="s">
        <v>1039</v>
      </c>
      <c r="G41" s="17">
        <v>53.0</v>
      </c>
      <c r="H41" s="17" t="s">
        <v>1040</v>
      </c>
      <c r="I41" s="17">
        <v>140.0</v>
      </c>
      <c r="J41" s="17" t="s">
        <v>1041</v>
      </c>
      <c r="K41" s="17" t="s">
        <v>1042</v>
      </c>
      <c r="L41" s="17" t="s">
        <v>675</v>
      </c>
    </row>
    <row r="42" ht="150.0" customHeight="1">
      <c r="A42" s="12" t="s">
        <v>473</v>
      </c>
      <c r="B42" s="12" t="s">
        <v>956</v>
      </c>
      <c r="C42" s="12" t="s">
        <v>1043</v>
      </c>
      <c r="D42" s="12" t="s">
        <v>1045</v>
      </c>
      <c r="E42" s="12" t="s">
        <v>1046</v>
      </c>
      <c r="F42" s="12" t="s">
        <v>1047</v>
      </c>
      <c r="G42" s="12">
        <v>52.0</v>
      </c>
      <c r="H42" s="12" t="s">
        <v>1049</v>
      </c>
      <c r="I42" s="12">
        <v>119.0</v>
      </c>
      <c r="J42" s="12" t="s">
        <v>1050</v>
      </c>
      <c r="K42" s="12" t="s">
        <v>1052</v>
      </c>
      <c r="L42" s="12" t="s">
        <v>675</v>
      </c>
    </row>
    <row r="43" ht="150.0" customHeight="1">
      <c r="A43" s="17" t="s">
        <v>473</v>
      </c>
      <c r="B43" s="17" t="s">
        <v>1012</v>
      </c>
      <c r="C43" s="17" t="s">
        <v>1043</v>
      </c>
      <c r="D43" s="17" t="s">
        <v>1045</v>
      </c>
      <c r="E43" s="17" t="s">
        <v>1053</v>
      </c>
      <c r="F43" s="17" t="s">
        <v>1054</v>
      </c>
      <c r="G43" s="17">
        <v>54.0</v>
      </c>
      <c r="H43" s="17" t="s">
        <v>1055</v>
      </c>
      <c r="I43" s="17">
        <v>118.0</v>
      </c>
      <c r="J43" s="17" t="s">
        <v>1057</v>
      </c>
      <c r="K43" s="17" t="s">
        <v>1058</v>
      </c>
      <c r="L43" s="17" t="s">
        <v>675</v>
      </c>
    </row>
    <row r="44" ht="150.0" customHeight="1">
      <c r="A44" s="12" t="s">
        <v>473</v>
      </c>
      <c r="B44" s="12" t="s">
        <v>222</v>
      </c>
      <c r="C44" s="12" t="s">
        <v>1043</v>
      </c>
      <c r="D44" s="12" t="s">
        <v>1045</v>
      </c>
      <c r="E44" s="12" t="s">
        <v>1060</v>
      </c>
      <c r="F44" s="12" t="s">
        <v>1061</v>
      </c>
      <c r="G44" s="12">
        <v>51.0</v>
      </c>
      <c r="H44" s="12" t="s">
        <v>1062</v>
      </c>
      <c r="I44" s="12">
        <v>115.0</v>
      </c>
      <c r="J44" s="12" t="s">
        <v>1063</v>
      </c>
      <c r="K44" s="12" t="s">
        <v>1064</v>
      </c>
      <c r="L44" s="12" t="s">
        <v>675</v>
      </c>
    </row>
    <row r="45" ht="150.0" customHeight="1">
      <c r="A45" s="17" t="s">
        <v>473</v>
      </c>
      <c r="B45" s="17" t="s">
        <v>931</v>
      </c>
      <c r="C45" s="17" t="s">
        <v>1043</v>
      </c>
      <c r="D45" s="17" t="s">
        <v>1045</v>
      </c>
      <c r="E45" s="17" t="s">
        <v>1067</v>
      </c>
      <c r="F45" s="17" t="s">
        <v>1068</v>
      </c>
      <c r="G45" s="17">
        <v>56.0</v>
      </c>
      <c r="H45" s="17" t="s">
        <v>1070</v>
      </c>
      <c r="I45" s="17">
        <v>120.0</v>
      </c>
      <c r="J45" s="17" t="s">
        <v>1071</v>
      </c>
      <c r="K45" s="17" t="s">
        <v>1072</v>
      </c>
      <c r="L45" s="17" t="s">
        <v>675</v>
      </c>
    </row>
    <row r="46" ht="150.0" customHeight="1">
      <c r="A46" s="12" t="s">
        <v>473</v>
      </c>
      <c r="B46" s="12" t="s">
        <v>327</v>
      </c>
      <c r="C46" s="12" t="s">
        <v>1043</v>
      </c>
      <c r="D46" s="12" t="s">
        <v>1045</v>
      </c>
      <c r="E46" s="12" t="s">
        <v>1073</v>
      </c>
      <c r="F46" s="12" t="s">
        <v>1074</v>
      </c>
      <c r="G46" s="12">
        <v>51.0</v>
      </c>
      <c r="H46" s="12" t="s">
        <v>1075</v>
      </c>
      <c r="I46" s="12">
        <v>118.0</v>
      </c>
      <c r="J46" s="12" t="s">
        <v>1076</v>
      </c>
      <c r="K46" s="12" t="s">
        <v>1077</v>
      </c>
      <c r="L46" s="12" t="s">
        <v>675</v>
      </c>
    </row>
    <row r="47" ht="150.0" customHeight="1">
      <c r="A47" s="17" t="s">
        <v>473</v>
      </c>
      <c r="B47" s="17" t="s">
        <v>966</v>
      </c>
      <c r="C47" s="17" t="s">
        <v>1043</v>
      </c>
      <c r="D47" s="17" t="s">
        <v>1045</v>
      </c>
      <c r="E47" s="17" t="s">
        <v>1079</v>
      </c>
      <c r="F47" s="17" t="s">
        <v>1080</v>
      </c>
      <c r="G47" s="17">
        <v>52.0</v>
      </c>
      <c r="H47" s="17" t="s">
        <v>1082</v>
      </c>
      <c r="I47" s="17">
        <v>119.0</v>
      </c>
      <c r="J47" s="17" t="s">
        <v>1084</v>
      </c>
      <c r="K47" s="17" t="s">
        <v>1085</v>
      </c>
      <c r="L47" s="17" t="s">
        <v>675</v>
      </c>
    </row>
    <row r="48" ht="150.0" customHeight="1">
      <c r="A48" s="12" t="s">
        <v>473</v>
      </c>
      <c r="B48" s="12" t="s">
        <v>986</v>
      </c>
      <c r="C48" s="12" t="s">
        <v>1043</v>
      </c>
      <c r="D48" s="12" t="s">
        <v>1045</v>
      </c>
      <c r="E48" s="12" t="s">
        <v>1086</v>
      </c>
      <c r="F48" s="12" t="s">
        <v>1087</v>
      </c>
      <c r="G48" s="12">
        <v>52.0</v>
      </c>
      <c r="H48" s="12" t="s">
        <v>1088</v>
      </c>
      <c r="I48" s="12">
        <v>119.0</v>
      </c>
      <c r="J48" s="12" t="s">
        <v>1089</v>
      </c>
      <c r="K48" s="12" t="s">
        <v>1090</v>
      </c>
      <c r="L48" s="12" t="s">
        <v>675</v>
      </c>
    </row>
    <row r="49" ht="150.0" customHeight="1">
      <c r="A49" s="17" t="s">
        <v>473</v>
      </c>
      <c r="B49" s="17" t="s">
        <v>48</v>
      </c>
      <c r="C49" s="17" t="s">
        <v>1043</v>
      </c>
      <c r="D49" s="17" t="s">
        <v>1045</v>
      </c>
      <c r="E49" s="17" t="s">
        <v>1091</v>
      </c>
      <c r="F49" s="17" t="s">
        <v>1092</v>
      </c>
      <c r="G49" s="17">
        <v>57.0</v>
      </c>
      <c r="H49" s="17" t="s">
        <v>1093</v>
      </c>
      <c r="I49" s="17">
        <v>121.0</v>
      </c>
      <c r="J49" s="17" t="s">
        <v>1094</v>
      </c>
      <c r="K49" s="17" t="s">
        <v>1095</v>
      </c>
      <c r="L49" s="17" t="s">
        <v>675</v>
      </c>
    </row>
    <row r="50" ht="150.0" customHeight="1">
      <c r="A50" s="12" t="s">
        <v>473</v>
      </c>
      <c r="B50" s="12" t="s">
        <v>363</v>
      </c>
      <c r="C50" s="12" t="s">
        <v>1043</v>
      </c>
      <c r="D50" s="12" t="s">
        <v>1045</v>
      </c>
      <c r="E50" s="12" t="s">
        <v>1097</v>
      </c>
      <c r="F50" s="12" t="s">
        <v>1098</v>
      </c>
      <c r="G50" s="12">
        <v>53.0</v>
      </c>
      <c r="H50" s="12" t="s">
        <v>1100</v>
      </c>
      <c r="I50" s="12">
        <v>143.0</v>
      </c>
      <c r="J50" s="12" t="s">
        <v>1101</v>
      </c>
      <c r="K50" s="12" t="s">
        <v>1103</v>
      </c>
      <c r="L50" s="12" t="s">
        <v>675</v>
      </c>
    </row>
    <row r="51" ht="150.0" customHeight="1">
      <c r="A51" s="17" t="s">
        <v>473</v>
      </c>
      <c r="B51" s="17" t="s">
        <v>371</v>
      </c>
      <c r="C51" s="17" t="s">
        <v>1043</v>
      </c>
      <c r="D51" s="17" t="s">
        <v>1045</v>
      </c>
      <c r="E51" s="17" t="s">
        <v>1104</v>
      </c>
      <c r="F51" s="17" t="s">
        <v>1105</v>
      </c>
      <c r="G51" s="17">
        <v>59.0</v>
      </c>
      <c r="H51" s="17" t="s">
        <v>1106</v>
      </c>
      <c r="I51" s="17">
        <v>145.0</v>
      </c>
      <c r="J51" s="17" t="s">
        <v>1107</v>
      </c>
      <c r="K51" s="17" t="s">
        <v>1108</v>
      </c>
      <c r="L51" s="17" t="s">
        <v>675</v>
      </c>
    </row>
    <row r="52" ht="150.0" customHeight="1">
      <c r="A52" s="12" t="s">
        <v>473</v>
      </c>
      <c r="B52" s="12" t="s">
        <v>295</v>
      </c>
      <c r="C52" s="12" t="s">
        <v>1043</v>
      </c>
      <c r="D52" s="12" t="s">
        <v>1045</v>
      </c>
      <c r="E52" s="12" t="s">
        <v>1111</v>
      </c>
      <c r="F52" s="12" t="s">
        <v>1112</v>
      </c>
      <c r="G52" s="12">
        <v>53.0</v>
      </c>
      <c r="H52" s="12" t="s">
        <v>1113</v>
      </c>
      <c r="I52" s="12">
        <v>143.0</v>
      </c>
      <c r="J52" s="12" t="s">
        <v>1114</v>
      </c>
      <c r="K52" s="12" t="s">
        <v>1115</v>
      </c>
      <c r="L52" s="12" t="s">
        <v>675</v>
      </c>
    </row>
    <row r="53" ht="150.0" customHeight="1">
      <c r="A53" s="17" t="s">
        <v>473</v>
      </c>
      <c r="B53" s="17" t="s">
        <v>903</v>
      </c>
      <c r="C53" s="17" t="s">
        <v>1043</v>
      </c>
      <c r="D53" s="17" t="s">
        <v>1045</v>
      </c>
      <c r="E53" s="17" t="s">
        <v>1116</v>
      </c>
      <c r="F53" s="17" t="s">
        <v>1117</v>
      </c>
      <c r="G53" s="17">
        <v>66.0</v>
      </c>
      <c r="H53" s="17" t="s">
        <v>1118</v>
      </c>
      <c r="I53" s="17">
        <v>147.0</v>
      </c>
      <c r="J53" s="17" t="s">
        <v>1119</v>
      </c>
      <c r="K53" s="17" t="s">
        <v>1120</v>
      </c>
      <c r="L53" s="17" t="s">
        <v>675</v>
      </c>
    </row>
    <row r="54" ht="150.0" customHeight="1">
      <c r="A54" s="61" t="s">
        <v>463</v>
      </c>
      <c r="B54" s="61" t="s">
        <v>18</v>
      </c>
      <c r="C54" s="61" t="s">
        <v>1122</v>
      </c>
      <c r="D54" s="61" t="s">
        <v>1123</v>
      </c>
      <c r="E54" s="61" t="s">
        <v>620</v>
      </c>
      <c r="F54" s="61" t="s">
        <v>1125</v>
      </c>
      <c r="G54" s="61">
        <v>58.0</v>
      </c>
      <c r="H54" s="61" t="s">
        <v>1126</v>
      </c>
      <c r="I54" s="61">
        <v>146.0</v>
      </c>
      <c r="J54" s="61" t="s">
        <v>1127</v>
      </c>
      <c r="K54" s="61" t="s">
        <v>1128</v>
      </c>
      <c r="L54" s="61" t="s">
        <v>1129</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conditionalFormatting sqref="A5:A54">
    <cfRule type="containsText" dxfId="5" priority="1" operator="containsText" text="P0">
      <formula>NOT(ISERROR(SEARCH(("P0"),(A5))))</formula>
    </cfRule>
  </conditionalFormatting>
  <conditionalFormatting sqref="A5:A54">
    <cfRule type="containsText" dxfId="6" priority="2" operator="containsText" text="P1">
      <formula>NOT(ISERROR(SEARCH(("P1"),(A5))))</formula>
    </cfRule>
  </conditionalFormatting>
  <conditionalFormatting sqref="A5:A54">
    <cfRule type="containsText" dxfId="7" priority="3" operator="containsText" text="P2">
      <formula>NOT(ISERROR(SEARCH(("P2"),(A5))))</formula>
    </cfRule>
  </conditionalFormatting>
  <conditionalFormatting sqref="G5:G54">
    <cfRule type="cellIs" dxfId="8" priority="4" operator="greaterThan">
      <formula>60</formula>
    </cfRule>
  </conditionalFormatting>
  <conditionalFormatting sqref="I5:I54">
    <cfRule type="cellIs" dxfId="8" priority="5" operator="greaterThan">
      <formula>160</formula>
    </cfRule>
  </conditionalFormatting>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62.0"/>
    <col customWidth="1" min="3" max="3" width="22.0"/>
    <col customWidth="1" min="4" max="5" width="42.0"/>
    <col customWidth="1" min="6" max="6" width="60.0"/>
    <col customWidth="1" min="7" max="7" width="10.0"/>
    <col customWidth="1" min="8" max="8" width="72.0"/>
    <col customWidth="1" min="9" max="9" width="10.0"/>
    <col customWidth="1" min="10" max="10" width="52.0"/>
    <col customWidth="1" min="11" max="11" width="105.0"/>
    <col customWidth="1" min="12" max="12" width="24.0"/>
    <col customWidth="1" min="13" max="26" width="8.63"/>
  </cols>
  <sheetData>
    <row r="1" ht="33.75" customHeight="1">
      <c r="A1" s="53" t="s">
        <v>1144</v>
      </c>
    </row>
    <row r="2" ht="31.5" customHeight="1">
      <c r="A2" s="54" t="s">
        <v>843</v>
      </c>
    </row>
    <row r="4" ht="30.0" customHeight="1">
      <c r="A4" s="55" t="s">
        <v>455</v>
      </c>
      <c r="B4" s="56" t="s">
        <v>262</v>
      </c>
      <c r="C4" s="56" t="s">
        <v>662</v>
      </c>
      <c r="D4" s="56" t="s">
        <v>17</v>
      </c>
      <c r="E4" s="56" t="s">
        <v>663</v>
      </c>
      <c r="F4" s="56" t="s">
        <v>846</v>
      </c>
      <c r="G4" s="56" t="s">
        <v>274</v>
      </c>
      <c r="H4" s="56" t="s">
        <v>275</v>
      </c>
      <c r="I4" s="56" t="s">
        <v>277</v>
      </c>
      <c r="J4" s="56" t="s">
        <v>280</v>
      </c>
      <c r="K4" s="56" t="s">
        <v>847</v>
      </c>
      <c r="L4" s="57" t="s">
        <v>267</v>
      </c>
    </row>
    <row r="5" ht="150.0" customHeight="1">
      <c r="A5" s="7" t="s">
        <v>463</v>
      </c>
      <c r="B5" s="7" t="s">
        <v>357</v>
      </c>
      <c r="C5" s="7" t="s">
        <v>671</v>
      </c>
      <c r="D5" s="7" t="s">
        <v>672</v>
      </c>
      <c r="E5" s="7" t="s">
        <v>522</v>
      </c>
      <c r="F5" s="7" t="s">
        <v>1147</v>
      </c>
      <c r="G5" s="7">
        <v>51.0</v>
      </c>
      <c r="H5" s="7" t="s">
        <v>1148</v>
      </c>
      <c r="I5" s="7">
        <v>131.0</v>
      </c>
      <c r="J5" s="7" t="s">
        <v>1149</v>
      </c>
      <c r="K5" s="7" t="s">
        <v>1150</v>
      </c>
      <c r="L5" s="7" t="s">
        <v>675</v>
      </c>
    </row>
    <row r="6" ht="150.0" customHeight="1">
      <c r="A6" s="12" t="s">
        <v>463</v>
      </c>
      <c r="B6" s="12" t="s">
        <v>215</v>
      </c>
      <c r="C6" s="12" t="s">
        <v>688</v>
      </c>
      <c r="D6" s="12" t="s">
        <v>689</v>
      </c>
      <c r="E6" s="12" t="s">
        <v>694</v>
      </c>
      <c r="F6" s="12" t="s">
        <v>1154</v>
      </c>
      <c r="G6" s="12">
        <v>56.0</v>
      </c>
      <c r="H6" s="12" t="s">
        <v>1155</v>
      </c>
      <c r="I6" s="12">
        <v>144.0</v>
      </c>
      <c r="J6" s="12" t="s">
        <v>1156</v>
      </c>
      <c r="K6" s="12" t="s">
        <v>1157</v>
      </c>
      <c r="L6" s="12" t="s">
        <v>675</v>
      </c>
    </row>
    <row r="7" ht="150.0" customHeight="1">
      <c r="A7" s="17" t="s">
        <v>463</v>
      </c>
      <c r="B7" s="17" t="s">
        <v>670</v>
      </c>
      <c r="C7" s="17" t="s">
        <v>699</v>
      </c>
      <c r="D7" s="17" t="s">
        <v>701</v>
      </c>
      <c r="E7" s="17" t="s">
        <v>707</v>
      </c>
      <c r="F7" s="17" t="s">
        <v>1158</v>
      </c>
      <c r="G7" s="17">
        <v>54.0</v>
      </c>
      <c r="H7" s="17" t="s">
        <v>1159</v>
      </c>
      <c r="I7" s="17">
        <v>148.0</v>
      </c>
      <c r="J7" s="17" t="s">
        <v>1160</v>
      </c>
      <c r="K7" s="17" t="s">
        <v>1161</v>
      </c>
      <c r="L7" s="17" t="s">
        <v>675</v>
      </c>
    </row>
    <row r="8" ht="150.0" customHeight="1">
      <c r="A8" s="12" t="s">
        <v>463</v>
      </c>
      <c r="B8" s="12" t="s">
        <v>718</v>
      </c>
      <c r="C8" s="12" t="s">
        <v>711</v>
      </c>
      <c r="D8" s="12" t="s">
        <v>712</v>
      </c>
      <c r="E8" s="12" t="s">
        <v>528</v>
      </c>
      <c r="F8" s="12" t="s">
        <v>1164</v>
      </c>
      <c r="G8" s="12">
        <v>59.0</v>
      </c>
      <c r="H8" s="12" t="s">
        <v>1165</v>
      </c>
      <c r="I8" s="12">
        <v>141.0</v>
      </c>
      <c r="J8" s="12" t="s">
        <v>1167</v>
      </c>
      <c r="K8" s="12" t="s">
        <v>1168</v>
      </c>
      <c r="L8" s="12" t="s">
        <v>675</v>
      </c>
    </row>
    <row r="9" ht="150.0" customHeight="1">
      <c r="A9" s="17" t="s">
        <v>463</v>
      </c>
      <c r="B9" s="17" t="s">
        <v>330</v>
      </c>
      <c r="C9" s="17" t="s">
        <v>721</v>
      </c>
      <c r="D9" s="17" t="s">
        <v>722</v>
      </c>
      <c r="E9" s="17" t="s">
        <v>727</v>
      </c>
      <c r="F9" s="17" t="s">
        <v>1169</v>
      </c>
      <c r="G9" s="17">
        <v>61.0</v>
      </c>
      <c r="H9" s="17" t="s">
        <v>1170</v>
      </c>
      <c r="I9" s="17">
        <v>141.0</v>
      </c>
      <c r="J9" s="17" t="s">
        <v>1171</v>
      </c>
      <c r="K9" s="17" t="s">
        <v>1172</v>
      </c>
      <c r="L9" s="17" t="s">
        <v>675</v>
      </c>
    </row>
    <row r="10" ht="150.0" customHeight="1">
      <c r="A10" s="12" t="s">
        <v>473</v>
      </c>
      <c r="B10" s="12" t="s">
        <v>65</v>
      </c>
      <c r="C10" s="12" t="s">
        <v>730</v>
      </c>
      <c r="D10" s="12" t="s">
        <v>731</v>
      </c>
      <c r="E10" s="12" t="s">
        <v>738</v>
      </c>
      <c r="F10" s="12" t="s">
        <v>1174</v>
      </c>
      <c r="G10" s="12">
        <v>62.0</v>
      </c>
      <c r="H10" s="12" t="s">
        <v>1176</v>
      </c>
      <c r="I10" s="12">
        <v>125.0</v>
      </c>
      <c r="J10" s="12" t="s">
        <v>1177</v>
      </c>
      <c r="K10" s="12" t="s">
        <v>1178</v>
      </c>
      <c r="L10" s="12" t="s">
        <v>675</v>
      </c>
    </row>
    <row r="11" ht="150.0" customHeight="1">
      <c r="A11" s="17" t="s">
        <v>463</v>
      </c>
      <c r="B11" s="17" t="s">
        <v>185</v>
      </c>
      <c r="C11" s="17" t="s">
        <v>743</v>
      </c>
      <c r="D11" s="17" t="s">
        <v>744</v>
      </c>
      <c r="E11" s="17" t="s">
        <v>750</v>
      </c>
      <c r="F11" s="17" t="s">
        <v>1179</v>
      </c>
      <c r="G11" s="17">
        <v>58.0</v>
      </c>
      <c r="H11" s="17" t="s">
        <v>1180</v>
      </c>
      <c r="I11" s="17">
        <v>139.0</v>
      </c>
      <c r="J11" s="17" t="s">
        <v>1181</v>
      </c>
      <c r="K11" s="17" t="s">
        <v>1182</v>
      </c>
      <c r="L11" s="17" t="s">
        <v>675</v>
      </c>
    </row>
    <row r="12" ht="150.0" customHeight="1">
      <c r="A12" s="12" t="s">
        <v>463</v>
      </c>
      <c r="B12" s="12" t="s">
        <v>244</v>
      </c>
      <c r="C12" s="12" t="s">
        <v>754</v>
      </c>
      <c r="D12" s="12" t="s">
        <v>755</v>
      </c>
      <c r="E12" s="12" t="s">
        <v>759</v>
      </c>
      <c r="F12" s="12" t="s">
        <v>1183</v>
      </c>
      <c r="G12" s="12">
        <v>53.0</v>
      </c>
      <c r="H12" s="12" t="s">
        <v>1184</v>
      </c>
      <c r="I12" s="12">
        <v>127.0</v>
      </c>
      <c r="J12" s="12" t="s">
        <v>1186</v>
      </c>
      <c r="K12" s="12" t="s">
        <v>1188</v>
      </c>
      <c r="L12" s="12" t="s">
        <v>675</v>
      </c>
    </row>
    <row r="13" ht="150.0" customHeight="1">
      <c r="A13" s="17" t="s">
        <v>463</v>
      </c>
      <c r="B13" s="17" t="s">
        <v>771</v>
      </c>
      <c r="C13" s="17" t="s">
        <v>766</v>
      </c>
      <c r="D13" s="17" t="s">
        <v>767</v>
      </c>
      <c r="E13" s="17" t="s">
        <v>577</v>
      </c>
      <c r="F13" s="17" t="s">
        <v>1189</v>
      </c>
      <c r="G13" s="17">
        <v>53.0</v>
      </c>
      <c r="H13" s="17" t="s">
        <v>1190</v>
      </c>
      <c r="I13" s="17">
        <v>134.0</v>
      </c>
      <c r="J13" s="17" t="s">
        <v>1191</v>
      </c>
      <c r="K13" s="17" t="s">
        <v>1192</v>
      </c>
      <c r="L13" s="17" t="s">
        <v>675</v>
      </c>
    </row>
    <row r="14" ht="150.0" customHeight="1">
      <c r="A14" s="12" t="s">
        <v>473</v>
      </c>
      <c r="B14" s="12" t="s">
        <v>781</v>
      </c>
      <c r="C14" s="12" t="s">
        <v>774</v>
      </c>
      <c r="D14" s="12" t="s">
        <v>776</v>
      </c>
      <c r="E14" s="12" t="s">
        <v>582</v>
      </c>
      <c r="F14" s="12" t="s">
        <v>1194</v>
      </c>
      <c r="G14" s="12">
        <v>55.0</v>
      </c>
      <c r="H14" s="12" t="s">
        <v>1195</v>
      </c>
      <c r="I14" s="12">
        <v>119.0</v>
      </c>
      <c r="J14" s="12" t="s">
        <v>1196</v>
      </c>
      <c r="K14" s="12" t="s">
        <v>1197</v>
      </c>
      <c r="L14" s="12" t="s">
        <v>675</v>
      </c>
    </row>
    <row r="15" ht="150.0" customHeight="1">
      <c r="A15" s="17" t="s">
        <v>473</v>
      </c>
      <c r="B15" s="17" t="s">
        <v>157</v>
      </c>
      <c r="C15" s="17" t="s">
        <v>784</v>
      </c>
      <c r="D15" s="17" t="s">
        <v>785</v>
      </c>
      <c r="E15" s="17" t="s">
        <v>790</v>
      </c>
      <c r="F15" s="17" t="s">
        <v>1199</v>
      </c>
      <c r="G15" s="17">
        <v>62.0</v>
      </c>
      <c r="H15" s="17" t="s">
        <v>1200</v>
      </c>
      <c r="I15" s="17">
        <v>133.0</v>
      </c>
      <c r="J15" s="17" t="s">
        <v>1201</v>
      </c>
      <c r="K15" s="17" t="s">
        <v>1202</v>
      </c>
      <c r="L15" s="17" t="s">
        <v>675</v>
      </c>
    </row>
    <row r="16" ht="150.0" customHeight="1">
      <c r="A16" s="12" t="s">
        <v>473</v>
      </c>
      <c r="B16" s="12" t="s">
        <v>799</v>
      </c>
      <c r="C16" s="12" t="s">
        <v>793</v>
      </c>
      <c r="D16" s="12" t="s">
        <v>794</v>
      </c>
      <c r="E16" s="12" t="s">
        <v>800</v>
      </c>
      <c r="F16" s="12" t="s">
        <v>1205</v>
      </c>
      <c r="G16" s="12">
        <v>64.0</v>
      </c>
      <c r="H16" s="12" t="s">
        <v>1207</v>
      </c>
      <c r="I16" s="12">
        <v>145.0</v>
      </c>
      <c r="J16" s="12" t="s">
        <v>1208</v>
      </c>
      <c r="K16" s="12" t="s">
        <v>1209</v>
      </c>
      <c r="L16" s="12" t="s">
        <v>675</v>
      </c>
    </row>
    <row r="17" ht="150.0" customHeight="1">
      <c r="A17" s="17" t="s">
        <v>463</v>
      </c>
      <c r="B17" s="17" t="s">
        <v>165</v>
      </c>
      <c r="C17" s="17" t="s">
        <v>804</v>
      </c>
      <c r="D17" s="17" t="s">
        <v>805</v>
      </c>
      <c r="E17" s="17" t="s">
        <v>810</v>
      </c>
      <c r="F17" s="17" t="s">
        <v>1213</v>
      </c>
      <c r="G17" s="17">
        <v>49.0</v>
      </c>
      <c r="H17" s="17" t="s">
        <v>1215</v>
      </c>
      <c r="I17" s="17">
        <v>120.0</v>
      </c>
      <c r="J17" s="17" t="s">
        <v>1216</v>
      </c>
      <c r="K17" s="17" t="s">
        <v>1217</v>
      </c>
      <c r="L17" s="17" t="s">
        <v>675</v>
      </c>
    </row>
    <row r="18" ht="150.0" customHeight="1">
      <c r="A18" s="12" t="s">
        <v>463</v>
      </c>
      <c r="B18" s="12" t="s">
        <v>140</v>
      </c>
      <c r="C18" s="12" t="s">
        <v>812</v>
      </c>
      <c r="D18" s="12" t="s">
        <v>814</v>
      </c>
      <c r="E18" s="12" t="s">
        <v>534</v>
      </c>
      <c r="F18" s="12" t="s">
        <v>1223</v>
      </c>
      <c r="G18" s="12">
        <v>52.0</v>
      </c>
      <c r="H18" s="12" t="s">
        <v>1224</v>
      </c>
      <c r="I18" s="12">
        <v>158.0</v>
      </c>
      <c r="J18" s="12" t="s">
        <v>1223</v>
      </c>
      <c r="K18" s="12" t="s">
        <v>1226</v>
      </c>
      <c r="L18" s="12" t="s">
        <v>675</v>
      </c>
    </row>
    <row r="19" ht="150.0" customHeight="1">
      <c r="A19" s="17" t="s">
        <v>473</v>
      </c>
      <c r="B19" s="17" t="s">
        <v>99</v>
      </c>
      <c r="C19" s="17" t="s">
        <v>812</v>
      </c>
      <c r="D19" s="17" t="s">
        <v>821</v>
      </c>
      <c r="E19" s="17" t="s">
        <v>824</v>
      </c>
      <c r="F19" s="17" t="s">
        <v>1228</v>
      </c>
      <c r="G19" s="17">
        <v>59.0</v>
      </c>
      <c r="H19" s="17" t="s">
        <v>1230</v>
      </c>
      <c r="I19" s="17">
        <v>158.0</v>
      </c>
      <c r="J19" s="17" t="s">
        <v>1228</v>
      </c>
      <c r="K19" s="17" t="s">
        <v>1231</v>
      </c>
      <c r="L19" s="17" t="s">
        <v>675</v>
      </c>
    </row>
    <row r="20" ht="150.0" customHeight="1">
      <c r="A20" s="12" t="s">
        <v>463</v>
      </c>
      <c r="B20" s="12" t="s">
        <v>90</v>
      </c>
      <c r="C20" s="12" t="s">
        <v>812</v>
      </c>
      <c r="D20" s="12" t="s">
        <v>825</v>
      </c>
      <c r="E20" s="12" t="s">
        <v>528</v>
      </c>
      <c r="F20" s="12" t="s">
        <v>1234</v>
      </c>
      <c r="G20" s="12">
        <v>50.0</v>
      </c>
      <c r="H20" s="12" t="s">
        <v>1236</v>
      </c>
      <c r="I20" s="12">
        <v>158.0</v>
      </c>
      <c r="J20" s="12" t="s">
        <v>1234</v>
      </c>
      <c r="K20" s="12" t="s">
        <v>1238</v>
      </c>
      <c r="L20" s="12" t="s">
        <v>675</v>
      </c>
    </row>
    <row r="21" ht="150.0" customHeight="1">
      <c r="A21" s="17" t="s">
        <v>463</v>
      </c>
      <c r="B21" s="17" t="s">
        <v>232</v>
      </c>
      <c r="C21" s="17" t="s">
        <v>812</v>
      </c>
      <c r="D21" s="17" t="s">
        <v>829</v>
      </c>
      <c r="E21" s="17" t="s">
        <v>831</v>
      </c>
      <c r="F21" s="17" t="s">
        <v>1241</v>
      </c>
      <c r="G21" s="17">
        <v>47.0</v>
      </c>
      <c r="H21" s="17" t="s">
        <v>1242</v>
      </c>
      <c r="I21" s="17">
        <v>158.0</v>
      </c>
      <c r="J21" s="17" t="s">
        <v>1241</v>
      </c>
      <c r="K21" s="17" t="s">
        <v>1243</v>
      </c>
      <c r="L21" s="17" t="s">
        <v>675</v>
      </c>
    </row>
    <row r="22" ht="150.0" customHeight="1">
      <c r="A22" s="12" t="s">
        <v>463</v>
      </c>
      <c r="B22" s="12" t="s">
        <v>837</v>
      </c>
      <c r="C22" s="12" t="s">
        <v>812</v>
      </c>
      <c r="D22" s="12" t="s">
        <v>834</v>
      </c>
      <c r="E22" s="12" t="s">
        <v>612</v>
      </c>
      <c r="F22" s="12" t="s">
        <v>1245</v>
      </c>
      <c r="G22" s="12">
        <v>56.0</v>
      </c>
      <c r="H22" s="12" t="s">
        <v>1246</v>
      </c>
      <c r="I22" s="12">
        <v>158.0</v>
      </c>
      <c r="J22" s="12" t="s">
        <v>1245</v>
      </c>
      <c r="K22" s="12" t="s">
        <v>1248</v>
      </c>
      <c r="L22" s="12" t="s">
        <v>675</v>
      </c>
    </row>
    <row r="23" ht="150.0" customHeight="1">
      <c r="A23" s="17" t="s">
        <v>473</v>
      </c>
      <c r="B23" s="17" t="s">
        <v>840</v>
      </c>
      <c r="C23" s="17" t="s">
        <v>812</v>
      </c>
      <c r="D23" s="17" t="s">
        <v>839</v>
      </c>
      <c r="E23" s="17" t="s">
        <v>606</v>
      </c>
      <c r="F23" s="17" t="s">
        <v>1250</v>
      </c>
      <c r="G23" s="17">
        <v>49.0</v>
      </c>
      <c r="H23" s="17" t="s">
        <v>1251</v>
      </c>
      <c r="I23" s="17">
        <v>158.0</v>
      </c>
      <c r="J23" s="17" t="s">
        <v>1250</v>
      </c>
      <c r="K23" s="17" t="s">
        <v>1252</v>
      </c>
      <c r="L23" s="17" t="s">
        <v>675</v>
      </c>
    </row>
    <row r="24" ht="150.0" customHeight="1">
      <c r="A24" s="12" t="s">
        <v>473</v>
      </c>
      <c r="B24" s="12" t="s">
        <v>848</v>
      </c>
      <c r="C24" s="12" t="s">
        <v>812</v>
      </c>
      <c r="D24" s="12" t="s">
        <v>844</v>
      </c>
      <c r="E24" s="12" t="s">
        <v>850</v>
      </c>
      <c r="F24" s="12" t="s">
        <v>1256</v>
      </c>
      <c r="G24" s="12">
        <v>53.0</v>
      </c>
      <c r="H24" s="12" t="s">
        <v>1257</v>
      </c>
      <c r="I24" s="12">
        <v>158.0</v>
      </c>
      <c r="J24" s="12" t="s">
        <v>1256</v>
      </c>
      <c r="K24" s="12" t="s">
        <v>1259</v>
      </c>
      <c r="L24" s="12" t="s">
        <v>675</v>
      </c>
    </row>
    <row r="25" ht="150.0" customHeight="1">
      <c r="A25" s="17" t="s">
        <v>473</v>
      </c>
      <c r="B25" s="17" t="s">
        <v>872</v>
      </c>
      <c r="C25" s="17" t="s">
        <v>812</v>
      </c>
      <c r="D25" s="17" t="s">
        <v>863</v>
      </c>
      <c r="E25" s="17" t="s">
        <v>876</v>
      </c>
      <c r="F25" s="17" t="s">
        <v>1260</v>
      </c>
      <c r="G25" s="17">
        <v>59.0</v>
      </c>
      <c r="H25" s="17" t="s">
        <v>1262</v>
      </c>
      <c r="I25" s="17">
        <v>158.0</v>
      </c>
      <c r="J25" s="17" t="s">
        <v>1260</v>
      </c>
      <c r="K25" s="17" t="s">
        <v>1264</v>
      </c>
      <c r="L25" s="17" t="s">
        <v>675</v>
      </c>
    </row>
    <row r="26" ht="150.0" customHeight="1">
      <c r="A26" s="12" t="s">
        <v>473</v>
      </c>
      <c r="B26" s="12" t="s">
        <v>887</v>
      </c>
      <c r="C26" s="12" t="s">
        <v>812</v>
      </c>
      <c r="D26" s="12" t="s">
        <v>863</v>
      </c>
      <c r="E26" s="12" t="s">
        <v>889</v>
      </c>
      <c r="F26" s="12" t="s">
        <v>1266</v>
      </c>
      <c r="G26" s="12">
        <v>60.0</v>
      </c>
      <c r="H26" s="12" t="s">
        <v>1268</v>
      </c>
      <c r="I26" s="12">
        <v>158.0</v>
      </c>
      <c r="J26" s="12" t="s">
        <v>1266</v>
      </c>
      <c r="K26" s="12" t="s">
        <v>1269</v>
      </c>
      <c r="L26" s="12" t="s">
        <v>675</v>
      </c>
    </row>
    <row r="27" ht="150.0" customHeight="1">
      <c r="A27" s="17" t="s">
        <v>473</v>
      </c>
      <c r="B27" s="17" t="s">
        <v>904</v>
      </c>
      <c r="C27" s="17" t="s">
        <v>812</v>
      </c>
      <c r="D27" s="17" t="s">
        <v>897</v>
      </c>
      <c r="E27" s="17" t="s">
        <v>595</v>
      </c>
      <c r="F27" s="17" t="s">
        <v>1271</v>
      </c>
      <c r="G27" s="17">
        <v>44.0</v>
      </c>
      <c r="H27" s="17" t="s">
        <v>1272</v>
      </c>
      <c r="I27" s="17">
        <v>155.0</v>
      </c>
      <c r="J27" s="17" t="s">
        <v>1271</v>
      </c>
      <c r="K27" s="17" t="s">
        <v>1274</v>
      </c>
      <c r="L27" s="17" t="s">
        <v>675</v>
      </c>
    </row>
    <row r="28" ht="150.0" customHeight="1">
      <c r="A28" s="12" t="s">
        <v>473</v>
      </c>
      <c r="B28" s="12" t="s">
        <v>916</v>
      </c>
      <c r="C28" s="12" t="s">
        <v>812</v>
      </c>
      <c r="D28" s="12" t="s">
        <v>912</v>
      </c>
      <c r="E28" s="12" t="s">
        <v>918</v>
      </c>
      <c r="F28" s="12" t="s">
        <v>1278</v>
      </c>
      <c r="G28" s="12">
        <v>52.0</v>
      </c>
      <c r="H28" s="12" t="s">
        <v>1279</v>
      </c>
      <c r="I28" s="12">
        <v>158.0</v>
      </c>
      <c r="J28" s="12" t="s">
        <v>1278</v>
      </c>
      <c r="K28" s="12" t="s">
        <v>1280</v>
      </c>
      <c r="L28" s="12" t="s">
        <v>675</v>
      </c>
    </row>
    <row r="29" ht="150.0" customHeight="1">
      <c r="A29" s="17" t="s">
        <v>473</v>
      </c>
      <c r="B29" s="17" t="s">
        <v>927</v>
      </c>
      <c r="C29" s="17" t="s">
        <v>812</v>
      </c>
      <c r="D29" s="17" t="s">
        <v>923</v>
      </c>
      <c r="E29" s="17" t="s">
        <v>929</v>
      </c>
      <c r="F29" s="17" t="s">
        <v>1283</v>
      </c>
      <c r="G29" s="17">
        <v>49.0</v>
      </c>
      <c r="H29" s="17" t="s">
        <v>1284</v>
      </c>
      <c r="I29" s="17">
        <v>158.0</v>
      </c>
      <c r="J29" s="17" t="s">
        <v>1283</v>
      </c>
      <c r="K29" s="17" t="s">
        <v>1285</v>
      </c>
      <c r="L29" s="17" t="s">
        <v>675</v>
      </c>
    </row>
    <row r="30" ht="150.0" customHeight="1">
      <c r="A30" s="12" t="s">
        <v>463</v>
      </c>
      <c r="B30" s="12" t="s">
        <v>943</v>
      </c>
      <c r="C30" s="12" t="s">
        <v>937</v>
      </c>
      <c r="D30" s="12" t="s">
        <v>938</v>
      </c>
      <c r="E30" s="12" t="s">
        <v>550</v>
      </c>
      <c r="F30" s="12" t="s">
        <v>1287</v>
      </c>
      <c r="G30" s="12">
        <v>61.0</v>
      </c>
      <c r="H30" s="12" t="s">
        <v>1288</v>
      </c>
      <c r="I30" s="12">
        <v>145.0</v>
      </c>
      <c r="J30" s="12" t="s">
        <v>1290</v>
      </c>
      <c r="K30" s="12" t="s">
        <v>1292</v>
      </c>
      <c r="L30" s="12" t="s">
        <v>675</v>
      </c>
    </row>
    <row r="31" ht="150.0" customHeight="1">
      <c r="A31" s="17" t="s">
        <v>463</v>
      </c>
      <c r="B31" s="17" t="s">
        <v>955</v>
      </c>
      <c r="C31" s="17" t="s">
        <v>937</v>
      </c>
      <c r="D31" s="17" t="s">
        <v>938</v>
      </c>
      <c r="E31" s="17" t="s">
        <v>555</v>
      </c>
      <c r="F31" s="17" t="s">
        <v>1295</v>
      </c>
      <c r="G31" s="17">
        <v>71.0</v>
      </c>
      <c r="H31" s="17" t="s">
        <v>1296</v>
      </c>
      <c r="I31" s="17">
        <v>155.0</v>
      </c>
      <c r="J31" s="17" t="s">
        <v>1297</v>
      </c>
      <c r="K31" s="17" t="s">
        <v>1298</v>
      </c>
      <c r="L31" s="17" t="s">
        <v>675</v>
      </c>
    </row>
    <row r="32" ht="150.0" customHeight="1">
      <c r="A32" s="12" t="s">
        <v>473</v>
      </c>
      <c r="B32" s="12" t="s">
        <v>968</v>
      </c>
      <c r="C32" s="12" t="s">
        <v>937</v>
      </c>
      <c r="D32" s="12" t="s">
        <v>938</v>
      </c>
      <c r="E32" s="12" t="s">
        <v>969</v>
      </c>
      <c r="F32" s="12" t="s">
        <v>1300</v>
      </c>
      <c r="G32" s="12">
        <v>59.0</v>
      </c>
      <c r="H32" s="12" t="s">
        <v>1301</v>
      </c>
      <c r="I32" s="12">
        <v>143.0</v>
      </c>
      <c r="J32" s="12" t="s">
        <v>1302</v>
      </c>
      <c r="K32" s="12" t="s">
        <v>1303</v>
      </c>
      <c r="L32" s="12" t="s">
        <v>675</v>
      </c>
    </row>
    <row r="33" ht="150.0" customHeight="1">
      <c r="A33" s="17" t="s">
        <v>473</v>
      </c>
      <c r="B33" s="17" t="s">
        <v>195</v>
      </c>
      <c r="C33" s="17" t="s">
        <v>937</v>
      </c>
      <c r="D33" s="17" t="s">
        <v>938</v>
      </c>
      <c r="E33" s="17" t="s">
        <v>983</v>
      </c>
      <c r="F33" s="17" t="s">
        <v>1306</v>
      </c>
      <c r="G33" s="17">
        <v>64.0</v>
      </c>
      <c r="H33" s="17" t="s">
        <v>1307</v>
      </c>
      <c r="I33" s="17">
        <v>148.0</v>
      </c>
      <c r="J33" s="17" t="s">
        <v>1309</v>
      </c>
      <c r="K33" s="17" t="s">
        <v>1310</v>
      </c>
      <c r="L33" s="17" t="s">
        <v>675</v>
      </c>
    </row>
    <row r="34" ht="150.0" customHeight="1">
      <c r="A34" s="12" t="s">
        <v>473</v>
      </c>
      <c r="B34" s="12" t="s">
        <v>995</v>
      </c>
      <c r="C34" s="12" t="s">
        <v>937</v>
      </c>
      <c r="D34" s="12" t="s">
        <v>938</v>
      </c>
      <c r="E34" s="12" t="s">
        <v>997</v>
      </c>
      <c r="F34" s="12" t="s">
        <v>1313</v>
      </c>
      <c r="G34" s="12">
        <v>58.0</v>
      </c>
      <c r="H34" s="12" t="s">
        <v>1314</v>
      </c>
      <c r="I34" s="12">
        <v>142.0</v>
      </c>
      <c r="J34" s="12" t="s">
        <v>1316</v>
      </c>
      <c r="K34" s="12" t="s">
        <v>1317</v>
      </c>
      <c r="L34" s="12" t="s">
        <v>675</v>
      </c>
    </row>
    <row r="35" ht="150.0" customHeight="1">
      <c r="A35" s="17" t="s">
        <v>473</v>
      </c>
      <c r="B35" s="17" t="s">
        <v>1021</v>
      </c>
      <c r="C35" s="17" t="s">
        <v>937</v>
      </c>
      <c r="D35" s="17" t="s">
        <v>938</v>
      </c>
      <c r="E35" s="17" t="s">
        <v>1024</v>
      </c>
      <c r="F35" s="17" t="s">
        <v>1319</v>
      </c>
      <c r="G35" s="17">
        <v>54.0</v>
      </c>
      <c r="H35" s="17" t="s">
        <v>1320</v>
      </c>
      <c r="I35" s="17">
        <v>138.0</v>
      </c>
      <c r="J35" s="17" t="s">
        <v>1321</v>
      </c>
      <c r="K35" s="17" t="s">
        <v>1322</v>
      </c>
      <c r="L35" s="17" t="s">
        <v>675</v>
      </c>
    </row>
    <row r="36" ht="150.0" customHeight="1">
      <c r="A36" s="12" t="s">
        <v>473</v>
      </c>
      <c r="B36" s="12" t="s">
        <v>1056</v>
      </c>
      <c r="C36" s="12" t="s">
        <v>937</v>
      </c>
      <c r="D36" s="12" t="s">
        <v>938</v>
      </c>
      <c r="E36" s="12" t="s">
        <v>1059</v>
      </c>
      <c r="F36" s="12" t="s">
        <v>1323</v>
      </c>
      <c r="G36" s="12">
        <v>60.0</v>
      </c>
      <c r="H36" s="12" t="s">
        <v>1324</v>
      </c>
      <c r="I36" s="12">
        <v>144.0</v>
      </c>
      <c r="J36" s="12" t="s">
        <v>1325</v>
      </c>
      <c r="K36" s="12" t="s">
        <v>1326</v>
      </c>
      <c r="L36" s="12" t="s">
        <v>675</v>
      </c>
    </row>
    <row r="37" ht="150.0" customHeight="1">
      <c r="A37" s="17" t="s">
        <v>473</v>
      </c>
      <c r="B37" s="17" t="s">
        <v>1078</v>
      </c>
      <c r="C37" s="17" t="s">
        <v>937</v>
      </c>
      <c r="D37" s="17" t="s">
        <v>938</v>
      </c>
      <c r="E37" s="17" t="s">
        <v>1081</v>
      </c>
      <c r="F37" s="17" t="s">
        <v>1328</v>
      </c>
      <c r="G37" s="17">
        <v>55.0</v>
      </c>
      <c r="H37" s="17" t="s">
        <v>1329</v>
      </c>
      <c r="I37" s="17">
        <v>139.0</v>
      </c>
      <c r="J37" s="17" t="s">
        <v>1330</v>
      </c>
      <c r="K37" s="17" t="s">
        <v>1331</v>
      </c>
      <c r="L37" s="17" t="s">
        <v>675</v>
      </c>
    </row>
    <row r="38" ht="150.0" customHeight="1">
      <c r="A38" s="12" t="s">
        <v>473</v>
      </c>
      <c r="B38" s="12" t="s">
        <v>1099</v>
      </c>
      <c r="C38" s="12" t="s">
        <v>937</v>
      </c>
      <c r="D38" s="12" t="s">
        <v>938</v>
      </c>
      <c r="E38" s="12" t="s">
        <v>1102</v>
      </c>
      <c r="F38" s="12" t="s">
        <v>1333</v>
      </c>
      <c r="G38" s="12">
        <v>59.0</v>
      </c>
      <c r="H38" s="12" t="s">
        <v>1334</v>
      </c>
      <c r="I38" s="12">
        <v>143.0</v>
      </c>
      <c r="J38" s="12" t="s">
        <v>1335</v>
      </c>
      <c r="K38" s="12" t="s">
        <v>1336</v>
      </c>
      <c r="L38" s="12" t="s">
        <v>675</v>
      </c>
    </row>
    <row r="39" ht="150.0" customHeight="1">
      <c r="A39" s="17" t="s">
        <v>473</v>
      </c>
      <c r="B39" s="17" t="s">
        <v>248</v>
      </c>
      <c r="C39" s="17" t="s">
        <v>1027</v>
      </c>
      <c r="D39" s="17" t="s">
        <v>1028</v>
      </c>
      <c r="E39" s="17" t="s">
        <v>561</v>
      </c>
      <c r="F39" s="17" t="s">
        <v>1337</v>
      </c>
      <c r="G39" s="17">
        <v>52.0</v>
      </c>
      <c r="H39" s="17" t="s">
        <v>1338</v>
      </c>
      <c r="I39" s="17">
        <v>142.0</v>
      </c>
      <c r="J39" s="17" t="s">
        <v>1339</v>
      </c>
      <c r="K39" s="17" t="s">
        <v>1340</v>
      </c>
      <c r="L39" s="17" t="s">
        <v>675</v>
      </c>
    </row>
    <row r="40" ht="150.0" customHeight="1">
      <c r="A40" s="12" t="s">
        <v>473</v>
      </c>
      <c r="B40" s="12" t="s">
        <v>354</v>
      </c>
      <c r="C40" s="12" t="s">
        <v>1027</v>
      </c>
      <c r="D40" s="12" t="s">
        <v>1028</v>
      </c>
      <c r="E40" s="12" t="s">
        <v>567</v>
      </c>
      <c r="F40" s="12" t="s">
        <v>1342</v>
      </c>
      <c r="G40" s="12">
        <v>65.0</v>
      </c>
      <c r="H40" s="12" t="s">
        <v>1343</v>
      </c>
      <c r="I40" s="12">
        <v>155.0</v>
      </c>
      <c r="J40" s="12" t="s">
        <v>1344</v>
      </c>
      <c r="K40" s="12" t="s">
        <v>1345</v>
      </c>
      <c r="L40" s="12" t="s">
        <v>675</v>
      </c>
    </row>
    <row r="41" ht="150.0" customHeight="1">
      <c r="A41" s="17" t="s">
        <v>473</v>
      </c>
      <c r="B41" s="17" t="s">
        <v>783</v>
      </c>
      <c r="C41" s="17" t="s">
        <v>1027</v>
      </c>
      <c r="D41" s="17" t="s">
        <v>1028</v>
      </c>
      <c r="E41" s="17" t="s">
        <v>572</v>
      </c>
      <c r="F41" s="17" t="s">
        <v>1346</v>
      </c>
      <c r="G41" s="17">
        <v>52.0</v>
      </c>
      <c r="H41" s="17" t="s">
        <v>1347</v>
      </c>
      <c r="I41" s="17">
        <v>142.0</v>
      </c>
      <c r="J41" s="17" t="s">
        <v>1348</v>
      </c>
      <c r="K41" s="17" t="s">
        <v>1349</v>
      </c>
      <c r="L41" s="17" t="s">
        <v>675</v>
      </c>
    </row>
    <row r="42" ht="150.0" customHeight="1">
      <c r="A42" s="12" t="s">
        <v>473</v>
      </c>
      <c r="B42" s="12" t="s">
        <v>715</v>
      </c>
      <c r="C42" s="12" t="s">
        <v>1043</v>
      </c>
      <c r="D42" s="12" t="s">
        <v>1045</v>
      </c>
      <c r="E42" s="12" t="s">
        <v>1137</v>
      </c>
      <c r="F42" s="12" t="s">
        <v>1350</v>
      </c>
      <c r="G42" s="12">
        <v>60.0</v>
      </c>
      <c r="H42" s="12" t="s">
        <v>1351</v>
      </c>
      <c r="I42" s="12">
        <v>106.0</v>
      </c>
      <c r="J42" s="12" t="s">
        <v>1353</v>
      </c>
      <c r="K42" s="12" t="s">
        <v>1354</v>
      </c>
      <c r="L42" s="12" t="s">
        <v>675</v>
      </c>
    </row>
    <row r="43" ht="150.0" customHeight="1">
      <c r="A43" s="17" t="s">
        <v>473</v>
      </c>
      <c r="B43" s="17" t="s">
        <v>119</v>
      </c>
      <c r="C43" s="17" t="s">
        <v>1043</v>
      </c>
      <c r="D43" s="17" t="s">
        <v>1045</v>
      </c>
      <c r="E43" s="17" t="s">
        <v>1140</v>
      </c>
      <c r="F43" s="17" t="s">
        <v>1355</v>
      </c>
      <c r="G43" s="17">
        <v>62.0</v>
      </c>
      <c r="H43" s="17" t="s">
        <v>1356</v>
      </c>
      <c r="I43" s="17">
        <v>111.0</v>
      </c>
      <c r="J43" s="17" t="s">
        <v>1357</v>
      </c>
      <c r="K43" s="17" t="s">
        <v>1358</v>
      </c>
      <c r="L43" s="17" t="s">
        <v>675</v>
      </c>
    </row>
    <row r="44" ht="150.0" customHeight="1">
      <c r="A44" s="12" t="s">
        <v>473</v>
      </c>
      <c r="B44" s="12" t="s">
        <v>705</v>
      </c>
      <c r="C44" s="12" t="s">
        <v>1043</v>
      </c>
      <c r="D44" s="12" t="s">
        <v>1045</v>
      </c>
      <c r="E44" s="12" t="s">
        <v>1141</v>
      </c>
      <c r="F44" s="12" t="s">
        <v>1359</v>
      </c>
      <c r="G44" s="12">
        <v>59.0</v>
      </c>
      <c r="H44" s="12" t="s">
        <v>1360</v>
      </c>
      <c r="I44" s="12">
        <v>108.0</v>
      </c>
      <c r="J44" s="12" t="s">
        <v>1361</v>
      </c>
      <c r="K44" s="12" t="s">
        <v>1362</v>
      </c>
      <c r="L44" s="12" t="s">
        <v>675</v>
      </c>
    </row>
    <row r="45" ht="150.0" customHeight="1">
      <c r="A45" s="17" t="s">
        <v>473</v>
      </c>
      <c r="B45" s="17" t="s">
        <v>698</v>
      </c>
      <c r="C45" s="17" t="s">
        <v>1043</v>
      </c>
      <c r="D45" s="17" t="s">
        <v>1045</v>
      </c>
      <c r="E45" s="17" t="s">
        <v>1151</v>
      </c>
      <c r="F45" s="17" t="s">
        <v>1364</v>
      </c>
      <c r="G45" s="17">
        <v>64.0</v>
      </c>
      <c r="H45" s="17" t="s">
        <v>1365</v>
      </c>
      <c r="I45" s="17">
        <v>113.0</v>
      </c>
      <c r="J45" s="17" t="s">
        <v>1366</v>
      </c>
      <c r="K45" s="17" t="s">
        <v>1367</v>
      </c>
      <c r="L45" s="17" t="s">
        <v>675</v>
      </c>
    </row>
    <row r="46" ht="150.0" customHeight="1">
      <c r="A46" s="12" t="s">
        <v>473</v>
      </c>
      <c r="B46" s="12" t="s">
        <v>684</v>
      </c>
      <c r="C46" s="12" t="s">
        <v>1043</v>
      </c>
      <c r="D46" s="12" t="s">
        <v>1045</v>
      </c>
      <c r="E46" s="12" t="s">
        <v>1166</v>
      </c>
      <c r="F46" s="12" t="s">
        <v>1368</v>
      </c>
      <c r="G46" s="12">
        <v>59.0</v>
      </c>
      <c r="H46" s="12" t="s">
        <v>1369</v>
      </c>
      <c r="I46" s="12">
        <v>105.0</v>
      </c>
      <c r="J46" s="12" t="s">
        <v>1370</v>
      </c>
      <c r="K46" s="12" t="s">
        <v>1371</v>
      </c>
      <c r="L46" s="12" t="s">
        <v>675</v>
      </c>
    </row>
    <row r="47" ht="150.0" customHeight="1">
      <c r="A47" s="17" t="s">
        <v>473</v>
      </c>
      <c r="B47" s="17" t="s">
        <v>317</v>
      </c>
      <c r="C47" s="17" t="s">
        <v>1043</v>
      </c>
      <c r="D47" s="17" t="s">
        <v>1045</v>
      </c>
      <c r="E47" s="17" t="s">
        <v>1185</v>
      </c>
      <c r="F47" s="17" t="s">
        <v>1372</v>
      </c>
      <c r="G47" s="17">
        <v>60.0</v>
      </c>
      <c r="H47" s="17" t="s">
        <v>1373</v>
      </c>
      <c r="I47" s="17">
        <v>106.0</v>
      </c>
      <c r="J47" s="17" t="s">
        <v>1374</v>
      </c>
      <c r="K47" s="17" t="s">
        <v>1376</v>
      </c>
      <c r="L47" s="17" t="s">
        <v>675</v>
      </c>
    </row>
    <row r="48" ht="150.0" customHeight="1">
      <c r="A48" s="12" t="s">
        <v>473</v>
      </c>
      <c r="B48" s="12" t="s">
        <v>728</v>
      </c>
      <c r="C48" s="12" t="s">
        <v>1043</v>
      </c>
      <c r="D48" s="12" t="s">
        <v>1045</v>
      </c>
      <c r="E48" s="12" t="s">
        <v>1198</v>
      </c>
      <c r="F48" s="12" t="s">
        <v>1382</v>
      </c>
      <c r="G48" s="12">
        <v>60.0</v>
      </c>
      <c r="H48" s="12" t="s">
        <v>1384</v>
      </c>
      <c r="I48" s="12">
        <v>106.0</v>
      </c>
      <c r="J48" s="12" t="s">
        <v>1386</v>
      </c>
      <c r="K48" s="12" t="s">
        <v>1388</v>
      </c>
      <c r="L48" s="12" t="s">
        <v>675</v>
      </c>
    </row>
    <row r="49" ht="150.0" customHeight="1">
      <c r="A49" s="17" t="s">
        <v>473</v>
      </c>
      <c r="B49" s="17" t="s">
        <v>736</v>
      </c>
      <c r="C49" s="17" t="s">
        <v>1043</v>
      </c>
      <c r="D49" s="17" t="s">
        <v>1045</v>
      </c>
      <c r="E49" s="17" t="s">
        <v>1220</v>
      </c>
      <c r="F49" s="17" t="s">
        <v>1394</v>
      </c>
      <c r="G49" s="17">
        <v>65.0</v>
      </c>
      <c r="H49" s="17" t="s">
        <v>1396</v>
      </c>
      <c r="I49" s="17">
        <v>114.0</v>
      </c>
      <c r="J49" s="17" t="s">
        <v>1399</v>
      </c>
      <c r="K49" s="17" t="s">
        <v>1400</v>
      </c>
      <c r="L49" s="17" t="s">
        <v>675</v>
      </c>
    </row>
    <row r="50" ht="150.0" customHeight="1">
      <c r="A50" s="12" t="s">
        <v>473</v>
      </c>
      <c r="B50" s="12" t="s">
        <v>202</v>
      </c>
      <c r="C50" s="12" t="s">
        <v>1043</v>
      </c>
      <c r="D50" s="12" t="s">
        <v>1045</v>
      </c>
      <c r="E50" s="12" t="s">
        <v>1237</v>
      </c>
      <c r="F50" s="12" t="s">
        <v>1403</v>
      </c>
      <c r="G50" s="12">
        <v>61.0</v>
      </c>
      <c r="H50" s="12" t="s">
        <v>1404</v>
      </c>
      <c r="I50" s="12">
        <v>130.0</v>
      </c>
      <c r="J50" s="12" t="s">
        <v>1407</v>
      </c>
      <c r="K50" s="12" t="s">
        <v>1408</v>
      </c>
      <c r="L50" s="12" t="s">
        <v>675</v>
      </c>
    </row>
    <row r="51" ht="150.0" customHeight="1">
      <c r="A51" s="17" t="s">
        <v>473</v>
      </c>
      <c r="B51" s="17" t="s">
        <v>751</v>
      </c>
      <c r="C51" s="17" t="s">
        <v>1043</v>
      </c>
      <c r="D51" s="17" t="s">
        <v>1045</v>
      </c>
      <c r="E51" s="17" t="s">
        <v>1255</v>
      </c>
      <c r="F51" s="17" t="s">
        <v>1412</v>
      </c>
      <c r="G51" s="17">
        <v>67.0</v>
      </c>
      <c r="H51" s="17" t="s">
        <v>1414</v>
      </c>
      <c r="I51" s="17">
        <v>134.0</v>
      </c>
      <c r="J51" s="17" t="s">
        <v>1417</v>
      </c>
      <c r="K51" s="17" t="s">
        <v>1418</v>
      </c>
      <c r="L51" s="17" t="s">
        <v>675</v>
      </c>
    </row>
    <row r="52" ht="150.0" customHeight="1">
      <c r="A52" s="12" t="s">
        <v>473</v>
      </c>
      <c r="B52" s="12" t="s">
        <v>724</v>
      </c>
      <c r="C52" s="12" t="s">
        <v>1043</v>
      </c>
      <c r="D52" s="12" t="s">
        <v>1045</v>
      </c>
      <c r="E52" s="12" t="s">
        <v>1275</v>
      </c>
      <c r="F52" s="12" t="s">
        <v>1426</v>
      </c>
      <c r="G52" s="12">
        <v>61.0</v>
      </c>
      <c r="H52" s="12" t="s">
        <v>1429</v>
      </c>
      <c r="I52" s="12">
        <v>130.0</v>
      </c>
      <c r="J52" s="12" t="s">
        <v>1430</v>
      </c>
      <c r="K52" s="12" t="s">
        <v>1432</v>
      </c>
      <c r="L52" s="12" t="s">
        <v>675</v>
      </c>
    </row>
    <row r="53" ht="150.0" customHeight="1">
      <c r="A53" s="17" t="s">
        <v>473</v>
      </c>
      <c r="B53" s="17" t="s">
        <v>680</v>
      </c>
      <c r="C53" s="17" t="s">
        <v>1043</v>
      </c>
      <c r="D53" s="17" t="s">
        <v>1045</v>
      </c>
      <c r="E53" s="17" t="s">
        <v>1293</v>
      </c>
      <c r="F53" s="17" t="s">
        <v>1440</v>
      </c>
      <c r="G53" s="17">
        <v>74.0</v>
      </c>
      <c r="H53" s="17" t="s">
        <v>1444</v>
      </c>
      <c r="I53" s="17">
        <v>134.0</v>
      </c>
      <c r="J53" s="17" t="s">
        <v>1446</v>
      </c>
      <c r="K53" s="17" t="s">
        <v>1448</v>
      </c>
      <c r="L53" s="17" t="s">
        <v>675</v>
      </c>
    </row>
    <row r="54" ht="150.0" customHeight="1">
      <c r="A54" s="61" t="s">
        <v>463</v>
      </c>
      <c r="B54" s="61" t="s">
        <v>1312</v>
      </c>
      <c r="C54" s="61" t="s">
        <v>1122</v>
      </c>
      <c r="D54" s="61" t="s">
        <v>1123</v>
      </c>
      <c r="E54" s="61" t="s">
        <v>621</v>
      </c>
      <c r="F54" s="61" t="s">
        <v>1457</v>
      </c>
      <c r="G54" s="61">
        <v>59.0</v>
      </c>
      <c r="H54" s="61" t="s">
        <v>1459</v>
      </c>
      <c r="I54" s="61">
        <v>133.0</v>
      </c>
      <c r="J54" s="61" t="s">
        <v>1460</v>
      </c>
      <c r="K54" s="61" t="s">
        <v>1462</v>
      </c>
      <c r="L54" s="61" t="s">
        <v>1129</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conditionalFormatting sqref="A5:A54">
    <cfRule type="containsText" dxfId="5" priority="1" operator="containsText" text="P0">
      <formula>NOT(ISERROR(SEARCH(("P0"),(A5))))</formula>
    </cfRule>
  </conditionalFormatting>
  <conditionalFormatting sqref="A5:A54">
    <cfRule type="containsText" dxfId="6" priority="2" operator="containsText" text="P1">
      <formula>NOT(ISERROR(SEARCH(("P1"),(A5))))</formula>
    </cfRule>
  </conditionalFormatting>
  <conditionalFormatting sqref="A5:A54">
    <cfRule type="containsText" dxfId="7" priority="3" operator="containsText" text="P2">
      <formula>NOT(ISERROR(SEARCH(("P2"),(A5))))</formula>
    </cfRule>
  </conditionalFormatting>
  <conditionalFormatting sqref="G5:G54">
    <cfRule type="cellIs" dxfId="8" priority="4" operator="greaterThan">
      <formula>60</formula>
    </cfRule>
  </conditionalFormatting>
  <conditionalFormatting sqref="I5:I54">
    <cfRule type="cellIs" dxfId="8" priority="5" operator="greaterThan">
      <formula>160</formula>
    </cfRule>
  </conditionalFormatting>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48.0"/>
    <col customWidth="1" min="3" max="3" width="100.0"/>
    <col customWidth="1" min="4" max="4" width="60.0"/>
    <col customWidth="1" min="5" max="5" width="16.0"/>
    <col customWidth="1" min="6" max="6" width="50.0"/>
    <col customWidth="1" min="7" max="26" width="8.63"/>
  </cols>
  <sheetData>
    <row r="1" ht="33.75" customHeight="1">
      <c r="A1" s="53" t="s">
        <v>1375</v>
      </c>
    </row>
    <row r="2" ht="31.5" customHeight="1">
      <c r="A2" s="54" t="s">
        <v>1377</v>
      </c>
    </row>
    <row r="4" ht="30.0" customHeight="1">
      <c r="A4" s="55" t="s">
        <v>6</v>
      </c>
      <c r="B4" s="56" t="s">
        <v>1378</v>
      </c>
      <c r="C4" s="56" t="s">
        <v>1379</v>
      </c>
      <c r="D4" s="56" t="s">
        <v>1380</v>
      </c>
      <c r="E4" s="56" t="s">
        <v>1381</v>
      </c>
      <c r="F4" s="57" t="s">
        <v>1383</v>
      </c>
    </row>
    <row r="5" ht="72.0" customHeight="1">
      <c r="A5" s="7" t="s">
        <v>669</v>
      </c>
      <c r="B5" s="7" t="s">
        <v>1385</v>
      </c>
      <c r="C5" s="7" t="s">
        <v>1387</v>
      </c>
      <c r="D5" s="7" t="s">
        <v>62</v>
      </c>
      <c r="E5" s="7" t="s">
        <v>1389</v>
      </c>
      <c r="F5" s="7" t="s">
        <v>1390</v>
      </c>
    </row>
    <row r="6" ht="72.0" customHeight="1">
      <c r="A6" s="12" t="s">
        <v>476</v>
      </c>
      <c r="B6" s="12" t="s">
        <v>1391</v>
      </c>
      <c r="C6" s="12" t="s">
        <v>1393</v>
      </c>
      <c r="D6" s="12" t="s">
        <v>840</v>
      </c>
      <c r="E6" s="12" t="s">
        <v>1389</v>
      </c>
      <c r="F6" s="12" t="s">
        <v>1395</v>
      </c>
    </row>
    <row r="7" ht="72.0" customHeight="1">
      <c r="A7" s="17" t="s">
        <v>669</v>
      </c>
      <c r="B7" s="17" t="s">
        <v>1397</v>
      </c>
      <c r="C7" s="17" t="s">
        <v>1398</v>
      </c>
      <c r="D7" s="17" t="s">
        <v>935</v>
      </c>
      <c r="E7" s="17" t="s">
        <v>1389</v>
      </c>
      <c r="F7" s="17" t="s">
        <v>1390</v>
      </c>
    </row>
    <row r="8" ht="72.0" customHeight="1">
      <c r="A8" s="12" t="s">
        <v>476</v>
      </c>
      <c r="B8" s="12" t="s">
        <v>1401</v>
      </c>
      <c r="C8" s="12" t="s">
        <v>1402</v>
      </c>
      <c r="D8" s="12" t="s">
        <v>943</v>
      </c>
      <c r="E8" s="12" t="s">
        <v>1389</v>
      </c>
      <c r="F8" s="12" t="s">
        <v>1395</v>
      </c>
    </row>
    <row r="9" ht="72.0" customHeight="1">
      <c r="A9" s="17" t="s">
        <v>669</v>
      </c>
      <c r="B9" s="17" t="s">
        <v>1405</v>
      </c>
      <c r="C9" s="17" t="s">
        <v>1406</v>
      </c>
      <c r="D9" s="17" t="s">
        <v>950</v>
      </c>
      <c r="E9" s="17" t="s">
        <v>1389</v>
      </c>
      <c r="F9" s="17" t="s">
        <v>1390</v>
      </c>
    </row>
    <row r="10" ht="72.0" customHeight="1">
      <c r="A10" s="12" t="s">
        <v>476</v>
      </c>
      <c r="B10" s="12" t="s">
        <v>1409</v>
      </c>
      <c r="C10" s="12" t="s">
        <v>1410</v>
      </c>
      <c r="D10" s="12" t="s">
        <v>955</v>
      </c>
      <c r="E10" s="12" t="s">
        <v>1389</v>
      </c>
      <c r="F10" s="12" t="s">
        <v>1395</v>
      </c>
    </row>
    <row r="11" ht="72.0" customHeight="1">
      <c r="A11" s="17" t="s">
        <v>669</v>
      </c>
      <c r="B11" s="17" t="s">
        <v>1413</v>
      </c>
      <c r="C11" s="17" t="s">
        <v>1415</v>
      </c>
      <c r="D11" s="17" t="s">
        <v>710</v>
      </c>
      <c r="E11" s="17" t="s">
        <v>1389</v>
      </c>
      <c r="F11" s="17" t="s">
        <v>1390</v>
      </c>
    </row>
    <row r="12" ht="72.0" customHeight="1">
      <c r="A12" s="12" t="s">
        <v>476</v>
      </c>
      <c r="B12" s="12" t="s">
        <v>1421</v>
      </c>
      <c r="C12" s="12" t="s">
        <v>1422</v>
      </c>
      <c r="D12" s="12" t="s">
        <v>718</v>
      </c>
      <c r="E12" s="12" t="s">
        <v>1389</v>
      </c>
      <c r="F12" s="12" t="s">
        <v>1395</v>
      </c>
    </row>
    <row r="13" ht="72.0" customHeight="1">
      <c r="A13" s="17" t="s">
        <v>669</v>
      </c>
      <c r="B13" s="17" t="s">
        <v>1425</v>
      </c>
      <c r="C13" s="17" t="s">
        <v>1427</v>
      </c>
      <c r="D13" s="17" t="s">
        <v>50</v>
      </c>
      <c r="E13" s="17" t="s">
        <v>1389</v>
      </c>
      <c r="F13" s="17" t="s">
        <v>1390</v>
      </c>
    </row>
    <row r="14" ht="72.0" customHeight="1">
      <c r="A14" s="12" t="s">
        <v>476</v>
      </c>
      <c r="B14" s="12" t="s">
        <v>1433</v>
      </c>
      <c r="C14" s="12" t="s">
        <v>1434</v>
      </c>
      <c r="D14" s="12" t="s">
        <v>99</v>
      </c>
      <c r="E14" s="12" t="s">
        <v>1389</v>
      </c>
      <c r="F14" s="12" t="s">
        <v>1395</v>
      </c>
    </row>
    <row r="15" ht="72.0" customHeight="1">
      <c r="A15" s="17" t="s">
        <v>669</v>
      </c>
      <c r="B15" s="17" t="s">
        <v>1435</v>
      </c>
      <c r="C15" s="17" t="s">
        <v>1436</v>
      </c>
      <c r="D15" s="17" t="s">
        <v>44</v>
      </c>
      <c r="E15" s="17" t="s">
        <v>1389</v>
      </c>
      <c r="F15" s="17" t="s">
        <v>1390</v>
      </c>
    </row>
    <row r="16" ht="72.0" customHeight="1">
      <c r="A16" s="12" t="s">
        <v>476</v>
      </c>
      <c r="B16" s="12" t="s">
        <v>1441</v>
      </c>
      <c r="C16" s="12" t="s">
        <v>1442</v>
      </c>
      <c r="D16" s="12" t="s">
        <v>330</v>
      </c>
      <c r="E16" s="12" t="s">
        <v>1389</v>
      </c>
      <c r="F16" s="12" t="s">
        <v>1395</v>
      </c>
    </row>
    <row r="17" ht="72.0" customHeight="1">
      <c r="A17" s="17" t="s">
        <v>669</v>
      </c>
      <c r="B17" s="17" t="s">
        <v>1447</v>
      </c>
      <c r="C17" s="17" t="s">
        <v>1450</v>
      </c>
      <c r="D17" s="17" t="s">
        <v>36</v>
      </c>
      <c r="E17" s="17" t="s">
        <v>1389</v>
      </c>
      <c r="F17" s="17" t="s">
        <v>1390</v>
      </c>
    </row>
    <row r="18" ht="72.0" customHeight="1">
      <c r="A18" s="12" t="s">
        <v>476</v>
      </c>
      <c r="B18" s="12" t="s">
        <v>1452</v>
      </c>
      <c r="C18" s="12" t="s">
        <v>1453</v>
      </c>
      <c r="D18" s="12" t="s">
        <v>837</v>
      </c>
      <c r="E18" s="12" t="s">
        <v>1389</v>
      </c>
      <c r="F18" s="12" t="s">
        <v>1395</v>
      </c>
    </row>
    <row r="19" ht="72.0" customHeight="1">
      <c r="A19" s="17" t="s">
        <v>669</v>
      </c>
      <c r="B19" s="17" t="s">
        <v>1456</v>
      </c>
      <c r="C19" s="17" t="s">
        <v>1458</v>
      </c>
      <c r="D19" s="17" t="s">
        <v>1026</v>
      </c>
      <c r="E19" s="17" t="s">
        <v>1389</v>
      </c>
      <c r="F19" s="17" t="s">
        <v>1390</v>
      </c>
    </row>
    <row r="20" ht="72.0" customHeight="1">
      <c r="A20" s="12" t="s">
        <v>476</v>
      </c>
      <c r="B20" s="12" t="s">
        <v>1461</v>
      </c>
      <c r="C20" s="12" t="s">
        <v>1463</v>
      </c>
      <c r="D20" s="12" t="s">
        <v>248</v>
      </c>
      <c r="E20" s="12" t="s">
        <v>1389</v>
      </c>
      <c r="F20" s="12" t="s">
        <v>1395</v>
      </c>
    </row>
    <row r="21" ht="72.0" customHeight="1">
      <c r="A21" s="17" t="s">
        <v>669</v>
      </c>
      <c r="B21" s="17" t="s">
        <v>1466</v>
      </c>
      <c r="C21" s="17" t="s">
        <v>1468</v>
      </c>
      <c r="D21" s="17" t="s">
        <v>94</v>
      </c>
      <c r="E21" s="17" t="s">
        <v>1389</v>
      </c>
      <c r="F21" s="17" t="s">
        <v>1390</v>
      </c>
    </row>
    <row r="22" ht="72.0" customHeight="1">
      <c r="A22" s="12" t="s">
        <v>476</v>
      </c>
      <c r="B22" s="12" t="s">
        <v>1470</v>
      </c>
      <c r="C22" s="12" t="s">
        <v>1471</v>
      </c>
      <c r="D22" s="12" t="s">
        <v>670</v>
      </c>
      <c r="E22" s="12" t="s">
        <v>1389</v>
      </c>
      <c r="F22" s="12" t="s">
        <v>1395</v>
      </c>
    </row>
    <row r="23" ht="72.0" customHeight="1">
      <c r="A23" s="17" t="s">
        <v>669</v>
      </c>
      <c r="B23" s="17" t="s">
        <v>1473</v>
      </c>
      <c r="C23" s="17" t="s">
        <v>1474</v>
      </c>
      <c r="D23" s="17" t="s">
        <v>226</v>
      </c>
      <c r="E23" s="17" t="s">
        <v>1389</v>
      </c>
      <c r="F23" s="17" t="s">
        <v>1390</v>
      </c>
    </row>
    <row r="24" ht="72.0" customHeight="1">
      <c r="A24" s="12" t="s">
        <v>476</v>
      </c>
      <c r="B24" s="12" t="s">
        <v>1477</v>
      </c>
      <c r="C24" s="12" t="s">
        <v>1478</v>
      </c>
      <c r="D24" s="12" t="s">
        <v>65</v>
      </c>
      <c r="E24" s="12" t="s">
        <v>1389</v>
      </c>
      <c r="F24" s="12" t="s">
        <v>1395</v>
      </c>
    </row>
    <row r="25" ht="72.0" customHeight="1">
      <c r="A25" s="17" t="s">
        <v>669</v>
      </c>
      <c r="B25" s="17" t="s">
        <v>1480</v>
      </c>
      <c r="C25" s="17" t="s">
        <v>1481</v>
      </c>
      <c r="D25" s="17" t="s">
        <v>910</v>
      </c>
      <c r="E25" s="17" t="s">
        <v>1389</v>
      </c>
      <c r="F25" s="17" t="s">
        <v>1390</v>
      </c>
    </row>
    <row r="26" ht="72.0" customHeight="1">
      <c r="A26" s="12" t="s">
        <v>476</v>
      </c>
      <c r="B26" s="12" t="s">
        <v>1483</v>
      </c>
      <c r="C26" s="12" t="s">
        <v>1485</v>
      </c>
      <c r="D26" s="12" t="s">
        <v>916</v>
      </c>
      <c r="E26" s="12" t="s">
        <v>1389</v>
      </c>
      <c r="F26" s="12" t="s">
        <v>1395</v>
      </c>
    </row>
    <row r="27" ht="72.0" customHeight="1">
      <c r="A27" s="17" t="s">
        <v>669</v>
      </c>
      <c r="B27" s="17" t="s">
        <v>1488</v>
      </c>
      <c r="C27" s="17" t="s">
        <v>1490</v>
      </c>
      <c r="D27" s="17" t="s">
        <v>896</v>
      </c>
      <c r="E27" s="17" t="s">
        <v>1389</v>
      </c>
      <c r="F27" s="17" t="s">
        <v>1390</v>
      </c>
    </row>
    <row r="28" ht="72.0" customHeight="1">
      <c r="A28" s="61" t="s">
        <v>476</v>
      </c>
      <c r="B28" s="61" t="s">
        <v>1492</v>
      </c>
      <c r="C28" s="61" t="s">
        <v>1493</v>
      </c>
      <c r="D28" s="61" t="s">
        <v>904</v>
      </c>
      <c r="E28" s="61" t="s">
        <v>1389</v>
      </c>
      <c r="F28" s="61" t="s">
        <v>1395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0"/>
    <col customWidth="1" min="2" max="2" width="10.0"/>
    <col customWidth="1" min="3" max="3" width="24.0"/>
    <col customWidth="1" min="4" max="4" width="110.0"/>
    <col customWidth="1" min="5" max="5" width="62.0"/>
    <col customWidth="1" min="6" max="26" width="8.63"/>
  </cols>
  <sheetData>
    <row r="1" ht="33.75" customHeight="1">
      <c r="A1" s="53" t="s">
        <v>1416</v>
      </c>
    </row>
    <row r="2" ht="31.5" customHeight="1">
      <c r="A2" s="54" t="s">
        <v>1419</v>
      </c>
    </row>
    <row r="4" ht="30.0" customHeight="1">
      <c r="A4" s="55" t="s">
        <v>262</v>
      </c>
      <c r="B4" s="56" t="s">
        <v>6</v>
      </c>
      <c r="C4" s="56" t="s">
        <v>662</v>
      </c>
      <c r="D4" s="56" t="s">
        <v>1428</v>
      </c>
      <c r="E4" s="57" t="s">
        <v>1431</v>
      </c>
    </row>
    <row r="5" ht="180.0" customHeight="1">
      <c r="A5" s="7" t="s">
        <v>40</v>
      </c>
      <c r="B5" s="7" t="s">
        <v>669</v>
      </c>
      <c r="C5" s="7" t="s">
        <v>671</v>
      </c>
      <c r="D5" s="7" t="s">
        <v>1438</v>
      </c>
      <c r="E5" s="7" t="s">
        <v>1439</v>
      </c>
    </row>
    <row r="6" ht="180.0" customHeight="1">
      <c r="A6" s="12" t="s">
        <v>357</v>
      </c>
      <c r="B6" s="12" t="s">
        <v>476</v>
      </c>
      <c r="C6" s="12" t="s">
        <v>671</v>
      </c>
      <c r="D6" s="12" t="s">
        <v>1451</v>
      </c>
      <c r="E6" s="12" t="s">
        <v>1439</v>
      </c>
    </row>
    <row r="7" ht="180.0" customHeight="1">
      <c r="A7" s="17" t="s">
        <v>264</v>
      </c>
      <c r="B7" s="17" t="s">
        <v>669</v>
      </c>
      <c r="C7" s="17" t="s">
        <v>688</v>
      </c>
      <c r="D7" s="17" t="s">
        <v>1455</v>
      </c>
      <c r="E7" s="17" t="s">
        <v>1439</v>
      </c>
    </row>
    <row r="8" ht="180.0" customHeight="1">
      <c r="A8" s="12" t="s">
        <v>215</v>
      </c>
      <c r="B8" s="12" t="s">
        <v>476</v>
      </c>
      <c r="C8" s="12" t="s">
        <v>688</v>
      </c>
      <c r="D8" s="12" t="s">
        <v>1464</v>
      </c>
      <c r="E8" s="12" t="s">
        <v>1439</v>
      </c>
    </row>
    <row r="9" ht="180.0" customHeight="1">
      <c r="A9" s="17" t="s">
        <v>94</v>
      </c>
      <c r="B9" s="17" t="s">
        <v>669</v>
      </c>
      <c r="C9" s="17" t="s">
        <v>699</v>
      </c>
      <c r="D9" s="17" t="s">
        <v>1467</v>
      </c>
      <c r="E9" s="17" t="s">
        <v>1439</v>
      </c>
    </row>
    <row r="10" ht="180.0" customHeight="1">
      <c r="A10" s="12" t="s">
        <v>670</v>
      </c>
      <c r="B10" s="12" t="s">
        <v>476</v>
      </c>
      <c r="C10" s="12" t="s">
        <v>699</v>
      </c>
      <c r="D10" s="12" t="s">
        <v>1469</v>
      </c>
      <c r="E10" s="12" t="s">
        <v>1439</v>
      </c>
    </row>
    <row r="11" ht="180.0" customHeight="1">
      <c r="A11" s="17" t="s">
        <v>710</v>
      </c>
      <c r="B11" s="17" t="s">
        <v>669</v>
      </c>
      <c r="C11" s="17" t="s">
        <v>711</v>
      </c>
      <c r="D11" s="17" t="s">
        <v>1472</v>
      </c>
      <c r="E11" s="17" t="s">
        <v>1439</v>
      </c>
    </row>
    <row r="12" ht="180.0" customHeight="1">
      <c r="A12" s="12" t="s">
        <v>718</v>
      </c>
      <c r="B12" s="12" t="s">
        <v>476</v>
      </c>
      <c r="C12" s="12" t="s">
        <v>711</v>
      </c>
      <c r="D12" s="12" t="s">
        <v>1475</v>
      </c>
      <c r="E12" s="12" t="s">
        <v>1439</v>
      </c>
    </row>
    <row r="13" ht="180.0" customHeight="1">
      <c r="A13" s="17" t="s">
        <v>44</v>
      </c>
      <c r="B13" s="17" t="s">
        <v>669</v>
      </c>
      <c r="C13" s="17" t="s">
        <v>721</v>
      </c>
      <c r="D13" s="17" t="s">
        <v>1476</v>
      </c>
      <c r="E13" s="17" t="s">
        <v>1439</v>
      </c>
    </row>
    <row r="14" ht="180.0" customHeight="1">
      <c r="A14" s="12" t="s">
        <v>330</v>
      </c>
      <c r="B14" s="12" t="s">
        <v>476</v>
      </c>
      <c r="C14" s="12" t="s">
        <v>721</v>
      </c>
      <c r="D14" s="12" t="s">
        <v>1479</v>
      </c>
      <c r="E14" s="12" t="s">
        <v>1439</v>
      </c>
    </row>
    <row r="15" ht="180.0" customHeight="1">
      <c r="A15" s="17" t="s">
        <v>226</v>
      </c>
      <c r="B15" s="17" t="s">
        <v>669</v>
      </c>
      <c r="C15" s="17" t="s">
        <v>730</v>
      </c>
      <c r="D15" s="17" t="s">
        <v>1484</v>
      </c>
      <c r="E15" s="17" t="s">
        <v>1486</v>
      </c>
    </row>
    <row r="16" ht="180.0" customHeight="1">
      <c r="A16" s="12" t="s">
        <v>65</v>
      </c>
      <c r="B16" s="12" t="s">
        <v>476</v>
      </c>
      <c r="C16" s="12" t="s">
        <v>730</v>
      </c>
      <c r="D16" s="12" t="s">
        <v>1489</v>
      </c>
      <c r="E16" s="12" t="s">
        <v>1486</v>
      </c>
    </row>
    <row r="17" ht="180.0" customHeight="1">
      <c r="A17" s="17" t="s">
        <v>361</v>
      </c>
      <c r="B17" s="17" t="s">
        <v>669</v>
      </c>
      <c r="C17" s="17" t="s">
        <v>743</v>
      </c>
      <c r="D17" s="17" t="s">
        <v>1491</v>
      </c>
      <c r="E17" s="17" t="s">
        <v>1439</v>
      </c>
    </row>
    <row r="18" ht="180.0" customHeight="1">
      <c r="A18" s="12" t="s">
        <v>185</v>
      </c>
      <c r="B18" s="12" t="s">
        <v>476</v>
      </c>
      <c r="C18" s="12" t="s">
        <v>743</v>
      </c>
      <c r="D18" s="12" t="s">
        <v>1494</v>
      </c>
      <c r="E18" s="12" t="s">
        <v>1439</v>
      </c>
    </row>
    <row r="19" ht="180.0" customHeight="1">
      <c r="A19" s="17" t="s">
        <v>229</v>
      </c>
      <c r="B19" s="17" t="s">
        <v>669</v>
      </c>
      <c r="C19" s="17" t="s">
        <v>754</v>
      </c>
      <c r="D19" s="17" t="s">
        <v>1495</v>
      </c>
      <c r="E19" s="17" t="s">
        <v>1439</v>
      </c>
    </row>
    <row r="20" ht="180.0" customHeight="1">
      <c r="A20" s="12" t="s">
        <v>244</v>
      </c>
      <c r="B20" s="12" t="s">
        <v>476</v>
      </c>
      <c r="C20" s="12" t="s">
        <v>754</v>
      </c>
      <c r="D20" s="12" t="s">
        <v>1496</v>
      </c>
      <c r="E20" s="12" t="s">
        <v>1439</v>
      </c>
    </row>
    <row r="21" ht="180.0" customHeight="1">
      <c r="A21" s="17" t="s">
        <v>765</v>
      </c>
      <c r="B21" s="17" t="s">
        <v>669</v>
      </c>
      <c r="C21" s="17" t="s">
        <v>766</v>
      </c>
      <c r="D21" s="17" t="s">
        <v>1498</v>
      </c>
      <c r="E21" s="17" t="s">
        <v>1439</v>
      </c>
    </row>
    <row r="22" ht="180.0" customHeight="1">
      <c r="A22" s="12" t="s">
        <v>771</v>
      </c>
      <c r="B22" s="12" t="s">
        <v>476</v>
      </c>
      <c r="C22" s="12" t="s">
        <v>766</v>
      </c>
      <c r="D22" s="12" t="s">
        <v>1499</v>
      </c>
      <c r="E22" s="12" t="s">
        <v>1439</v>
      </c>
    </row>
    <row r="23" ht="180.0" customHeight="1">
      <c r="A23" s="17" t="s">
        <v>773</v>
      </c>
      <c r="B23" s="17" t="s">
        <v>669</v>
      </c>
      <c r="C23" s="17" t="s">
        <v>774</v>
      </c>
      <c r="D23" s="17" t="s">
        <v>1500</v>
      </c>
      <c r="E23" s="17" t="s">
        <v>1439</v>
      </c>
    </row>
    <row r="24" ht="180.0" customHeight="1">
      <c r="A24" s="12" t="s">
        <v>781</v>
      </c>
      <c r="B24" s="12" t="s">
        <v>476</v>
      </c>
      <c r="C24" s="12" t="s">
        <v>774</v>
      </c>
      <c r="D24" s="12" t="s">
        <v>1501</v>
      </c>
      <c r="E24" s="12" t="s">
        <v>1439</v>
      </c>
    </row>
    <row r="25" ht="180.0" customHeight="1">
      <c r="A25" s="17" t="s">
        <v>28</v>
      </c>
      <c r="B25" s="17" t="s">
        <v>669</v>
      </c>
      <c r="C25" s="17" t="s">
        <v>784</v>
      </c>
      <c r="D25" s="17" t="s">
        <v>1502</v>
      </c>
      <c r="E25" s="17" t="s">
        <v>1439</v>
      </c>
    </row>
    <row r="26" ht="180.0" customHeight="1">
      <c r="A26" s="12" t="s">
        <v>157</v>
      </c>
      <c r="B26" s="12" t="s">
        <v>476</v>
      </c>
      <c r="C26" s="12" t="s">
        <v>784</v>
      </c>
      <c r="D26" s="12" t="s">
        <v>1504</v>
      </c>
      <c r="E26" s="12" t="s">
        <v>1439</v>
      </c>
    </row>
    <row r="27" ht="180.0" customHeight="1">
      <c r="A27" s="17" t="s">
        <v>300</v>
      </c>
      <c r="B27" s="17" t="s">
        <v>669</v>
      </c>
      <c r="C27" s="17" t="s">
        <v>793</v>
      </c>
      <c r="D27" s="17" t="s">
        <v>1506</v>
      </c>
      <c r="E27" s="17" t="s">
        <v>1439</v>
      </c>
    </row>
    <row r="28" ht="180.0" customHeight="1">
      <c r="A28" s="12" t="s">
        <v>799</v>
      </c>
      <c r="B28" s="12" t="s">
        <v>476</v>
      </c>
      <c r="C28" s="12" t="s">
        <v>793</v>
      </c>
      <c r="D28" s="12" t="s">
        <v>1507</v>
      </c>
      <c r="E28" s="12" t="s">
        <v>1439</v>
      </c>
    </row>
    <row r="29" ht="180.0" customHeight="1">
      <c r="A29" s="17" t="s">
        <v>803</v>
      </c>
      <c r="B29" s="17" t="s">
        <v>669</v>
      </c>
      <c r="C29" s="17" t="s">
        <v>804</v>
      </c>
      <c r="D29" s="17" t="s">
        <v>1508</v>
      </c>
      <c r="E29" s="17" t="s">
        <v>1439</v>
      </c>
    </row>
    <row r="30" ht="180.0" customHeight="1">
      <c r="A30" s="12" t="s">
        <v>165</v>
      </c>
      <c r="B30" s="12" t="s">
        <v>476</v>
      </c>
      <c r="C30" s="12" t="s">
        <v>804</v>
      </c>
      <c r="D30" s="12" t="s">
        <v>1509</v>
      </c>
      <c r="E30" s="12" t="s">
        <v>1439</v>
      </c>
    </row>
    <row r="31" ht="180.0" customHeight="1">
      <c r="A31" s="17" t="s">
        <v>26</v>
      </c>
      <c r="B31" s="17" t="s">
        <v>669</v>
      </c>
      <c r="C31" s="17" t="s">
        <v>812</v>
      </c>
      <c r="D31" s="17" t="s">
        <v>1511</v>
      </c>
      <c r="E31" s="17" t="s">
        <v>1439</v>
      </c>
    </row>
    <row r="32" ht="180.0" customHeight="1">
      <c r="A32" s="12" t="s">
        <v>140</v>
      </c>
      <c r="B32" s="12" t="s">
        <v>476</v>
      </c>
      <c r="C32" s="12" t="s">
        <v>812</v>
      </c>
      <c r="D32" s="12" t="s">
        <v>1513</v>
      </c>
      <c r="E32" s="12" t="s">
        <v>1439</v>
      </c>
    </row>
    <row r="33" ht="180.0" customHeight="1">
      <c r="A33" s="17" t="s">
        <v>50</v>
      </c>
      <c r="B33" s="17" t="s">
        <v>669</v>
      </c>
      <c r="C33" s="17" t="s">
        <v>812</v>
      </c>
      <c r="D33" s="17" t="s">
        <v>1514</v>
      </c>
      <c r="E33" s="17" t="s">
        <v>1439</v>
      </c>
    </row>
    <row r="34" ht="180.0" customHeight="1">
      <c r="A34" s="12" t="s">
        <v>99</v>
      </c>
      <c r="B34" s="12" t="s">
        <v>476</v>
      </c>
      <c r="C34" s="12" t="s">
        <v>812</v>
      </c>
      <c r="D34" s="12" t="s">
        <v>1515</v>
      </c>
      <c r="E34" s="12" t="s">
        <v>1439</v>
      </c>
    </row>
    <row r="35" ht="180.0" customHeight="1">
      <c r="A35" s="17" t="s">
        <v>51</v>
      </c>
      <c r="B35" s="17" t="s">
        <v>669</v>
      </c>
      <c r="C35" s="17" t="s">
        <v>812</v>
      </c>
      <c r="D35" s="17" t="s">
        <v>1516</v>
      </c>
      <c r="E35" s="17" t="s">
        <v>1439</v>
      </c>
    </row>
    <row r="36" ht="180.0" customHeight="1">
      <c r="A36" s="12" t="s">
        <v>90</v>
      </c>
      <c r="B36" s="12" t="s">
        <v>476</v>
      </c>
      <c r="C36" s="12" t="s">
        <v>812</v>
      </c>
      <c r="D36" s="12" t="s">
        <v>1518</v>
      </c>
      <c r="E36" s="12" t="s">
        <v>1439</v>
      </c>
    </row>
    <row r="37" ht="180.0" customHeight="1">
      <c r="A37" s="17" t="s">
        <v>86</v>
      </c>
      <c r="B37" s="17" t="s">
        <v>669</v>
      </c>
      <c r="C37" s="17" t="s">
        <v>812</v>
      </c>
      <c r="D37" s="17" t="s">
        <v>1520</v>
      </c>
      <c r="E37" s="17" t="s">
        <v>1439</v>
      </c>
    </row>
    <row r="38" ht="180.0" customHeight="1">
      <c r="A38" s="12" t="s">
        <v>232</v>
      </c>
      <c r="B38" s="12" t="s">
        <v>476</v>
      </c>
      <c r="C38" s="12" t="s">
        <v>812</v>
      </c>
      <c r="D38" s="12" t="s">
        <v>1521</v>
      </c>
      <c r="E38" s="12" t="s">
        <v>1439</v>
      </c>
    </row>
    <row r="39" ht="180.0" customHeight="1">
      <c r="A39" s="17" t="s">
        <v>36</v>
      </c>
      <c r="B39" s="17" t="s">
        <v>669</v>
      </c>
      <c r="C39" s="17" t="s">
        <v>812</v>
      </c>
      <c r="D39" s="17" t="s">
        <v>1523</v>
      </c>
      <c r="E39" s="17" t="s">
        <v>1439</v>
      </c>
    </row>
    <row r="40" ht="180.0" customHeight="1">
      <c r="A40" s="12" t="s">
        <v>837</v>
      </c>
      <c r="B40" s="12" t="s">
        <v>476</v>
      </c>
      <c r="C40" s="12" t="s">
        <v>812</v>
      </c>
      <c r="D40" s="12" t="s">
        <v>1524</v>
      </c>
      <c r="E40" s="12" t="s">
        <v>1439</v>
      </c>
    </row>
    <row r="41" ht="180.0" customHeight="1">
      <c r="A41" s="17" t="s">
        <v>62</v>
      </c>
      <c r="B41" s="17" t="s">
        <v>669</v>
      </c>
      <c r="C41" s="17" t="s">
        <v>812</v>
      </c>
      <c r="D41" s="17" t="s">
        <v>1525</v>
      </c>
      <c r="E41" s="17" t="s">
        <v>1439</v>
      </c>
    </row>
    <row r="42" ht="180.0" customHeight="1">
      <c r="A42" s="12" t="s">
        <v>840</v>
      </c>
      <c r="B42" s="12" t="s">
        <v>476</v>
      </c>
      <c r="C42" s="12" t="s">
        <v>812</v>
      </c>
      <c r="D42" s="12" t="s">
        <v>1530</v>
      </c>
      <c r="E42" s="12" t="s">
        <v>1439</v>
      </c>
    </row>
    <row r="43" ht="180.0" customHeight="1">
      <c r="A43" s="17" t="s">
        <v>82</v>
      </c>
      <c r="B43" s="17" t="s">
        <v>669</v>
      </c>
      <c r="C43" s="17" t="s">
        <v>812</v>
      </c>
      <c r="D43" s="17" t="s">
        <v>1533</v>
      </c>
      <c r="E43" s="17" t="s">
        <v>1439</v>
      </c>
    </row>
    <row r="44" ht="180.0" customHeight="1">
      <c r="A44" s="12" t="s">
        <v>848</v>
      </c>
      <c r="B44" s="12" t="s">
        <v>476</v>
      </c>
      <c r="C44" s="12" t="s">
        <v>812</v>
      </c>
      <c r="D44" s="12" t="s">
        <v>1538</v>
      </c>
      <c r="E44" s="12" t="s">
        <v>1439</v>
      </c>
    </row>
    <row r="45" ht="180.0" customHeight="1">
      <c r="A45" s="17" t="s">
        <v>239</v>
      </c>
      <c r="B45" s="17" t="s">
        <v>669</v>
      </c>
      <c r="C45" s="17" t="s">
        <v>812</v>
      </c>
      <c r="D45" s="17" t="s">
        <v>1545</v>
      </c>
      <c r="E45" s="17" t="s">
        <v>1439</v>
      </c>
    </row>
    <row r="46" ht="180.0" customHeight="1">
      <c r="A46" s="12" t="s">
        <v>872</v>
      </c>
      <c r="B46" s="12" t="s">
        <v>476</v>
      </c>
      <c r="C46" s="12" t="s">
        <v>812</v>
      </c>
      <c r="D46" s="12" t="s">
        <v>1552</v>
      </c>
      <c r="E46" s="12" t="s">
        <v>1439</v>
      </c>
    </row>
    <row r="47" ht="180.0" customHeight="1">
      <c r="A47" s="17" t="s">
        <v>169</v>
      </c>
      <c r="B47" s="17" t="s">
        <v>669</v>
      </c>
      <c r="C47" s="17" t="s">
        <v>812</v>
      </c>
      <c r="D47" s="17" t="s">
        <v>1560</v>
      </c>
      <c r="E47" s="17" t="s">
        <v>1439</v>
      </c>
    </row>
    <row r="48" ht="180.0" customHeight="1">
      <c r="A48" s="12" t="s">
        <v>887</v>
      </c>
      <c r="B48" s="12" t="s">
        <v>476</v>
      </c>
      <c r="C48" s="12" t="s">
        <v>812</v>
      </c>
      <c r="D48" s="12" t="s">
        <v>1565</v>
      </c>
      <c r="E48" s="12" t="s">
        <v>1439</v>
      </c>
    </row>
    <row r="49" ht="180.0" customHeight="1">
      <c r="A49" s="17" t="s">
        <v>896</v>
      </c>
      <c r="B49" s="17" t="s">
        <v>669</v>
      </c>
      <c r="C49" s="17" t="s">
        <v>812</v>
      </c>
      <c r="D49" s="17" t="s">
        <v>1573</v>
      </c>
      <c r="E49" s="17" t="s">
        <v>1439</v>
      </c>
    </row>
    <row r="50" ht="180.0" customHeight="1">
      <c r="A50" s="12" t="s">
        <v>904</v>
      </c>
      <c r="B50" s="12" t="s">
        <v>476</v>
      </c>
      <c r="C50" s="12" t="s">
        <v>812</v>
      </c>
      <c r="D50" s="12" t="s">
        <v>1583</v>
      </c>
      <c r="E50" s="12" t="s">
        <v>1439</v>
      </c>
    </row>
    <row r="51" ht="180.0" customHeight="1">
      <c r="A51" s="17" t="s">
        <v>910</v>
      </c>
      <c r="B51" s="17" t="s">
        <v>669</v>
      </c>
      <c r="C51" s="17" t="s">
        <v>812</v>
      </c>
      <c r="D51" s="17" t="s">
        <v>1590</v>
      </c>
      <c r="E51" s="17" t="s">
        <v>1439</v>
      </c>
    </row>
    <row r="52" ht="180.0" customHeight="1">
      <c r="A52" s="12" t="s">
        <v>916</v>
      </c>
      <c r="B52" s="12" t="s">
        <v>476</v>
      </c>
      <c r="C52" s="12" t="s">
        <v>812</v>
      </c>
      <c r="D52" s="12" t="s">
        <v>1593</v>
      </c>
      <c r="E52" s="12" t="s">
        <v>1439</v>
      </c>
    </row>
    <row r="53" ht="180.0" customHeight="1">
      <c r="A53" s="17" t="s">
        <v>38</v>
      </c>
      <c r="B53" s="17" t="s">
        <v>669</v>
      </c>
      <c r="C53" s="17" t="s">
        <v>812</v>
      </c>
      <c r="D53" s="17" t="s">
        <v>1596</v>
      </c>
      <c r="E53" s="17" t="s">
        <v>1439</v>
      </c>
    </row>
    <row r="54" ht="180.0" customHeight="1">
      <c r="A54" s="12" t="s">
        <v>927</v>
      </c>
      <c r="B54" s="12" t="s">
        <v>476</v>
      </c>
      <c r="C54" s="12" t="s">
        <v>812</v>
      </c>
      <c r="D54" s="12" t="s">
        <v>1598</v>
      </c>
      <c r="E54" s="12" t="s">
        <v>1439</v>
      </c>
    </row>
    <row r="55" ht="180.0" customHeight="1">
      <c r="A55" s="17" t="s">
        <v>935</v>
      </c>
      <c r="B55" s="17" t="s">
        <v>669</v>
      </c>
      <c r="C55" s="17" t="s">
        <v>937</v>
      </c>
      <c r="D55" s="17" t="s">
        <v>1599</v>
      </c>
      <c r="E55" s="17" t="s">
        <v>1439</v>
      </c>
    </row>
    <row r="56" ht="180.0" customHeight="1">
      <c r="A56" s="12" t="s">
        <v>943</v>
      </c>
      <c r="B56" s="12" t="s">
        <v>476</v>
      </c>
      <c r="C56" s="12" t="s">
        <v>937</v>
      </c>
      <c r="D56" s="12" t="s">
        <v>1600</v>
      </c>
      <c r="E56" s="12" t="s">
        <v>1439</v>
      </c>
    </row>
    <row r="57" ht="180.0" customHeight="1">
      <c r="A57" s="17" t="s">
        <v>950</v>
      </c>
      <c r="B57" s="17" t="s">
        <v>669</v>
      </c>
      <c r="C57" s="17" t="s">
        <v>937</v>
      </c>
      <c r="D57" s="17" t="s">
        <v>1602</v>
      </c>
      <c r="E57" s="17" t="s">
        <v>1439</v>
      </c>
    </row>
    <row r="58" ht="180.0" customHeight="1">
      <c r="A58" s="12" t="s">
        <v>955</v>
      </c>
      <c r="B58" s="12" t="s">
        <v>476</v>
      </c>
      <c r="C58" s="12" t="s">
        <v>937</v>
      </c>
      <c r="D58" s="12" t="s">
        <v>1603</v>
      </c>
      <c r="E58" s="12" t="s">
        <v>1439</v>
      </c>
    </row>
    <row r="59" ht="180.0" customHeight="1">
      <c r="A59" s="17" t="s">
        <v>287</v>
      </c>
      <c r="B59" s="17" t="s">
        <v>669</v>
      </c>
      <c r="C59" s="17" t="s">
        <v>937</v>
      </c>
      <c r="D59" s="17" t="s">
        <v>1604</v>
      </c>
      <c r="E59" s="17" t="s">
        <v>1439</v>
      </c>
    </row>
    <row r="60" ht="180.0" customHeight="1">
      <c r="A60" s="12" t="s">
        <v>968</v>
      </c>
      <c r="B60" s="12" t="s">
        <v>476</v>
      </c>
      <c r="C60" s="12" t="s">
        <v>937</v>
      </c>
      <c r="D60" s="12" t="s">
        <v>1606</v>
      </c>
      <c r="E60" s="12" t="s">
        <v>1439</v>
      </c>
    </row>
    <row r="61" ht="180.0" customHeight="1">
      <c r="A61" s="17" t="s">
        <v>973</v>
      </c>
      <c r="B61" s="17" t="s">
        <v>669</v>
      </c>
      <c r="C61" s="17" t="s">
        <v>937</v>
      </c>
      <c r="D61" s="17" t="s">
        <v>1607</v>
      </c>
      <c r="E61" s="17" t="s">
        <v>1439</v>
      </c>
    </row>
    <row r="62" ht="180.0" customHeight="1">
      <c r="A62" s="12" t="s">
        <v>195</v>
      </c>
      <c r="B62" s="12" t="s">
        <v>476</v>
      </c>
      <c r="C62" s="12" t="s">
        <v>937</v>
      </c>
      <c r="D62" s="12" t="s">
        <v>1608</v>
      </c>
      <c r="E62" s="12" t="s">
        <v>1439</v>
      </c>
    </row>
    <row r="63" ht="180.0" customHeight="1">
      <c r="A63" s="17" t="s">
        <v>71</v>
      </c>
      <c r="B63" s="17" t="s">
        <v>669</v>
      </c>
      <c r="C63" s="17" t="s">
        <v>937</v>
      </c>
      <c r="D63" s="17" t="s">
        <v>1609</v>
      </c>
      <c r="E63" s="17" t="s">
        <v>1439</v>
      </c>
    </row>
    <row r="64" ht="180.0" customHeight="1">
      <c r="A64" s="12" t="s">
        <v>995</v>
      </c>
      <c r="B64" s="12" t="s">
        <v>476</v>
      </c>
      <c r="C64" s="12" t="s">
        <v>937</v>
      </c>
      <c r="D64" s="12" t="s">
        <v>1611</v>
      </c>
      <c r="E64" s="12" t="s">
        <v>1439</v>
      </c>
    </row>
    <row r="65" ht="180.0" customHeight="1">
      <c r="A65" s="17" t="s">
        <v>1000</v>
      </c>
      <c r="B65" s="17" t="s">
        <v>669</v>
      </c>
      <c r="C65" s="17" t="s">
        <v>937</v>
      </c>
      <c r="D65" s="17" t="s">
        <v>1613</v>
      </c>
      <c r="E65" s="17" t="s">
        <v>1439</v>
      </c>
    </row>
    <row r="66" ht="180.0" customHeight="1">
      <c r="A66" s="12" t="s">
        <v>1021</v>
      </c>
      <c r="B66" s="12" t="s">
        <v>476</v>
      </c>
      <c r="C66" s="12" t="s">
        <v>937</v>
      </c>
      <c r="D66" s="12" t="s">
        <v>1616</v>
      </c>
      <c r="E66" s="12" t="s">
        <v>1439</v>
      </c>
    </row>
    <row r="67" ht="180.0" customHeight="1">
      <c r="A67" s="17" t="s">
        <v>220</v>
      </c>
      <c r="B67" s="17" t="s">
        <v>669</v>
      </c>
      <c r="C67" s="17" t="s">
        <v>937</v>
      </c>
      <c r="D67" s="17" t="s">
        <v>1625</v>
      </c>
      <c r="E67" s="17" t="s">
        <v>1439</v>
      </c>
    </row>
    <row r="68" ht="180.0" customHeight="1">
      <c r="A68" s="12" t="s">
        <v>1056</v>
      </c>
      <c r="B68" s="12" t="s">
        <v>476</v>
      </c>
      <c r="C68" s="12" t="s">
        <v>937</v>
      </c>
      <c r="D68" s="12" t="s">
        <v>1632</v>
      </c>
      <c r="E68" s="12" t="s">
        <v>1439</v>
      </c>
    </row>
    <row r="69" ht="180.0" customHeight="1">
      <c r="A69" s="17" t="s">
        <v>1011</v>
      </c>
      <c r="B69" s="17" t="s">
        <v>669</v>
      </c>
      <c r="C69" s="17" t="s">
        <v>937</v>
      </c>
      <c r="D69" s="17" t="s">
        <v>1638</v>
      </c>
      <c r="E69" s="17" t="s">
        <v>1439</v>
      </c>
    </row>
    <row r="70" ht="180.0" customHeight="1">
      <c r="A70" s="12" t="s">
        <v>1078</v>
      </c>
      <c r="B70" s="12" t="s">
        <v>476</v>
      </c>
      <c r="C70" s="12" t="s">
        <v>937</v>
      </c>
      <c r="D70" s="12" t="s">
        <v>1645</v>
      </c>
      <c r="E70" s="12" t="s">
        <v>1439</v>
      </c>
    </row>
    <row r="71" ht="180.0" customHeight="1">
      <c r="A71" s="17" t="s">
        <v>1018</v>
      </c>
      <c r="B71" s="17" t="s">
        <v>669</v>
      </c>
      <c r="C71" s="17" t="s">
        <v>937</v>
      </c>
      <c r="D71" s="17" t="s">
        <v>1651</v>
      </c>
      <c r="E71" s="17" t="s">
        <v>1439</v>
      </c>
    </row>
    <row r="72" ht="180.0" customHeight="1">
      <c r="A72" s="12" t="s">
        <v>1099</v>
      </c>
      <c r="B72" s="12" t="s">
        <v>476</v>
      </c>
      <c r="C72" s="12" t="s">
        <v>937</v>
      </c>
      <c r="D72" s="12" t="s">
        <v>1653</v>
      </c>
      <c r="E72" s="12" t="s">
        <v>1439</v>
      </c>
    </row>
    <row r="73" ht="180.0" customHeight="1">
      <c r="A73" s="17" t="s">
        <v>1026</v>
      </c>
      <c r="B73" s="17" t="s">
        <v>669</v>
      </c>
      <c r="C73" s="17" t="s">
        <v>1027</v>
      </c>
      <c r="D73" s="17" t="s">
        <v>1654</v>
      </c>
      <c r="E73" s="17" t="s">
        <v>1439</v>
      </c>
    </row>
    <row r="74" ht="180.0" customHeight="1">
      <c r="A74" s="12" t="s">
        <v>248</v>
      </c>
      <c r="B74" s="12" t="s">
        <v>476</v>
      </c>
      <c r="C74" s="12" t="s">
        <v>1027</v>
      </c>
      <c r="D74" s="12" t="s">
        <v>1656</v>
      </c>
      <c r="E74" s="12" t="s">
        <v>1439</v>
      </c>
    </row>
    <row r="75" ht="180.0" customHeight="1">
      <c r="A75" s="17" t="s">
        <v>1033</v>
      </c>
      <c r="B75" s="17" t="s">
        <v>669</v>
      </c>
      <c r="C75" s="17" t="s">
        <v>1027</v>
      </c>
      <c r="D75" s="17" t="s">
        <v>1658</v>
      </c>
      <c r="E75" s="17" t="s">
        <v>1439</v>
      </c>
    </row>
    <row r="76" ht="180.0" customHeight="1">
      <c r="A76" s="12" t="s">
        <v>354</v>
      </c>
      <c r="B76" s="12" t="s">
        <v>476</v>
      </c>
      <c r="C76" s="12" t="s">
        <v>1027</v>
      </c>
      <c r="D76" s="12" t="s">
        <v>1659</v>
      </c>
      <c r="E76" s="12" t="s">
        <v>1439</v>
      </c>
    </row>
    <row r="77" ht="180.0" customHeight="1">
      <c r="A77" s="17" t="s">
        <v>1038</v>
      </c>
      <c r="B77" s="17" t="s">
        <v>669</v>
      </c>
      <c r="C77" s="17" t="s">
        <v>1027</v>
      </c>
      <c r="D77" s="17" t="s">
        <v>1661</v>
      </c>
      <c r="E77" s="17" t="s">
        <v>1439</v>
      </c>
    </row>
    <row r="78" ht="180.0" customHeight="1">
      <c r="A78" s="12" t="s">
        <v>783</v>
      </c>
      <c r="B78" s="12" t="s">
        <v>476</v>
      </c>
      <c r="C78" s="12" t="s">
        <v>1027</v>
      </c>
      <c r="D78" s="12" t="s">
        <v>1663</v>
      </c>
      <c r="E78" s="12" t="s">
        <v>1439</v>
      </c>
    </row>
    <row r="79" ht="180.0" customHeight="1">
      <c r="A79" s="17" t="s">
        <v>956</v>
      </c>
      <c r="B79" s="17" t="s">
        <v>669</v>
      </c>
      <c r="C79" s="17" t="s">
        <v>1043</v>
      </c>
      <c r="D79" s="17" t="s">
        <v>1665</v>
      </c>
      <c r="E79" s="17" t="s">
        <v>1667</v>
      </c>
    </row>
    <row r="80" ht="180.0" customHeight="1">
      <c r="A80" s="12" t="s">
        <v>715</v>
      </c>
      <c r="B80" s="12" t="s">
        <v>476</v>
      </c>
      <c r="C80" s="12" t="s">
        <v>1043</v>
      </c>
      <c r="D80" s="12" t="s">
        <v>1668</v>
      </c>
      <c r="E80" s="12" t="s">
        <v>1667</v>
      </c>
    </row>
    <row r="81" ht="180.0" customHeight="1">
      <c r="A81" s="17" t="s">
        <v>1012</v>
      </c>
      <c r="B81" s="17" t="s">
        <v>669</v>
      </c>
      <c r="C81" s="17" t="s">
        <v>1043</v>
      </c>
      <c r="D81" s="17" t="s">
        <v>1670</v>
      </c>
      <c r="E81" s="17" t="s">
        <v>1667</v>
      </c>
    </row>
    <row r="82" ht="180.0" customHeight="1">
      <c r="A82" s="12" t="s">
        <v>119</v>
      </c>
      <c r="B82" s="12" t="s">
        <v>476</v>
      </c>
      <c r="C82" s="12" t="s">
        <v>1043</v>
      </c>
      <c r="D82" s="12" t="s">
        <v>1671</v>
      </c>
      <c r="E82" s="12" t="s">
        <v>1667</v>
      </c>
    </row>
    <row r="83" ht="180.0" customHeight="1">
      <c r="A83" s="17" t="s">
        <v>222</v>
      </c>
      <c r="B83" s="17" t="s">
        <v>669</v>
      </c>
      <c r="C83" s="17" t="s">
        <v>1043</v>
      </c>
      <c r="D83" s="17" t="s">
        <v>1674</v>
      </c>
      <c r="E83" s="17" t="s">
        <v>1667</v>
      </c>
    </row>
    <row r="84" ht="180.0" customHeight="1">
      <c r="A84" s="12" t="s">
        <v>705</v>
      </c>
      <c r="B84" s="12" t="s">
        <v>476</v>
      </c>
      <c r="C84" s="12" t="s">
        <v>1043</v>
      </c>
      <c r="D84" s="12" t="s">
        <v>1676</v>
      </c>
      <c r="E84" s="12" t="s">
        <v>1667</v>
      </c>
    </row>
    <row r="85" ht="180.0" customHeight="1">
      <c r="A85" s="17" t="s">
        <v>931</v>
      </c>
      <c r="B85" s="17" t="s">
        <v>669</v>
      </c>
      <c r="C85" s="17" t="s">
        <v>1043</v>
      </c>
      <c r="D85" s="17" t="s">
        <v>1679</v>
      </c>
      <c r="E85" s="17" t="s">
        <v>1667</v>
      </c>
    </row>
    <row r="86" ht="180.0" customHeight="1">
      <c r="A86" s="12" t="s">
        <v>698</v>
      </c>
      <c r="B86" s="12" t="s">
        <v>476</v>
      </c>
      <c r="C86" s="12" t="s">
        <v>1043</v>
      </c>
      <c r="D86" s="12" t="s">
        <v>1680</v>
      </c>
      <c r="E86" s="12" t="s">
        <v>1667</v>
      </c>
    </row>
    <row r="87" ht="180.0" customHeight="1">
      <c r="A87" s="17" t="s">
        <v>327</v>
      </c>
      <c r="B87" s="17" t="s">
        <v>669</v>
      </c>
      <c r="C87" s="17" t="s">
        <v>1043</v>
      </c>
      <c r="D87" s="17" t="s">
        <v>1682</v>
      </c>
      <c r="E87" s="17" t="s">
        <v>1667</v>
      </c>
    </row>
    <row r="88" ht="180.0" customHeight="1">
      <c r="A88" s="12" t="s">
        <v>684</v>
      </c>
      <c r="B88" s="12" t="s">
        <v>476</v>
      </c>
      <c r="C88" s="12" t="s">
        <v>1043</v>
      </c>
      <c r="D88" s="12" t="s">
        <v>1684</v>
      </c>
      <c r="E88" s="12" t="s">
        <v>1667</v>
      </c>
    </row>
    <row r="89" ht="180.0" customHeight="1">
      <c r="A89" s="17" t="s">
        <v>966</v>
      </c>
      <c r="B89" s="17" t="s">
        <v>669</v>
      </c>
      <c r="C89" s="17" t="s">
        <v>1043</v>
      </c>
      <c r="D89" s="17" t="s">
        <v>1689</v>
      </c>
      <c r="E89" s="17" t="s">
        <v>1667</v>
      </c>
    </row>
    <row r="90" ht="180.0" customHeight="1">
      <c r="A90" s="12" t="s">
        <v>317</v>
      </c>
      <c r="B90" s="12" t="s">
        <v>476</v>
      </c>
      <c r="C90" s="12" t="s">
        <v>1043</v>
      </c>
      <c r="D90" s="12" t="s">
        <v>1696</v>
      </c>
      <c r="E90" s="12" t="s">
        <v>1667</v>
      </c>
    </row>
    <row r="91" ht="180.0" customHeight="1">
      <c r="A91" s="17" t="s">
        <v>986</v>
      </c>
      <c r="B91" s="17" t="s">
        <v>669</v>
      </c>
      <c r="C91" s="17" t="s">
        <v>1043</v>
      </c>
      <c r="D91" s="17" t="s">
        <v>1703</v>
      </c>
      <c r="E91" s="17" t="s">
        <v>1667</v>
      </c>
    </row>
    <row r="92" ht="180.0" customHeight="1">
      <c r="A92" s="12" t="s">
        <v>728</v>
      </c>
      <c r="B92" s="12" t="s">
        <v>476</v>
      </c>
      <c r="C92" s="12" t="s">
        <v>1043</v>
      </c>
      <c r="D92" s="12" t="s">
        <v>1709</v>
      </c>
      <c r="E92" s="12" t="s">
        <v>1667</v>
      </c>
    </row>
    <row r="93" ht="180.0" customHeight="1">
      <c r="A93" s="17" t="s">
        <v>48</v>
      </c>
      <c r="B93" s="17" t="s">
        <v>669</v>
      </c>
      <c r="C93" s="17" t="s">
        <v>1043</v>
      </c>
      <c r="D93" s="17" t="s">
        <v>1714</v>
      </c>
      <c r="E93" s="17" t="s">
        <v>1667</v>
      </c>
    </row>
    <row r="94" ht="180.0" customHeight="1">
      <c r="A94" s="12" t="s">
        <v>736</v>
      </c>
      <c r="B94" s="12" t="s">
        <v>476</v>
      </c>
      <c r="C94" s="12" t="s">
        <v>1043</v>
      </c>
      <c r="D94" s="12" t="s">
        <v>1721</v>
      </c>
      <c r="E94" s="12" t="s">
        <v>1667</v>
      </c>
    </row>
    <row r="95" ht="180.0" customHeight="1">
      <c r="A95" s="17" t="s">
        <v>363</v>
      </c>
      <c r="B95" s="17" t="s">
        <v>669</v>
      </c>
      <c r="C95" s="17" t="s">
        <v>1043</v>
      </c>
      <c r="D95" s="17" t="s">
        <v>1727</v>
      </c>
      <c r="E95" s="17" t="s">
        <v>1667</v>
      </c>
    </row>
    <row r="96" ht="180.0" customHeight="1">
      <c r="A96" s="12" t="s">
        <v>202</v>
      </c>
      <c r="B96" s="12" t="s">
        <v>476</v>
      </c>
      <c r="C96" s="12" t="s">
        <v>1043</v>
      </c>
      <c r="D96" s="12" t="s">
        <v>1733</v>
      </c>
      <c r="E96" s="12" t="s">
        <v>1667</v>
      </c>
    </row>
    <row r="97" ht="180.0" customHeight="1">
      <c r="A97" s="17" t="s">
        <v>371</v>
      </c>
      <c r="B97" s="17" t="s">
        <v>669</v>
      </c>
      <c r="C97" s="17" t="s">
        <v>1043</v>
      </c>
      <c r="D97" s="17" t="s">
        <v>1740</v>
      </c>
      <c r="E97" s="17" t="s">
        <v>1667</v>
      </c>
    </row>
    <row r="98" ht="180.0" customHeight="1">
      <c r="A98" s="12" t="s">
        <v>751</v>
      </c>
      <c r="B98" s="12" t="s">
        <v>476</v>
      </c>
      <c r="C98" s="12" t="s">
        <v>1043</v>
      </c>
      <c r="D98" s="12" t="s">
        <v>1746</v>
      </c>
      <c r="E98" s="12" t="s">
        <v>1667</v>
      </c>
    </row>
    <row r="99" ht="180.0" customHeight="1">
      <c r="A99" s="17" t="s">
        <v>295</v>
      </c>
      <c r="B99" s="17" t="s">
        <v>669</v>
      </c>
      <c r="C99" s="17" t="s">
        <v>1043</v>
      </c>
      <c r="D99" s="17" t="s">
        <v>1754</v>
      </c>
      <c r="E99" s="17" t="s">
        <v>1667</v>
      </c>
    </row>
    <row r="100" ht="180.0" customHeight="1">
      <c r="A100" s="12" t="s">
        <v>724</v>
      </c>
      <c r="B100" s="12" t="s">
        <v>476</v>
      </c>
      <c r="C100" s="12" t="s">
        <v>1043</v>
      </c>
      <c r="D100" s="12" t="s">
        <v>1765</v>
      </c>
      <c r="E100" s="12" t="s">
        <v>1667</v>
      </c>
    </row>
    <row r="101" ht="180.0" customHeight="1">
      <c r="A101" s="17" t="s">
        <v>903</v>
      </c>
      <c r="B101" s="17" t="s">
        <v>669</v>
      </c>
      <c r="C101" s="17" t="s">
        <v>1043</v>
      </c>
      <c r="D101" s="17" t="s">
        <v>1773</v>
      </c>
      <c r="E101" s="17" t="s">
        <v>1667</v>
      </c>
    </row>
    <row r="102" ht="180.0" customHeight="1">
      <c r="A102" s="12" t="s">
        <v>680</v>
      </c>
      <c r="B102" s="12" t="s">
        <v>476</v>
      </c>
      <c r="C102" s="12" t="s">
        <v>1043</v>
      </c>
      <c r="D102" s="12" t="s">
        <v>1780</v>
      </c>
      <c r="E102" s="12" t="s">
        <v>1667</v>
      </c>
    </row>
    <row r="103" ht="180.0" customHeight="1">
      <c r="A103" s="17" t="s">
        <v>18</v>
      </c>
      <c r="B103" s="17" t="s">
        <v>669</v>
      </c>
      <c r="C103" s="17" t="s">
        <v>1122</v>
      </c>
      <c r="D103" s="17" t="s">
        <v>1784</v>
      </c>
      <c r="E103" s="17" t="s">
        <v>1439</v>
      </c>
    </row>
    <row r="104" ht="180.0" customHeight="1">
      <c r="A104" s="61" t="s">
        <v>1312</v>
      </c>
      <c r="B104" s="61" t="s">
        <v>476</v>
      </c>
      <c r="C104" s="61" t="s">
        <v>1122</v>
      </c>
      <c r="D104" s="61" t="s">
        <v>1792</v>
      </c>
      <c r="E104" s="61" t="s">
        <v>1439</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3" width="62.0"/>
    <col customWidth="1" min="4" max="4" width="42.0"/>
    <col customWidth="1" min="5" max="5" width="24.0"/>
    <col customWidth="1" min="6" max="6" width="16.0"/>
    <col customWidth="1" min="7" max="26" width="8.63"/>
  </cols>
  <sheetData>
    <row r="1" ht="33.75" customHeight="1">
      <c r="A1" s="53" t="s">
        <v>1526</v>
      </c>
    </row>
    <row r="2" ht="31.5" customHeight="1">
      <c r="A2" s="54" t="s">
        <v>1528</v>
      </c>
    </row>
    <row r="4" ht="30.0" customHeight="1">
      <c r="A4" s="55" t="s">
        <v>6</v>
      </c>
      <c r="B4" s="56" t="s">
        <v>1529</v>
      </c>
      <c r="C4" s="56" t="s">
        <v>1380</v>
      </c>
      <c r="D4" s="56" t="s">
        <v>1531</v>
      </c>
      <c r="E4" s="56" t="s">
        <v>1532</v>
      </c>
      <c r="F4" s="57" t="s">
        <v>267</v>
      </c>
    </row>
    <row r="5">
      <c r="A5" s="7" t="s">
        <v>669</v>
      </c>
      <c r="B5" s="7" t="s">
        <v>40</v>
      </c>
      <c r="C5" s="7" t="s">
        <v>94</v>
      </c>
      <c r="D5" s="7" t="s">
        <v>1534</v>
      </c>
      <c r="E5" s="7" t="s">
        <v>1536</v>
      </c>
      <c r="F5" s="7" t="s">
        <v>1537</v>
      </c>
    </row>
    <row r="6">
      <c r="A6" s="12" t="s">
        <v>669</v>
      </c>
      <c r="B6" s="12" t="s">
        <v>40</v>
      </c>
      <c r="C6" s="12" t="s">
        <v>710</v>
      </c>
      <c r="D6" s="12" t="s">
        <v>527</v>
      </c>
      <c r="E6" s="12" t="s">
        <v>1536</v>
      </c>
      <c r="F6" s="12" t="s">
        <v>1537</v>
      </c>
    </row>
    <row r="7">
      <c r="A7" s="17" t="s">
        <v>669</v>
      </c>
      <c r="B7" s="17" t="s">
        <v>40</v>
      </c>
      <c r="C7" s="17" t="s">
        <v>765</v>
      </c>
      <c r="D7" s="17" t="s">
        <v>1542</v>
      </c>
      <c r="E7" s="17" t="s">
        <v>1536</v>
      </c>
      <c r="F7" s="17" t="s">
        <v>1537</v>
      </c>
    </row>
    <row r="8">
      <c r="A8" s="12" t="s">
        <v>669</v>
      </c>
      <c r="B8" s="12" t="s">
        <v>40</v>
      </c>
      <c r="C8" s="12" t="s">
        <v>803</v>
      </c>
      <c r="D8" s="12" t="s">
        <v>1547</v>
      </c>
      <c r="E8" s="12" t="s">
        <v>1536</v>
      </c>
      <c r="F8" s="12" t="s">
        <v>1537</v>
      </c>
    </row>
    <row r="9">
      <c r="A9" s="17" t="s">
        <v>669</v>
      </c>
      <c r="B9" s="17" t="s">
        <v>94</v>
      </c>
      <c r="C9" s="17" t="s">
        <v>44</v>
      </c>
      <c r="D9" s="17" t="s">
        <v>1553</v>
      </c>
      <c r="E9" s="17" t="s">
        <v>1536</v>
      </c>
      <c r="F9" s="17" t="s">
        <v>1537</v>
      </c>
    </row>
    <row r="10">
      <c r="A10" s="12" t="s">
        <v>669</v>
      </c>
      <c r="B10" s="12" t="s">
        <v>94</v>
      </c>
      <c r="C10" s="12" t="s">
        <v>710</v>
      </c>
      <c r="D10" s="12" t="s">
        <v>527</v>
      </c>
      <c r="E10" s="12" t="s">
        <v>1536</v>
      </c>
      <c r="F10" s="12" t="s">
        <v>1537</v>
      </c>
    </row>
    <row r="11">
      <c r="A11" s="17" t="s">
        <v>669</v>
      </c>
      <c r="B11" s="17" t="s">
        <v>94</v>
      </c>
      <c r="C11" s="17" t="s">
        <v>803</v>
      </c>
      <c r="D11" s="17" t="s">
        <v>1547</v>
      </c>
      <c r="E11" s="17" t="s">
        <v>1536</v>
      </c>
      <c r="F11" s="17" t="s">
        <v>1537</v>
      </c>
    </row>
    <row r="12">
      <c r="A12" s="12" t="s">
        <v>669</v>
      </c>
      <c r="B12" s="12" t="s">
        <v>710</v>
      </c>
      <c r="C12" s="12" t="s">
        <v>44</v>
      </c>
      <c r="D12" s="12" t="s">
        <v>1553</v>
      </c>
      <c r="E12" s="12" t="s">
        <v>1536</v>
      </c>
      <c r="F12" s="12" t="s">
        <v>1537</v>
      </c>
    </row>
    <row r="13">
      <c r="A13" s="17" t="s">
        <v>669</v>
      </c>
      <c r="B13" s="17" t="s">
        <v>710</v>
      </c>
      <c r="C13" s="17" t="s">
        <v>803</v>
      </c>
      <c r="D13" s="17" t="s">
        <v>1547</v>
      </c>
      <c r="E13" s="17" t="s">
        <v>1536</v>
      </c>
      <c r="F13" s="17" t="s">
        <v>1537</v>
      </c>
    </row>
    <row r="14">
      <c r="A14" s="12" t="s">
        <v>669</v>
      </c>
      <c r="B14" s="12" t="s">
        <v>361</v>
      </c>
      <c r="C14" s="12" t="s">
        <v>935</v>
      </c>
      <c r="D14" s="12" t="s">
        <v>1570</v>
      </c>
      <c r="E14" s="12" t="s">
        <v>1536</v>
      </c>
      <c r="F14" s="12" t="s">
        <v>1537</v>
      </c>
    </row>
    <row r="15">
      <c r="A15" s="17" t="s">
        <v>669</v>
      </c>
      <c r="B15" s="17" t="s">
        <v>361</v>
      </c>
      <c r="C15" s="17" t="s">
        <v>950</v>
      </c>
      <c r="D15" s="17" t="s">
        <v>1574</v>
      </c>
      <c r="E15" s="17" t="s">
        <v>1536</v>
      </c>
      <c r="F15" s="17" t="s">
        <v>1537</v>
      </c>
    </row>
    <row r="16">
      <c r="A16" s="12" t="s">
        <v>669</v>
      </c>
      <c r="B16" s="12" t="s">
        <v>765</v>
      </c>
      <c r="C16" s="12" t="s">
        <v>773</v>
      </c>
      <c r="D16" s="12" t="s">
        <v>865</v>
      </c>
      <c r="E16" s="12" t="s">
        <v>1536</v>
      </c>
      <c r="F16" s="12" t="s">
        <v>1537</v>
      </c>
    </row>
    <row r="17">
      <c r="A17" s="17" t="s">
        <v>669</v>
      </c>
      <c r="B17" s="17" t="s">
        <v>765</v>
      </c>
      <c r="C17" s="17" t="s">
        <v>169</v>
      </c>
      <c r="D17" s="17" t="s">
        <v>1584</v>
      </c>
      <c r="E17" s="17" t="s">
        <v>1536</v>
      </c>
      <c r="F17" s="17" t="s">
        <v>1537</v>
      </c>
    </row>
    <row r="18">
      <c r="A18" s="12" t="s">
        <v>669</v>
      </c>
      <c r="B18" s="12" t="s">
        <v>765</v>
      </c>
      <c r="C18" s="12" t="s">
        <v>62</v>
      </c>
      <c r="D18" s="12" t="s">
        <v>1589</v>
      </c>
      <c r="E18" s="12" t="s">
        <v>1536</v>
      </c>
      <c r="F18" s="12" t="s">
        <v>1537</v>
      </c>
    </row>
    <row r="19">
      <c r="A19" s="17" t="s">
        <v>669</v>
      </c>
      <c r="B19" s="17" t="s">
        <v>773</v>
      </c>
      <c r="C19" s="17" t="s">
        <v>239</v>
      </c>
      <c r="D19" s="17" t="s">
        <v>865</v>
      </c>
      <c r="E19" s="17" t="s">
        <v>1536</v>
      </c>
      <c r="F19" s="17" t="s">
        <v>1537</v>
      </c>
    </row>
    <row r="20">
      <c r="A20" s="12" t="s">
        <v>669</v>
      </c>
      <c r="B20" s="12" t="s">
        <v>773</v>
      </c>
      <c r="C20" s="12" t="s">
        <v>94</v>
      </c>
      <c r="D20" s="12" t="s">
        <v>1534</v>
      </c>
      <c r="E20" s="12" t="s">
        <v>1536</v>
      </c>
      <c r="F20" s="12" t="s">
        <v>1537</v>
      </c>
    </row>
    <row r="21" ht="15.75" customHeight="1">
      <c r="A21" s="17" t="s">
        <v>669</v>
      </c>
      <c r="B21" s="17" t="s">
        <v>910</v>
      </c>
      <c r="C21" s="17" t="s">
        <v>287</v>
      </c>
      <c r="D21" s="17" t="s">
        <v>1592</v>
      </c>
      <c r="E21" s="17" t="s">
        <v>1536</v>
      </c>
      <c r="F21" s="17" t="s">
        <v>1537</v>
      </c>
    </row>
    <row r="22" ht="15.75" customHeight="1">
      <c r="A22" s="12" t="s">
        <v>669</v>
      </c>
      <c r="B22" s="12" t="s">
        <v>896</v>
      </c>
      <c r="C22" s="12" t="s">
        <v>169</v>
      </c>
      <c r="D22" s="12" t="s">
        <v>1584</v>
      </c>
      <c r="E22" s="12" t="s">
        <v>1536</v>
      </c>
      <c r="F22" s="12" t="s">
        <v>1537</v>
      </c>
    </row>
    <row r="23" ht="15.75" customHeight="1">
      <c r="A23" s="17" t="s">
        <v>669</v>
      </c>
      <c r="B23" s="17" t="s">
        <v>26</v>
      </c>
      <c r="C23" s="17" t="s">
        <v>44</v>
      </c>
      <c r="D23" s="17" t="s">
        <v>1553</v>
      </c>
      <c r="E23" s="17" t="s">
        <v>1536</v>
      </c>
      <c r="F23" s="17" t="s">
        <v>1537</v>
      </c>
    </row>
    <row r="24" ht="15.75" customHeight="1">
      <c r="A24" s="12" t="s">
        <v>669</v>
      </c>
      <c r="B24" s="12" t="s">
        <v>26</v>
      </c>
      <c r="C24" s="12" t="s">
        <v>710</v>
      </c>
      <c r="D24" s="12" t="s">
        <v>527</v>
      </c>
      <c r="E24" s="12" t="s">
        <v>1536</v>
      </c>
      <c r="F24" s="12" t="s">
        <v>1537</v>
      </c>
    </row>
    <row r="25" ht="15.75" customHeight="1">
      <c r="A25" s="17" t="s">
        <v>669</v>
      </c>
      <c r="B25" s="17" t="s">
        <v>1026</v>
      </c>
      <c r="C25" s="17" t="s">
        <v>803</v>
      </c>
      <c r="D25" s="17" t="s">
        <v>1547</v>
      </c>
      <c r="E25" s="17" t="s">
        <v>1536</v>
      </c>
      <c r="F25" s="17" t="s">
        <v>1537</v>
      </c>
    </row>
    <row r="26" ht="15.75" customHeight="1">
      <c r="A26" s="12" t="s">
        <v>669</v>
      </c>
      <c r="B26" s="12" t="s">
        <v>1033</v>
      </c>
      <c r="C26" s="12" t="s">
        <v>803</v>
      </c>
      <c r="D26" s="12" t="s">
        <v>1547</v>
      </c>
      <c r="E26" s="12" t="s">
        <v>1536</v>
      </c>
      <c r="F26" s="12" t="s">
        <v>1537</v>
      </c>
    </row>
    <row r="27" ht="15.75" customHeight="1">
      <c r="A27" s="17" t="s">
        <v>669</v>
      </c>
      <c r="B27" s="17" t="s">
        <v>1038</v>
      </c>
      <c r="C27" s="17" t="s">
        <v>803</v>
      </c>
      <c r="D27" s="17" t="s">
        <v>1547</v>
      </c>
      <c r="E27" s="17" t="s">
        <v>1536</v>
      </c>
      <c r="F27" s="17" t="s">
        <v>1537</v>
      </c>
    </row>
    <row r="28" ht="15.75" customHeight="1">
      <c r="A28" s="12" t="s">
        <v>669</v>
      </c>
      <c r="B28" s="12" t="s">
        <v>956</v>
      </c>
      <c r="C28" s="12" t="s">
        <v>44</v>
      </c>
      <c r="D28" s="12" t="s">
        <v>1553</v>
      </c>
      <c r="E28" s="12" t="s">
        <v>1536</v>
      </c>
      <c r="F28" s="12" t="s">
        <v>1537</v>
      </c>
    </row>
    <row r="29" ht="15.75" customHeight="1">
      <c r="A29" s="17" t="s">
        <v>669</v>
      </c>
      <c r="B29" s="17" t="s">
        <v>956</v>
      </c>
      <c r="C29" s="17" t="s">
        <v>803</v>
      </c>
      <c r="D29" s="17" t="s">
        <v>1547</v>
      </c>
      <c r="E29" s="17" t="s">
        <v>1536</v>
      </c>
      <c r="F29" s="17" t="s">
        <v>1537</v>
      </c>
    </row>
    <row r="30" ht="15.75" customHeight="1">
      <c r="A30" s="12" t="s">
        <v>669</v>
      </c>
      <c r="B30" s="12" t="s">
        <v>1012</v>
      </c>
      <c r="C30" s="12" t="s">
        <v>44</v>
      </c>
      <c r="D30" s="12" t="s">
        <v>1553</v>
      </c>
      <c r="E30" s="12" t="s">
        <v>1536</v>
      </c>
      <c r="F30" s="12" t="s">
        <v>1537</v>
      </c>
    </row>
    <row r="31" ht="15.75" customHeight="1">
      <c r="A31" s="17" t="s">
        <v>669</v>
      </c>
      <c r="B31" s="17" t="s">
        <v>1012</v>
      </c>
      <c r="C31" s="17" t="s">
        <v>803</v>
      </c>
      <c r="D31" s="17" t="s">
        <v>1547</v>
      </c>
      <c r="E31" s="17" t="s">
        <v>1536</v>
      </c>
      <c r="F31" s="17" t="s">
        <v>1537</v>
      </c>
    </row>
    <row r="32" ht="15.75" customHeight="1">
      <c r="A32" s="12" t="s">
        <v>669</v>
      </c>
      <c r="B32" s="12" t="s">
        <v>222</v>
      </c>
      <c r="C32" s="12" t="s">
        <v>44</v>
      </c>
      <c r="D32" s="12" t="s">
        <v>1553</v>
      </c>
      <c r="E32" s="12" t="s">
        <v>1536</v>
      </c>
      <c r="F32" s="12" t="s">
        <v>1537</v>
      </c>
    </row>
    <row r="33" ht="15.75" customHeight="1">
      <c r="A33" s="17" t="s">
        <v>669</v>
      </c>
      <c r="B33" s="17" t="s">
        <v>222</v>
      </c>
      <c r="C33" s="17" t="s">
        <v>803</v>
      </c>
      <c r="D33" s="17" t="s">
        <v>1547</v>
      </c>
      <c r="E33" s="17" t="s">
        <v>1536</v>
      </c>
      <c r="F33" s="17" t="s">
        <v>1537</v>
      </c>
    </row>
    <row r="34" ht="15.75" customHeight="1">
      <c r="A34" s="12" t="s">
        <v>669</v>
      </c>
      <c r="B34" s="12" t="s">
        <v>931</v>
      </c>
      <c r="C34" s="12" t="s">
        <v>44</v>
      </c>
      <c r="D34" s="12" t="s">
        <v>1553</v>
      </c>
      <c r="E34" s="12" t="s">
        <v>1536</v>
      </c>
      <c r="F34" s="12" t="s">
        <v>1537</v>
      </c>
    </row>
    <row r="35" ht="15.75" customHeight="1">
      <c r="A35" s="17" t="s">
        <v>669</v>
      </c>
      <c r="B35" s="17" t="s">
        <v>931</v>
      </c>
      <c r="C35" s="17" t="s">
        <v>803</v>
      </c>
      <c r="D35" s="17" t="s">
        <v>1547</v>
      </c>
      <c r="E35" s="17" t="s">
        <v>1536</v>
      </c>
      <c r="F35" s="17" t="s">
        <v>1537</v>
      </c>
    </row>
    <row r="36" ht="15.75" customHeight="1">
      <c r="A36" s="12" t="s">
        <v>669</v>
      </c>
      <c r="B36" s="12" t="s">
        <v>327</v>
      </c>
      <c r="C36" s="12" t="s">
        <v>44</v>
      </c>
      <c r="D36" s="12" t="s">
        <v>1553</v>
      </c>
      <c r="E36" s="12" t="s">
        <v>1536</v>
      </c>
      <c r="F36" s="12" t="s">
        <v>1537</v>
      </c>
    </row>
    <row r="37" ht="15.75" customHeight="1">
      <c r="A37" s="17" t="s">
        <v>669</v>
      </c>
      <c r="B37" s="17" t="s">
        <v>327</v>
      </c>
      <c r="C37" s="17" t="s">
        <v>803</v>
      </c>
      <c r="D37" s="17" t="s">
        <v>1547</v>
      </c>
      <c r="E37" s="17" t="s">
        <v>1536</v>
      </c>
      <c r="F37" s="17" t="s">
        <v>1537</v>
      </c>
    </row>
    <row r="38" ht="15.75" customHeight="1">
      <c r="A38" s="12" t="s">
        <v>669</v>
      </c>
      <c r="B38" s="12" t="s">
        <v>966</v>
      </c>
      <c r="C38" s="12" t="s">
        <v>44</v>
      </c>
      <c r="D38" s="12" t="s">
        <v>1553</v>
      </c>
      <c r="E38" s="12" t="s">
        <v>1536</v>
      </c>
      <c r="F38" s="12" t="s">
        <v>1537</v>
      </c>
    </row>
    <row r="39" ht="15.75" customHeight="1">
      <c r="A39" s="17" t="s">
        <v>669</v>
      </c>
      <c r="B39" s="17" t="s">
        <v>966</v>
      </c>
      <c r="C39" s="17" t="s">
        <v>803</v>
      </c>
      <c r="D39" s="17" t="s">
        <v>1547</v>
      </c>
      <c r="E39" s="17" t="s">
        <v>1536</v>
      </c>
      <c r="F39" s="17" t="s">
        <v>1537</v>
      </c>
    </row>
    <row r="40" ht="15.75" customHeight="1">
      <c r="A40" s="12" t="s">
        <v>669</v>
      </c>
      <c r="B40" s="12" t="s">
        <v>986</v>
      </c>
      <c r="C40" s="12" t="s">
        <v>44</v>
      </c>
      <c r="D40" s="12" t="s">
        <v>1553</v>
      </c>
      <c r="E40" s="12" t="s">
        <v>1536</v>
      </c>
      <c r="F40" s="12" t="s">
        <v>1537</v>
      </c>
    </row>
    <row r="41" ht="15.75" customHeight="1">
      <c r="A41" s="17" t="s">
        <v>669</v>
      </c>
      <c r="B41" s="17" t="s">
        <v>986</v>
      </c>
      <c r="C41" s="17" t="s">
        <v>803</v>
      </c>
      <c r="D41" s="17" t="s">
        <v>1547</v>
      </c>
      <c r="E41" s="17" t="s">
        <v>1536</v>
      </c>
      <c r="F41" s="17" t="s">
        <v>1537</v>
      </c>
    </row>
    <row r="42" ht="15.75" customHeight="1">
      <c r="A42" s="12" t="s">
        <v>669</v>
      </c>
      <c r="B42" s="12" t="s">
        <v>48</v>
      </c>
      <c r="C42" s="12" t="s">
        <v>44</v>
      </c>
      <c r="D42" s="12" t="s">
        <v>1553</v>
      </c>
      <c r="E42" s="12" t="s">
        <v>1536</v>
      </c>
      <c r="F42" s="12" t="s">
        <v>1537</v>
      </c>
    </row>
    <row r="43" ht="15.75" customHeight="1">
      <c r="A43" s="17" t="s">
        <v>669</v>
      </c>
      <c r="B43" s="17" t="s">
        <v>48</v>
      </c>
      <c r="C43" s="17" t="s">
        <v>803</v>
      </c>
      <c r="D43" s="17" t="s">
        <v>1547</v>
      </c>
      <c r="E43" s="17" t="s">
        <v>1536</v>
      </c>
      <c r="F43" s="17" t="s">
        <v>1537</v>
      </c>
    </row>
    <row r="44" ht="15.75" customHeight="1">
      <c r="A44" s="12" t="s">
        <v>669</v>
      </c>
      <c r="B44" s="12" t="s">
        <v>363</v>
      </c>
      <c r="C44" s="12" t="s">
        <v>44</v>
      </c>
      <c r="D44" s="12" t="s">
        <v>1553</v>
      </c>
      <c r="E44" s="12" t="s">
        <v>1536</v>
      </c>
      <c r="F44" s="12" t="s">
        <v>1537</v>
      </c>
    </row>
    <row r="45" ht="15.75" customHeight="1">
      <c r="A45" s="17" t="s">
        <v>669</v>
      </c>
      <c r="B45" s="17" t="s">
        <v>363</v>
      </c>
      <c r="C45" s="17" t="s">
        <v>803</v>
      </c>
      <c r="D45" s="17" t="s">
        <v>1547</v>
      </c>
      <c r="E45" s="17" t="s">
        <v>1536</v>
      </c>
      <c r="F45" s="17" t="s">
        <v>1537</v>
      </c>
    </row>
    <row r="46" ht="15.75" customHeight="1">
      <c r="A46" s="12" t="s">
        <v>669</v>
      </c>
      <c r="B46" s="12" t="s">
        <v>371</v>
      </c>
      <c r="C46" s="12" t="s">
        <v>44</v>
      </c>
      <c r="D46" s="12" t="s">
        <v>1553</v>
      </c>
      <c r="E46" s="12" t="s">
        <v>1536</v>
      </c>
      <c r="F46" s="12" t="s">
        <v>1537</v>
      </c>
    </row>
    <row r="47" ht="15.75" customHeight="1">
      <c r="A47" s="17" t="s">
        <v>669</v>
      </c>
      <c r="B47" s="17" t="s">
        <v>371</v>
      </c>
      <c r="C47" s="17" t="s">
        <v>803</v>
      </c>
      <c r="D47" s="17" t="s">
        <v>1547</v>
      </c>
      <c r="E47" s="17" t="s">
        <v>1536</v>
      </c>
      <c r="F47" s="17" t="s">
        <v>1537</v>
      </c>
    </row>
    <row r="48" ht="15.75" customHeight="1">
      <c r="A48" s="12" t="s">
        <v>669</v>
      </c>
      <c r="B48" s="12" t="s">
        <v>295</v>
      </c>
      <c r="C48" s="12" t="s">
        <v>44</v>
      </c>
      <c r="D48" s="12" t="s">
        <v>1553</v>
      </c>
      <c r="E48" s="12" t="s">
        <v>1536</v>
      </c>
      <c r="F48" s="12" t="s">
        <v>1537</v>
      </c>
    </row>
    <row r="49" ht="15.75" customHeight="1">
      <c r="A49" s="17" t="s">
        <v>669</v>
      </c>
      <c r="B49" s="17" t="s">
        <v>295</v>
      </c>
      <c r="C49" s="17" t="s">
        <v>803</v>
      </c>
      <c r="D49" s="17" t="s">
        <v>1547</v>
      </c>
      <c r="E49" s="17" t="s">
        <v>1536</v>
      </c>
      <c r="F49" s="17" t="s">
        <v>1537</v>
      </c>
    </row>
    <row r="50" ht="15.75" customHeight="1">
      <c r="A50" s="12" t="s">
        <v>669</v>
      </c>
      <c r="B50" s="12" t="s">
        <v>903</v>
      </c>
      <c r="C50" s="12" t="s">
        <v>44</v>
      </c>
      <c r="D50" s="12" t="s">
        <v>1553</v>
      </c>
      <c r="E50" s="12" t="s">
        <v>1536</v>
      </c>
      <c r="F50" s="12" t="s">
        <v>1537</v>
      </c>
    </row>
    <row r="51" ht="15.75" customHeight="1">
      <c r="A51" s="17" t="s">
        <v>669</v>
      </c>
      <c r="B51" s="17" t="s">
        <v>903</v>
      </c>
      <c r="C51" s="17" t="s">
        <v>803</v>
      </c>
      <c r="D51" s="17" t="s">
        <v>1547</v>
      </c>
      <c r="E51" s="17" t="s">
        <v>1536</v>
      </c>
      <c r="F51" s="17" t="s">
        <v>1537</v>
      </c>
    </row>
    <row r="52" ht="15.75" customHeight="1">
      <c r="A52" s="12" t="s">
        <v>476</v>
      </c>
      <c r="B52" s="12" t="s">
        <v>357</v>
      </c>
      <c r="C52" s="12" t="s">
        <v>670</v>
      </c>
      <c r="D52" s="12" t="s">
        <v>1655</v>
      </c>
      <c r="E52" s="12" t="s">
        <v>1536</v>
      </c>
      <c r="F52" s="12" t="s">
        <v>1537</v>
      </c>
    </row>
    <row r="53" ht="15.75" customHeight="1">
      <c r="A53" s="17" t="s">
        <v>476</v>
      </c>
      <c r="B53" s="17" t="s">
        <v>357</v>
      </c>
      <c r="C53" s="17" t="s">
        <v>718</v>
      </c>
      <c r="D53" s="17" t="s">
        <v>1657</v>
      </c>
      <c r="E53" s="17" t="s">
        <v>1536</v>
      </c>
      <c r="F53" s="17" t="s">
        <v>1537</v>
      </c>
    </row>
    <row r="54" ht="15.75" customHeight="1">
      <c r="A54" s="12" t="s">
        <v>476</v>
      </c>
      <c r="B54" s="12" t="s">
        <v>357</v>
      </c>
      <c r="C54" s="12" t="s">
        <v>771</v>
      </c>
      <c r="D54" s="12" t="s">
        <v>1662</v>
      </c>
      <c r="E54" s="12" t="s">
        <v>1536</v>
      </c>
      <c r="F54" s="12" t="s">
        <v>1537</v>
      </c>
    </row>
    <row r="55" ht="15.75" customHeight="1">
      <c r="A55" s="17" t="s">
        <v>476</v>
      </c>
      <c r="B55" s="17" t="s">
        <v>357</v>
      </c>
      <c r="C55" s="17" t="s">
        <v>165</v>
      </c>
      <c r="D55" s="17" t="s">
        <v>1664</v>
      </c>
      <c r="E55" s="17" t="s">
        <v>1536</v>
      </c>
      <c r="F55" s="17" t="s">
        <v>1537</v>
      </c>
    </row>
    <row r="56" ht="15.75" customHeight="1">
      <c r="A56" s="12" t="s">
        <v>476</v>
      </c>
      <c r="B56" s="12" t="s">
        <v>670</v>
      </c>
      <c r="C56" s="12" t="s">
        <v>330</v>
      </c>
      <c r="D56" s="12" t="s">
        <v>1666</v>
      </c>
      <c r="E56" s="12" t="s">
        <v>1536</v>
      </c>
      <c r="F56" s="12" t="s">
        <v>1537</v>
      </c>
    </row>
    <row r="57" ht="15.75" customHeight="1">
      <c r="A57" s="17" t="s">
        <v>476</v>
      </c>
      <c r="B57" s="17" t="s">
        <v>670</v>
      </c>
      <c r="C57" s="17" t="s">
        <v>718</v>
      </c>
      <c r="D57" s="17" t="s">
        <v>1657</v>
      </c>
      <c r="E57" s="17" t="s">
        <v>1536</v>
      </c>
      <c r="F57" s="17" t="s">
        <v>1537</v>
      </c>
    </row>
    <row r="58" ht="15.75" customHeight="1">
      <c r="A58" s="12" t="s">
        <v>476</v>
      </c>
      <c r="B58" s="12" t="s">
        <v>670</v>
      </c>
      <c r="C58" s="12" t="s">
        <v>165</v>
      </c>
      <c r="D58" s="12" t="s">
        <v>1664</v>
      </c>
      <c r="E58" s="12" t="s">
        <v>1536</v>
      </c>
      <c r="F58" s="12" t="s">
        <v>1537</v>
      </c>
    </row>
    <row r="59" ht="15.75" customHeight="1">
      <c r="A59" s="17" t="s">
        <v>476</v>
      </c>
      <c r="B59" s="17" t="s">
        <v>718</v>
      </c>
      <c r="C59" s="17" t="s">
        <v>330</v>
      </c>
      <c r="D59" s="17" t="s">
        <v>1666</v>
      </c>
      <c r="E59" s="17" t="s">
        <v>1536</v>
      </c>
      <c r="F59" s="17" t="s">
        <v>1537</v>
      </c>
    </row>
    <row r="60" ht="15.75" customHeight="1">
      <c r="A60" s="12" t="s">
        <v>476</v>
      </c>
      <c r="B60" s="12" t="s">
        <v>718</v>
      </c>
      <c r="C60" s="12" t="s">
        <v>165</v>
      </c>
      <c r="D60" s="12" t="s">
        <v>1664</v>
      </c>
      <c r="E60" s="12" t="s">
        <v>1536</v>
      </c>
      <c r="F60" s="12" t="s">
        <v>1537</v>
      </c>
    </row>
    <row r="61" ht="15.75" customHeight="1">
      <c r="A61" s="17" t="s">
        <v>476</v>
      </c>
      <c r="B61" s="17" t="s">
        <v>185</v>
      </c>
      <c r="C61" s="17" t="s">
        <v>943</v>
      </c>
      <c r="D61" s="17" t="s">
        <v>1672</v>
      </c>
      <c r="E61" s="17" t="s">
        <v>1536</v>
      </c>
      <c r="F61" s="17" t="s">
        <v>1537</v>
      </c>
    </row>
    <row r="62" ht="15.75" customHeight="1">
      <c r="A62" s="12" t="s">
        <v>476</v>
      </c>
      <c r="B62" s="12" t="s">
        <v>185</v>
      </c>
      <c r="C62" s="12" t="s">
        <v>955</v>
      </c>
      <c r="D62" s="12" t="s">
        <v>1673</v>
      </c>
      <c r="E62" s="12" t="s">
        <v>1536</v>
      </c>
      <c r="F62" s="12" t="s">
        <v>1537</v>
      </c>
    </row>
    <row r="63" ht="15.75" customHeight="1">
      <c r="A63" s="17" t="s">
        <v>476</v>
      </c>
      <c r="B63" s="17" t="s">
        <v>771</v>
      </c>
      <c r="C63" s="17" t="s">
        <v>781</v>
      </c>
      <c r="D63" s="17" t="s">
        <v>876</v>
      </c>
      <c r="E63" s="17" t="s">
        <v>1536</v>
      </c>
      <c r="F63" s="17" t="s">
        <v>1537</v>
      </c>
    </row>
    <row r="64" ht="15.75" customHeight="1">
      <c r="A64" s="12" t="s">
        <v>476</v>
      </c>
      <c r="B64" s="12" t="s">
        <v>771</v>
      </c>
      <c r="C64" s="12" t="s">
        <v>887</v>
      </c>
      <c r="D64" s="12" t="s">
        <v>1675</v>
      </c>
      <c r="E64" s="12" t="s">
        <v>1536</v>
      </c>
      <c r="F64" s="12" t="s">
        <v>1537</v>
      </c>
    </row>
    <row r="65" ht="15.75" customHeight="1">
      <c r="A65" s="17" t="s">
        <v>476</v>
      </c>
      <c r="B65" s="17" t="s">
        <v>771</v>
      </c>
      <c r="C65" s="17" t="s">
        <v>840</v>
      </c>
      <c r="D65" s="17" t="s">
        <v>1678</v>
      </c>
      <c r="E65" s="17" t="s">
        <v>1536</v>
      </c>
      <c r="F65" s="17" t="s">
        <v>1537</v>
      </c>
    </row>
    <row r="66" ht="15.75" customHeight="1">
      <c r="A66" s="12" t="s">
        <v>476</v>
      </c>
      <c r="B66" s="12" t="s">
        <v>781</v>
      </c>
      <c r="C66" s="12" t="s">
        <v>872</v>
      </c>
      <c r="D66" s="12" t="s">
        <v>876</v>
      </c>
      <c r="E66" s="12" t="s">
        <v>1536</v>
      </c>
      <c r="F66" s="12" t="s">
        <v>1537</v>
      </c>
    </row>
    <row r="67" ht="15.75" customHeight="1">
      <c r="A67" s="17" t="s">
        <v>476</v>
      </c>
      <c r="B67" s="17" t="s">
        <v>781</v>
      </c>
      <c r="C67" s="17" t="s">
        <v>670</v>
      </c>
      <c r="D67" s="17" t="s">
        <v>1655</v>
      </c>
      <c r="E67" s="17" t="s">
        <v>1536</v>
      </c>
      <c r="F67" s="17" t="s">
        <v>1537</v>
      </c>
    </row>
    <row r="68" ht="15.75" customHeight="1">
      <c r="A68" s="12" t="s">
        <v>476</v>
      </c>
      <c r="B68" s="12" t="s">
        <v>916</v>
      </c>
      <c r="C68" s="12" t="s">
        <v>968</v>
      </c>
      <c r="D68" s="12" t="s">
        <v>1681</v>
      </c>
      <c r="E68" s="12" t="s">
        <v>1536</v>
      </c>
      <c r="F68" s="12" t="s">
        <v>1537</v>
      </c>
    </row>
    <row r="69" ht="15.75" customHeight="1">
      <c r="A69" s="17" t="s">
        <v>476</v>
      </c>
      <c r="B69" s="17" t="s">
        <v>904</v>
      </c>
      <c r="C69" s="17" t="s">
        <v>887</v>
      </c>
      <c r="D69" s="17" t="s">
        <v>1675</v>
      </c>
      <c r="E69" s="17" t="s">
        <v>1536</v>
      </c>
      <c r="F69" s="17" t="s">
        <v>1537</v>
      </c>
    </row>
    <row r="70" ht="15.75" customHeight="1">
      <c r="A70" s="12" t="s">
        <v>476</v>
      </c>
      <c r="B70" s="12" t="s">
        <v>140</v>
      </c>
      <c r="C70" s="12" t="s">
        <v>330</v>
      </c>
      <c r="D70" s="12" t="s">
        <v>1666</v>
      </c>
      <c r="E70" s="12" t="s">
        <v>1536</v>
      </c>
      <c r="F70" s="12" t="s">
        <v>1537</v>
      </c>
    </row>
    <row r="71" ht="15.75" customHeight="1">
      <c r="A71" s="17" t="s">
        <v>476</v>
      </c>
      <c r="B71" s="17" t="s">
        <v>140</v>
      </c>
      <c r="C71" s="17" t="s">
        <v>718</v>
      </c>
      <c r="D71" s="17" t="s">
        <v>1657</v>
      </c>
      <c r="E71" s="17" t="s">
        <v>1536</v>
      </c>
      <c r="F71" s="17" t="s">
        <v>1537</v>
      </c>
    </row>
    <row r="72" ht="15.75" customHeight="1">
      <c r="A72" s="12" t="s">
        <v>476</v>
      </c>
      <c r="B72" s="12" t="s">
        <v>248</v>
      </c>
      <c r="C72" s="12" t="s">
        <v>165</v>
      </c>
      <c r="D72" s="12" t="s">
        <v>1664</v>
      </c>
      <c r="E72" s="12" t="s">
        <v>1536</v>
      </c>
      <c r="F72" s="12" t="s">
        <v>1537</v>
      </c>
    </row>
    <row r="73" ht="15.75" customHeight="1">
      <c r="A73" s="17" t="s">
        <v>476</v>
      </c>
      <c r="B73" s="17" t="s">
        <v>354</v>
      </c>
      <c r="C73" s="17" t="s">
        <v>165</v>
      </c>
      <c r="D73" s="17" t="s">
        <v>1664</v>
      </c>
      <c r="E73" s="17" t="s">
        <v>1536</v>
      </c>
      <c r="F73" s="17" t="s">
        <v>1537</v>
      </c>
    </row>
    <row r="74" ht="15.75" customHeight="1">
      <c r="A74" s="12" t="s">
        <v>476</v>
      </c>
      <c r="B74" s="12" t="s">
        <v>783</v>
      </c>
      <c r="C74" s="12" t="s">
        <v>165</v>
      </c>
      <c r="D74" s="12" t="s">
        <v>1664</v>
      </c>
      <c r="E74" s="12" t="s">
        <v>1536</v>
      </c>
      <c r="F74" s="12" t="s">
        <v>1537</v>
      </c>
    </row>
    <row r="75" ht="15.75" customHeight="1">
      <c r="A75" s="17" t="s">
        <v>476</v>
      </c>
      <c r="B75" s="17" t="s">
        <v>715</v>
      </c>
      <c r="C75" s="17" t="s">
        <v>330</v>
      </c>
      <c r="D75" s="17" t="s">
        <v>1666</v>
      </c>
      <c r="E75" s="17" t="s">
        <v>1536</v>
      </c>
      <c r="F75" s="17" t="s">
        <v>1537</v>
      </c>
    </row>
    <row r="76" ht="15.75" customHeight="1">
      <c r="A76" s="12" t="s">
        <v>476</v>
      </c>
      <c r="B76" s="12" t="s">
        <v>715</v>
      </c>
      <c r="C76" s="12" t="s">
        <v>165</v>
      </c>
      <c r="D76" s="12" t="s">
        <v>1664</v>
      </c>
      <c r="E76" s="12" t="s">
        <v>1536</v>
      </c>
      <c r="F76" s="12" t="s">
        <v>1537</v>
      </c>
    </row>
    <row r="77" ht="15.75" customHeight="1">
      <c r="A77" s="17" t="s">
        <v>476</v>
      </c>
      <c r="B77" s="17" t="s">
        <v>119</v>
      </c>
      <c r="C77" s="17" t="s">
        <v>330</v>
      </c>
      <c r="D77" s="17" t="s">
        <v>1666</v>
      </c>
      <c r="E77" s="17" t="s">
        <v>1536</v>
      </c>
      <c r="F77" s="17" t="s">
        <v>1537</v>
      </c>
    </row>
    <row r="78" ht="15.75" customHeight="1">
      <c r="A78" s="12" t="s">
        <v>476</v>
      </c>
      <c r="B78" s="12" t="s">
        <v>119</v>
      </c>
      <c r="C78" s="12" t="s">
        <v>165</v>
      </c>
      <c r="D78" s="12" t="s">
        <v>1664</v>
      </c>
      <c r="E78" s="12" t="s">
        <v>1536</v>
      </c>
      <c r="F78" s="12" t="s">
        <v>1537</v>
      </c>
    </row>
    <row r="79" ht="15.75" customHeight="1">
      <c r="A79" s="17" t="s">
        <v>476</v>
      </c>
      <c r="B79" s="17" t="s">
        <v>705</v>
      </c>
      <c r="C79" s="17" t="s">
        <v>330</v>
      </c>
      <c r="D79" s="17" t="s">
        <v>1666</v>
      </c>
      <c r="E79" s="17" t="s">
        <v>1536</v>
      </c>
      <c r="F79" s="17" t="s">
        <v>1537</v>
      </c>
    </row>
    <row r="80" ht="15.75" customHeight="1">
      <c r="A80" s="12" t="s">
        <v>476</v>
      </c>
      <c r="B80" s="12" t="s">
        <v>705</v>
      </c>
      <c r="C80" s="12" t="s">
        <v>165</v>
      </c>
      <c r="D80" s="12" t="s">
        <v>1664</v>
      </c>
      <c r="E80" s="12" t="s">
        <v>1536</v>
      </c>
      <c r="F80" s="12" t="s">
        <v>1537</v>
      </c>
    </row>
    <row r="81" ht="15.75" customHeight="1">
      <c r="A81" s="17" t="s">
        <v>476</v>
      </c>
      <c r="B81" s="17" t="s">
        <v>698</v>
      </c>
      <c r="C81" s="17" t="s">
        <v>330</v>
      </c>
      <c r="D81" s="17" t="s">
        <v>1666</v>
      </c>
      <c r="E81" s="17" t="s">
        <v>1536</v>
      </c>
      <c r="F81" s="17" t="s">
        <v>1537</v>
      </c>
    </row>
    <row r="82" ht="15.75" customHeight="1">
      <c r="A82" s="12" t="s">
        <v>476</v>
      </c>
      <c r="B82" s="12" t="s">
        <v>698</v>
      </c>
      <c r="C82" s="12" t="s">
        <v>165</v>
      </c>
      <c r="D82" s="12" t="s">
        <v>1664</v>
      </c>
      <c r="E82" s="12" t="s">
        <v>1536</v>
      </c>
      <c r="F82" s="12" t="s">
        <v>1537</v>
      </c>
    </row>
    <row r="83" ht="15.75" customHeight="1">
      <c r="A83" s="17" t="s">
        <v>476</v>
      </c>
      <c r="B83" s="17" t="s">
        <v>684</v>
      </c>
      <c r="C83" s="17" t="s">
        <v>330</v>
      </c>
      <c r="D83" s="17" t="s">
        <v>1666</v>
      </c>
      <c r="E83" s="17" t="s">
        <v>1536</v>
      </c>
      <c r="F83" s="17" t="s">
        <v>1537</v>
      </c>
    </row>
    <row r="84" ht="15.75" customHeight="1">
      <c r="A84" s="12" t="s">
        <v>476</v>
      </c>
      <c r="B84" s="12" t="s">
        <v>684</v>
      </c>
      <c r="C84" s="12" t="s">
        <v>165</v>
      </c>
      <c r="D84" s="12" t="s">
        <v>1664</v>
      </c>
      <c r="E84" s="12" t="s">
        <v>1536</v>
      </c>
      <c r="F84" s="12" t="s">
        <v>1537</v>
      </c>
    </row>
    <row r="85" ht="15.75" customHeight="1">
      <c r="A85" s="17" t="s">
        <v>476</v>
      </c>
      <c r="B85" s="17" t="s">
        <v>317</v>
      </c>
      <c r="C85" s="17" t="s">
        <v>330</v>
      </c>
      <c r="D85" s="17" t="s">
        <v>1666</v>
      </c>
      <c r="E85" s="17" t="s">
        <v>1536</v>
      </c>
      <c r="F85" s="17" t="s">
        <v>1537</v>
      </c>
    </row>
    <row r="86" ht="15.75" customHeight="1">
      <c r="A86" s="12" t="s">
        <v>476</v>
      </c>
      <c r="B86" s="12" t="s">
        <v>317</v>
      </c>
      <c r="C86" s="12" t="s">
        <v>165</v>
      </c>
      <c r="D86" s="12" t="s">
        <v>1664</v>
      </c>
      <c r="E86" s="12" t="s">
        <v>1536</v>
      </c>
      <c r="F86" s="12" t="s">
        <v>1537</v>
      </c>
    </row>
    <row r="87" ht="15.75" customHeight="1">
      <c r="A87" s="17" t="s">
        <v>476</v>
      </c>
      <c r="B87" s="17" t="s">
        <v>728</v>
      </c>
      <c r="C87" s="17" t="s">
        <v>330</v>
      </c>
      <c r="D87" s="17" t="s">
        <v>1666</v>
      </c>
      <c r="E87" s="17" t="s">
        <v>1536</v>
      </c>
      <c r="F87" s="17" t="s">
        <v>1537</v>
      </c>
    </row>
    <row r="88" ht="15.75" customHeight="1">
      <c r="A88" s="12" t="s">
        <v>476</v>
      </c>
      <c r="B88" s="12" t="s">
        <v>728</v>
      </c>
      <c r="C88" s="12" t="s">
        <v>165</v>
      </c>
      <c r="D88" s="12" t="s">
        <v>1664</v>
      </c>
      <c r="E88" s="12" t="s">
        <v>1536</v>
      </c>
      <c r="F88" s="12" t="s">
        <v>1537</v>
      </c>
    </row>
    <row r="89" ht="15.75" customHeight="1">
      <c r="A89" s="17" t="s">
        <v>476</v>
      </c>
      <c r="B89" s="17" t="s">
        <v>736</v>
      </c>
      <c r="C89" s="17" t="s">
        <v>330</v>
      </c>
      <c r="D89" s="17" t="s">
        <v>1666</v>
      </c>
      <c r="E89" s="17" t="s">
        <v>1536</v>
      </c>
      <c r="F89" s="17" t="s">
        <v>1537</v>
      </c>
    </row>
    <row r="90" ht="15.75" customHeight="1">
      <c r="A90" s="12" t="s">
        <v>476</v>
      </c>
      <c r="B90" s="12" t="s">
        <v>736</v>
      </c>
      <c r="C90" s="12" t="s">
        <v>165</v>
      </c>
      <c r="D90" s="12" t="s">
        <v>1664</v>
      </c>
      <c r="E90" s="12" t="s">
        <v>1536</v>
      </c>
      <c r="F90" s="12" t="s">
        <v>1537</v>
      </c>
    </row>
    <row r="91" ht="15.75" customHeight="1">
      <c r="A91" s="17" t="s">
        <v>476</v>
      </c>
      <c r="B91" s="17" t="s">
        <v>202</v>
      </c>
      <c r="C91" s="17" t="s">
        <v>330</v>
      </c>
      <c r="D91" s="17" t="s">
        <v>1666</v>
      </c>
      <c r="E91" s="17" t="s">
        <v>1536</v>
      </c>
      <c r="F91" s="17" t="s">
        <v>1537</v>
      </c>
    </row>
    <row r="92" ht="15.75" customHeight="1">
      <c r="A92" s="12" t="s">
        <v>476</v>
      </c>
      <c r="B92" s="12" t="s">
        <v>202</v>
      </c>
      <c r="C92" s="12" t="s">
        <v>165</v>
      </c>
      <c r="D92" s="12" t="s">
        <v>1664</v>
      </c>
      <c r="E92" s="12" t="s">
        <v>1536</v>
      </c>
      <c r="F92" s="12" t="s">
        <v>1537</v>
      </c>
    </row>
    <row r="93" ht="15.75" customHeight="1">
      <c r="A93" s="17" t="s">
        <v>476</v>
      </c>
      <c r="B93" s="17" t="s">
        <v>751</v>
      </c>
      <c r="C93" s="17" t="s">
        <v>330</v>
      </c>
      <c r="D93" s="17" t="s">
        <v>1666</v>
      </c>
      <c r="E93" s="17" t="s">
        <v>1536</v>
      </c>
      <c r="F93" s="17" t="s">
        <v>1537</v>
      </c>
    </row>
    <row r="94" ht="15.75" customHeight="1">
      <c r="A94" s="12" t="s">
        <v>476</v>
      </c>
      <c r="B94" s="12" t="s">
        <v>751</v>
      </c>
      <c r="C94" s="12" t="s">
        <v>165</v>
      </c>
      <c r="D94" s="12" t="s">
        <v>1664</v>
      </c>
      <c r="E94" s="12" t="s">
        <v>1536</v>
      </c>
      <c r="F94" s="12" t="s">
        <v>1537</v>
      </c>
    </row>
    <row r="95" ht="15.75" customHeight="1">
      <c r="A95" s="17" t="s">
        <v>476</v>
      </c>
      <c r="B95" s="17" t="s">
        <v>724</v>
      </c>
      <c r="C95" s="17" t="s">
        <v>330</v>
      </c>
      <c r="D95" s="17" t="s">
        <v>1666</v>
      </c>
      <c r="E95" s="17" t="s">
        <v>1536</v>
      </c>
      <c r="F95" s="17" t="s">
        <v>1537</v>
      </c>
    </row>
    <row r="96" ht="15.75" customHeight="1">
      <c r="A96" s="12" t="s">
        <v>476</v>
      </c>
      <c r="B96" s="12" t="s">
        <v>724</v>
      </c>
      <c r="C96" s="12" t="s">
        <v>165</v>
      </c>
      <c r="D96" s="12" t="s">
        <v>1664</v>
      </c>
      <c r="E96" s="12" t="s">
        <v>1536</v>
      </c>
      <c r="F96" s="12" t="s">
        <v>1537</v>
      </c>
    </row>
    <row r="97" ht="15.75" customHeight="1">
      <c r="A97" s="17" t="s">
        <v>476</v>
      </c>
      <c r="B97" s="17" t="s">
        <v>680</v>
      </c>
      <c r="C97" s="17" t="s">
        <v>330</v>
      </c>
      <c r="D97" s="17" t="s">
        <v>1666</v>
      </c>
      <c r="E97" s="17" t="s">
        <v>1536</v>
      </c>
      <c r="F97" s="17" t="s">
        <v>1537</v>
      </c>
    </row>
    <row r="98" ht="15.75" customHeight="1">
      <c r="A98" s="61" t="s">
        <v>476</v>
      </c>
      <c r="B98" s="61" t="s">
        <v>680</v>
      </c>
      <c r="C98" s="61" t="s">
        <v>165</v>
      </c>
      <c r="D98" s="61" t="s">
        <v>1664</v>
      </c>
      <c r="E98" s="61" t="s">
        <v>1536</v>
      </c>
      <c r="F98" s="61" t="s">
        <v>1537</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60.0"/>
    <col customWidth="1" min="3" max="3" width="20.0"/>
    <col customWidth="1" min="4" max="4" width="115.0"/>
    <col customWidth="1" min="5" max="5" width="70.0"/>
    <col customWidth="1" min="6" max="26" width="8.63"/>
  </cols>
  <sheetData>
    <row r="1" ht="33.75" customHeight="1">
      <c r="A1" s="53" t="s">
        <v>1539</v>
      </c>
    </row>
    <row r="2" ht="31.5" customHeight="1">
      <c r="A2" s="54" t="s">
        <v>1540</v>
      </c>
    </row>
    <row r="4" ht="30.0" customHeight="1">
      <c r="A4" s="55" t="s">
        <v>1541</v>
      </c>
      <c r="B4" s="56" t="s">
        <v>1543</v>
      </c>
      <c r="C4" s="56" t="s">
        <v>17</v>
      </c>
      <c r="D4" s="56" t="s">
        <v>1544</v>
      </c>
      <c r="E4" s="57" t="s">
        <v>1546</v>
      </c>
    </row>
    <row r="5" ht="240.0" customHeight="1">
      <c r="A5" s="7" t="s">
        <v>1548</v>
      </c>
      <c r="B5" s="7" t="s">
        <v>1549</v>
      </c>
      <c r="C5" s="7" t="s">
        <v>1550</v>
      </c>
      <c r="D5" s="7" t="s">
        <v>1551</v>
      </c>
      <c r="E5" s="7" t="s">
        <v>1554</v>
      </c>
    </row>
    <row r="6" ht="240.0" customHeight="1">
      <c r="A6" s="12" t="s">
        <v>1556</v>
      </c>
      <c r="B6" s="12" t="s">
        <v>1557</v>
      </c>
      <c r="C6" s="12" t="s">
        <v>1550</v>
      </c>
      <c r="D6" s="12" t="s">
        <v>1558</v>
      </c>
      <c r="E6" s="12" t="s">
        <v>1559</v>
      </c>
    </row>
    <row r="7" ht="240.0" customHeight="1">
      <c r="A7" s="17" t="s">
        <v>118</v>
      </c>
      <c r="B7" s="17" t="s">
        <v>1561</v>
      </c>
      <c r="C7" s="17" t="s">
        <v>1562</v>
      </c>
      <c r="D7" s="17" t="s">
        <v>1564</v>
      </c>
      <c r="E7" s="17" t="s">
        <v>1567</v>
      </c>
    </row>
    <row r="8" ht="240.0" customHeight="1">
      <c r="A8" s="12" t="s">
        <v>1568</v>
      </c>
      <c r="B8" s="12" t="s">
        <v>1571</v>
      </c>
      <c r="C8" s="12" t="s">
        <v>897</v>
      </c>
      <c r="D8" s="12" t="s">
        <v>1572</v>
      </c>
      <c r="E8" s="12" t="s">
        <v>1575</v>
      </c>
    </row>
    <row r="9" ht="240.0" customHeight="1">
      <c r="A9" s="17" t="s">
        <v>1576</v>
      </c>
      <c r="B9" s="17" t="s">
        <v>1577</v>
      </c>
      <c r="C9" s="17" t="s">
        <v>1578</v>
      </c>
      <c r="D9" s="17" t="s">
        <v>1579</v>
      </c>
      <c r="E9" s="17" t="s">
        <v>1580</v>
      </c>
    </row>
    <row r="10" ht="240.0" customHeight="1">
      <c r="A10" s="61" t="s">
        <v>1581</v>
      </c>
      <c r="B10" s="61" t="s">
        <v>1582</v>
      </c>
      <c r="C10" s="61" t="s">
        <v>1585</v>
      </c>
      <c r="D10" s="61" t="s">
        <v>1586</v>
      </c>
      <c r="E10" s="61" t="s">
        <v>1588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0"/>
    <col customWidth="1" min="2" max="2" width="52.0"/>
    <col customWidth="1" min="3" max="3" width="70.0"/>
    <col customWidth="1" min="4" max="4" width="72.0"/>
    <col customWidth="1" min="5" max="5" width="12.0"/>
    <col customWidth="1" min="6" max="26" width="8.63"/>
  </cols>
  <sheetData>
    <row r="1" ht="33.75" customHeight="1">
      <c r="A1" s="53" t="s">
        <v>1612</v>
      </c>
    </row>
    <row r="2" ht="31.5" customHeight="1">
      <c r="A2" s="54" t="s">
        <v>1614</v>
      </c>
    </row>
    <row r="4" ht="30.0" customHeight="1">
      <c r="A4" s="55" t="s">
        <v>1615</v>
      </c>
      <c r="B4" s="56" t="s">
        <v>262</v>
      </c>
      <c r="C4" s="56" t="s">
        <v>1617</v>
      </c>
      <c r="D4" s="56" t="s">
        <v>1618</v>
      </c>
      <c r="E4" s="57" t="s">
        <v>1619</v>
      </c>
    </row>
    <row r="5">
      <c r="A5" s="7" t="s">
        <v>1620</v>
      </c>
      <c r="B5" s="7" t="s">
        <v>1621</v>
      </c>
      <c r="C5" s="7" t="s">
        <v>1622</v>
      </c>
      <c r="D5" s="7" t="s">
        <v>1623</v>
      </c>
      <c r="E5" s="7" t="s">
        <v>1624</v>
      </c>
    </row>
    <row r="6">
      <c r="A6" s="12" t="s">
        <v>1626</v>
      </c>
      <c r="B6" s="12" t="s">
        <v>1627</v>
      </c>
      <c r="C6" s="12" t="s">
        <v>1628</v>
      </c>
      <c r="D6" s="12" t="s">
        <v>1630</v>
      </c>
      <c r="E6" s="12" t="s">
        <v>1624</v>
      </c>
    </row>
    <row r="7">
      <c r="A7" s="17" t="s">
        <v>1631</v>
      </c>
      <c r="B7" s="17" t="s">
        <v>1633</v>
      </c>
      <c r="C7" s="17" t="s">
        <v>1634</v>
      </c>
      <c r="D7" s="17" t="s">
        <v>1635</v>
      </c>
      <c r="E7" s="17" t="s">
        <v>1624</v>
      </c>
    </row>
    <row r="8">
      <c r="A8" s="12" t="s">
        <v>1636</v>
      </c>
      <c r="B8" s="12" t="s">
        <v>1637</v>
      </c>
      <c r="C8" s="12" t="s">
        <v>1639</v>
      </c>
      <c r="D8" s="12" t="s">
        <v>1640</v>
      </c>
      <c r="E8" s="12" t="s">
        <v>1641</v>
      </c>
    </row>
    <row r="9">
      <c r="A9" s="17" t="s">
        <v>1642</v>
      </c>
      <c r="B9" s="17" t="s">
        <v>1643</v>
      </c>
      <c r="C9" s="17" t="s">
        <v>1644</v>
      </c>
      <c r="D9" s="17" t="s">
        <v>1646</v>
      </c>
      <c r="E9" s="17" t="s">
        <v>1624</v>
      </c>
    </row>
    <row r="10">
      <c r="A10" s="61" t="s">
        <v>1647</v>
      </c>
      <c r="B10" s="61" t="s">
        <v>1648</v>
      </c>
      <c r="C10" s="61" t="s">
        <v>1649</v>
      </c>
      <c r="D10" s="61" t="s">
        <v>1650</v>
      </c>
      <c r="E10" s="61" t="s">
        <v>1624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conditionalFormatting sqref="E5:E10">
    <cfRule type="containsText" dxfId="5" priority="1" operator="containsText" text="High">
      <formula>NOT(ISERROR(SEARCH(("High"),(E5))))</formula>
    </cfRule>
  </conditionalFormatting>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8.0"/>
    <col customWidth="1" min="3" max="3" width="82.0"/>
    <col customWidth="1" min="4" max="4" width="86.0"/>
    <col customWidth="1" min="5" max="5" width="8.63"/>
    <col customWidth="1" min="6" max="11" width="14.0"/>
    <col customWidth="1" min="12" max="26" width="8.63"/>
  </cols>
  <sheetData>
    <row r="1" ht="33.75" customHeight="1">
      <c r="A1" s="53" t="s">
        <v>1683</v>
      </c>
    </row>
    <row r="2" ht="31.5" customHeight="1">
      <c r="A2" s="54" t="s">
        <v>1685</v>
      </c>
    </row>
    <row r="4" ht="30.0" customHeight="1">
      <c r="A4" s="55" t="s">
        <v>1686</v>
      </c>
      <c r="B4" s="56" t="s">
        <v>1687</v>
      </c>
      <c r="C4" s="56" t="s">
        <v>1690</v>
      </c>
      <c r="D4" s="57" t="s">
        <v>1691</v>
      </c>
    </row>
    <row r="5">
      <c r="A5" s="7" t="s">
        <v>1692</v>
      </c>
      <c r="B5" s="7" t="s">
        <v>1693</v>
      </c>
      <c r="C5" s="7" t="s">
        <v>1694</v>
      </c>
      <c r="D5" s="7" t="s">
        <v>1695</v>
      </c>
    </row>
    <row r="6">
      <c r="A6" s="12" t="s">
        <v>1697</v>
      </c>
      <c r="B6" s="12" t="s">
        <v>1698</v>
      </c>
      <c r="C6" s="12" t="s">
        <v>1699</v>
      </c>
      <c r="D6" s="12" t="s">
        <v>1700</v>
      </c>
    </row>
    <row r="7">
      <c r="A7" s="17" t="s">
        <v>1697</v>
      </c>
      <c r="B7" s="17" t="s">
        <v>1701</v>
      </c>
      <c r="C7" s="17" t="s">
        <v>1702</v>
      </c>
      <c r="D7" s="17" t="s">
        <v>1704</v>
      </c>
    </row>
    <row r="8">
      <c r="A8" s="12" t="s">
        <v>1697</v>
      </c>
      <c r="B8" s="12" t="s">
        <v>1705</v>
      </c>
      <c r="C8" s="12" t="s">
        <v>1706</v>
      </c>
      <c r="D8" s="12" t="s">
        <v>1707</v>
      </c>
    </row>
    <row r="9">
      <c r="A9" s="17" t="s">
        <v>671</v>
      </c>
      <c r="B9" s="17" t="s">
        <v>1708</v>
      </c>
      <c r="C9" s="17" t="s">
        <v>1710</v>
      </c>
      <c r="D9" s="17" t="s">
        <v>1711</v>
      </c>
    </row>
    <row r="10">
      <c r="A10" s="12" t="s">
        <v>671</v>
      </c>
      <c r="B10" s="12" t="s">
        <v>1712</v>
      </c>
      <c r="C10" s="12" t="s">
        <v>1713</v>
      </c>
      <c r="D10" s="12" t="s">
        <v>1716</v>
      </c>
    </row>
    <row r="11">
      <c r="A11" s="17" t="s">
        <v>671</v>
      </c>
      <c r="B11" s="17" t="s">
        <v>1717</v>
      </c>
      <c r="C11" s="17" t="s">
        <v>1718</v>
      </c>
      <c r="D11" s="17" t="s">
        <v>1719</v>
      </c>
    </row>
    <row r="12">
      <c r="A12" s="12" t="s">
        <v>671</v>
      </c>
      <c r="B12" s="12" t="s">
        <v>1720</v>
      </c>
      <c r="C12" s="12" t="s">
        <v>1722</v>
      </c>
      <c r="D12" s="12" t="s">
        <v>1723</v>
      </c>
    </row>
    <row r="13">
      <c r="A13" s="17" t="s">
        <v>671</v>
      </c>
      <c r="B13" s="17" t="s">
        <v>1724</v>
      </c>
      <c r="C13" s="17" t="s">
        <v>1725</v>
      </c>
      <c r="D13" s="17" t="s">
        <v>1726</v>
      </c>
    </row>
    <row r="14">
      <c r="A14" s="12" t="s">
        <v>671</v>
      </c>
      <c r="B14" s="12" t="s">
        <v>1728</v>
      </c>
      <c r="C14" s="12" t="s">
        <v>1729</v>
      </c>
      <c r="D14" s="12" t="s">
        <v>1730</v>
      </c>
    </row>
    <row r="15">
      <c r="A15" s="17" t="s">
        <v>671</v>
      </c>
      <c r="B15" s="17" t="s">
        <v>1731</v>
      </c>
      <c r="C15" s="17" t="s">
        <v>1732</v>
      </c>
      <c r="D15" s="17" t="s">
        <v>1735</v>
      </c>
    </row>
    <row r="16">
      <c r="A16" s="12" t="s">
        <v>671</v>
      </c>
      <c r="B16" s="12" t="s">
        <v>1736</v>
      </c>
      <c r="C16" s="12" t="s">
        <v>1737</v>
      </c>
      <c r="D16" s="12" t="s">
        <v>1738</v>
      </c>
    </row>
    <row r="17">
      <c r="A17" s="17" t="s">
        <v>671</v>
      </c>
      <c r="B17" s="17" t="s">
        <v>1739</v>
      </c>
      <c r="C17" s="17" t="s">
        <v>1741</v>
      </c>
      <c r="D17" s="17" t="s">
        <v>1742</v>
      </c>
    </row>
    <row r="18">
      <c r="A18" s="12" t="s">
        <v>671</v>
      </c>
      <c r="B18" s="12" t="s">
        <v>1743</v>
      </c>
      <c r="C18" s="12" t="s">
        <v>1744</v>
      </c>
      <c r="D18" s="12" t="s">
        <v>1745</v>
      </c>
    </row>
    <row r="19">
      <c r="A19" s="17" t="s">
        <v>671</v>
      </c>
      <c r="B19" s="17" t="s">
        <v>1747</v>
      </c>
      <c r="C19" s="17" t="s">
        <v>1748</v>
      </c>
      <c r="D19" s="17" t="s">
        <v>1749</v>
      </c>
    </row>
    <row r="20">
      <c r="A20" s="12" t="s">
        <v>1750</v>
      </c>
      <c r="B20" s="12" t="s">
        <v>1751</v>
      </c>
      <c r="C20" s="12" t="s">
        <v>1752</v>
      </c>
      <c r="D20" s="12" t="s">
        <v>1753</v>
      </c>
    </row>
    <row r="21" ht="15.75" customHeight="1">
      <c r="A21" s="17" t="s">
        <v>1750</v>
      </c>
      <c r="B21" s="17" t="s">
        <v>1755</v>
      </c>
      <c r="C21" s="17" t="s">
        <v>1756</v>
      </c>
      <c r="D21" s="17" t="s">
        <v>1757</v>
      </c>
    </row>
    <row r="22" ht="15.75" customHeight="1">
      <c r="A22" s="12" t="s">
        <v>1750</v>
      </c>
      <c r="B22" s="12" t="s">
        <v>1758</v>
      </c>
      <c r="C22" s="12" t="s">
        <v>1759</v>
      </c>
      <c r="D22" s="12" t="s">
        <v>1761</v>
      </c>
    </row>
    <row r="23" ht="15.75" customHeight="1">
      <c r="A23" s="17" t="s">
        <v>1750</v>
      </c>
      <c r="B23" s="17" t="s">
        <v>1762</v>
      </c>
      <c r="C23" s="17" t="s">
        <v>1763</v>
      </c>
      <c r="D23" s="17" t="s">
        <v>1764</v>
      </c>
    </row>
    <row r="24" ht="15.75" customHeight="1">
      <c r="A24" s="12" t="s">
        <v>1767</v>
      </c>
      <c r="B24" s="12" t="s">
        <v>1768</v>
      </c>
      <c r="C24" s="12" t="s">
        <v>1770</v>
      </c>
      <c r="D24" s="12" t="s">
        <v>1771</v>
      </c>
    </row>
    <row r="25" ht="15.75" customHeight="1">
      <c r="A25" s="17" t="s">
        <v>1767</v>
      </c>
      <c r="B25" s="17" t="s">
        <v>1774</v>
      </c>
      <c r="C25" s="17" t="s">
        <v>1775</v>
      </c>
      <c r="D25" s="17" t="s">
        <v>1776</v>
      </c>
    </row>
    <row r="26" ht="15.75" customHeight="1">
      <c r="A26" s="12" t="s">
        <v>1777</v>
      </c>
      <c r="B26" s="12" t="s">
        <v>1778</v>
      </c>
      <c r="C26" s="12" t="s">
        <v>1779</v>
      </c>
      <c r="D26" s="12" t="s">
        <v>1781</v>
      </c>
    </row>
    <row r="27" ht="15.75" customHeight="1">
      <c r="A27" s="17" t="s">
        <v>1782</v>
      </c>
      <c r="B27" s="17" t="s">
        <v>1783</v>
      </c>
      <c r="C27" s="17" t="s">
        <v>1785</v>
      </c>
      <c r="D27" s="17" t="s">
        <v>1786</v>
      </c>
    </row>
    <row r="28" ht="15.75" customHeight="1">
      <c r="A28" s="61" t="s">
        <v>1787</v>
      </c>
      <c r="B28" s="61" t="s">
        <v>1788</v>
      </c>
      <c r="C28" s="61" t="s">
        <v>1789</v>
      </c>
      <c r="D28" s="61" t="s">
        <v>1790</v>
      </c>
    </row>
    <row r="29" ht="15.75" customHeight="1"/>
    <row r="30" ht="15.75" customHeight="1">
      <c r="F30" s="68" t="s">
        <v>1791</v>
      </c>
    </row>
    <row r="31" ht="27.75" customHeight="1">
      <c r="F31" s="69" t="s">
        <v>1793</v>
      </c>
      <c r="G31" s="25"/>
      <c r="H31" s="25"/>
      <c r="I31" s="25"/>
      <c r="J31" s="25"/>
      <c r="K31" s="26"/>
    </row>
    <row r="32" ht="37.5" customHeight="1">
      <c r="F32" s="70" t="s">
        <v>1795</v>
      </c>
      <c r="G32" s="28"/>
      <c r="H32" s="29"/>
    </row>
    <row r="33" ht="37.5" customHeight="1">
      <c r="F33" s="71"/>
      <c r="H33" s="72"/>
    </row>
    <row r="34" ht="37.5" customHeight="1">
      <c r="F34" s="32"/>
      <c r="G34" s="33"/>
      <c r="H34" s="34"/>
    </row>
    <row r="35" ht="37.5" customHeight="1">
      <c r="I35" s="73" t="s">
        <v>1796</v>
      </c>
      <c r="J35" s="28"/>
      <c r="K35" s="29"/>
    </row>
    <row r="36" ht="37.5" customHeight="1">
      <c r="I36" s="71"/>
      <c r="K36" s="72"/>
    </row>
    <row r="37" ht="37.5" customHeight="1">
      <c r="I37" s="32"/>
      <c r="J37" s="33"/>
      <c r="K37" s="34"/>
    </row>
    <row r="38" ht="27.75" customHeight="1">
      <c r="F38" s="74" t="s">
        <v>1798</v>
      </c>
      <c r="G38" s="25"/>
      <c r="H38" s="25"/>
      <c r="I38" s="25"/>
      <c r="J38" s="25"/>
      <c r="K38" s="26"/>
    </row>
    <row r="39" ht="37.5" customHeight="1">
      <c r="F39" s="75" t="s">
        <v>1800</v>
      </c>
      <c r="G39" s="28"/>
      <c r="H39" s="28"/>
      <c r="I39" s="28"/>
      <c r="J39" s="28"/>
      <c r="K39" s="29"/>
    </row>
    <row r="40" ht="37.5" customHeight="1">
      <c r="F40" s="32"/>
      <c r="G40" s="33"/>
      <c r="H40" s="33"/>
      <c r="I40" s="33"/>
      <c r="J40" s="33"/>
      <c r="K40" s="34"/>
    </row>
    <row r="41" ht="37.5" customHeight="1">
      <c r="F41" s="76" t="s">
        <v>1802</v>
      </c>
      <c r="G41" s="28"/>
      <c r="H41" s="29"/>
    </row>
    <row r="42" ht="37.5" customHeight="1">
      <c r="F42" s="32"/>
      <c r="G42" s="33"/>
      <c r="H42" s="34"/>
    </row>
    <row r="43" ht="37.5" customHeight="1">
      <c r="I43" s="77" t="s">
        <v>1803</v>
      </c>
      <c r="J43" s="28"/>
      <c r="K43" s="29"/>
    </row>
    <row r="44" ht="37.5" customHeight="1">
      <c r="I44" s="32"/>
      <c r="J44" s="33"/>
      <c r="K44" s="34"/>
    </row>
    <row r="45" ht="37.5" customHeight="1">
      <c r="F45" s="78" t="s">
        <v>1804</v>
      </c>
      <c r="G45" s="28"/>
      <c r="H45" s="28"/>
      <c r="I45" s="28"/>
      <c r="J45" s="28"/>
      <c r="K45" s="29"/>
    </row>
    <row r="46" ht="37.5" customHeight="1">
      <c r="F46" s="32"/>
      <c r="G46" s="33"/>
      <c r="H46" s="33"/>
      <c r="I46" s="33"/>
      <c r="J46" s="33"/>
      <c r="K46" s="34"/>
    </row>
    <row r="47" ht="27.75" customHeight="1">
      <c r="F47" s="79" t="s">
        <v>1805</v>
      </c>
      <c r="G47" s="25"/>
      <c r="H47" s="25"/>
      <c r="I47" s="25"/>
      <c r="J47" s="25"/>
      <c r="K47" s="2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39:K40"/>
    <mergeCell ref="F41:H42"/>
    <mergeCell ref="I43:K44"/>
    <mergeCell ref="F45:K46"/>
    <mergeCell ref="F47:K47"/>
    <mergeCell ref="A1:D1"/>
    <mergeCell ref="A2:D2"/>
    <mergeCell ref="F30:K30"/>
    <mergeCell ref="F31:K31"/>
    <mergeCell ref="F32:H34"/>
    <mergeCell ref="I35:K37"/>
    <mergeCell ref="F38:K38"/>
  </mergeCells>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0.0"/>
    <col customWidth="1" min="3" max="3" width="20.0"/>
    <col customWidth="1" min="4" max="4" width="42.0"/>
    <col customWidth="1" min="5" max="5" width="70.0"/>
    <col customWidth="1" min="6" max="6" width="58.0"/>
    <col customWidth="1" min="7" max="7" width="24.0"/>
    <col customWidth="1" min="8" max="8" width="18.0"/>
    <col customWidth="1" min="9" max="26" width="8.63"/>
  </cols>
  <sheetData>
    <row r="1" ht="33.75" customHeight="1">
      <c r="A1" s="1" t="s">
        <v>1812</v>
      </c>
    </row>
    <row r="2" ht="31.5" customHeight="1">
      <c r="A2" s="2" t="s">
        <v>1813</v>
      </c>
    </row>
    <row r="3">
      <c r="A3" s="3"/>
      <c r="B3" s="3"/>
      <c r="C3" s="3"/>
      <c r="D3" s="3"/>
      <c r="E3" s="3"/>
      <c r="F3" s="3"/>
      <c r="G3" s="3"/>
      <c r="H3" s="3"/>
    </row>
    <row r="4" ht="30.0" customHeight="1">
      <c r="A4" s="4" t="s">
        <v>1814</v>
      </c>
      <c r="B4" s="5" t="s">
        <v>455</v>
      </c>
      <c r="C4" s="5" t="s">
        <v>1816</v>
      </c>
      <c r="D4" s="5" t="s">
        <v>1817</v>
      </c>
      <c r="E4" s="5" t="s">
        <v>1818</v>
      </c>
      <c r="F4" s="5" t="s">
        <v>1819</v>
      </c>
      <c r="G4" s="5" t="s">
        <v>1820</v>
      </c>
      <c r="H4" s="6" t="s">
        <v>267</v>
      </c>
    </row>
    <row r="5">
      <c r="A5" s="7">
        <v>1.0</v>
      </c>
      <c r="B5" s="7" t="s">
        <v>463</v>
      </c>
      <c r="C5" s="7" t="s">
        <v>1821</v>
      </c>
      <c r="D5" s="7" t="s">
        <v>1822</v>
      </c>
      <c r="E5" s="7" t="s">
        <v>1823</v>
      </c>
      <c r="F5" s="7" t="s">
        <v>1824</v>
      </c>
      <c r="G5" s="7" t="s">
        <v>1825</v>
      </c>
      <c r="H5" s="7" t="s">
        <v>1829</v>
      </c>
    </row>
    <row r="6">
      <c r="A6" s="12">
        <v>1.0</v>
      </c>
      <c r="B6" s="12" t="s">
        <v>463</v>
      </c>
      <c r="C6" s="12" t="s">
        <v>1830</v>
      </c>
      <c r="D6" s="12" t="s">
        <v>1832</v>
      </c>
      <c r="E6" s="12" t="s">
        <v>1833</v>
      </c>
      <c r="F6" s="12" t="s">
        <v>1834</v>
      </c>
      <c r="G6" s="12" t="s">
        <v>1836</v>
      </c>
      <c r="H6" s="12" t="s">
        <v>1829</v>
      </c>
    </row>
    <row r="7">
      <c r="A7" s="17">
        <v>1.0</v>
      </c>
      <c r="B7" s="17" t="s">
        <v>463</v>
      </c>
      <c r="C7" s="17" t="s">
        <v>1838</v>
      </c>
      <c r="D7" s="17" t="s">
        <v>1839</v>
      </c>
      <c r="E7" s="17" t="s">
        <v>1841</v>
      </c>
      <c r="F7" s="17" t="s">
        <v>1842</v>
      </c>
      <c r="G7" s="17" t="s">
        <v>1843</v>
      </c>
      <c r="H7" s="17" t="s">
        <v>1829</v>
      </c>
    </row>
    <row r="8">
      <c r="A8" s="12">
        <v>1.0</v>
      </c>
      <c r="B8" s="12" t="s">
        <v>463</v>
      </c>
      <c r="C8" s="12" t="s">
        <v>1847</v>
      </c>
      <c r="D8" s="12" t="s">
        <v>1849</v>
      </c>
      <c r="E8" s="12" t="s">
        <v>1850</v>
      </c>
      <c r="F8" s="12" t="s">
        <v>1851</v>
      </c>
      <c r="G8" s="12" t="s">
        <v>1853</v>
      </c>
      <c r="H8" s="12" t="s">
        <v>1829</v>
      </c>
    </row>
    <row r="9">
      <c r="A9" s="17">
        <v>2.0</v>
      </c>
      <c r="B9" s="17" t="s">
        <v>463</v>
      </c>
      <c r="C9" s="17" t="s">
        <v>10</v>
      </c>
      <c r="D9" s="17" t="s">
        <v>1855</v>
      </c>
      <c r="E9" s="17" t="s">
        <v>1856</v>
      </c>
      <c r="F9" s="17" t="s">
        <v>1857</v>
      </c>
      <c r="G9" s="17" t="s">
        <v>1859</v>
      </c>
      <c r="H9" s="17" t="s">
        <v>1829</v>
      </c>
    </row>
    <row r="10">
      <c r="A10" s="12">
        <v>2.0</v>
      </c>
      <c r="B10" s="12" t="s">
        <v>463</v>
      </c>
      <c r="C10" s="12" t="s">
        <v>43</v>
      </c>
      <c r="D10" s="12" t="s">
        <v>1862</v>
      </c>
      <c r="E10" s="12" t="s">
        <v>1863</v>
      </c>
      <c r="F10" s="12" t="s">
        <v>1865</v>
      </c>
      <c r="G10" s="12" t="s">
        <v>1867</v>
      </c>
      <c r="H10" s="12" t="s">
        <v>1829</v>
      </c>
    </row>
    <row r="11">
      <c r="A11" s="17">
        <v>3.0</v>
      </c>
      <c r="B11" s="17" t="s">
        <v>473</v>
      </c>
      <c r="C11" s="17" t="s">
        <v>1869</v>
      </c>
      <c r="D11" s="17" t="s">
        <v>1870</v>
      </c>
      <c r="E11" s="17" t="s">
        <v>1871</v>
      </c>
      <c r="F11" s="17" t="s">
        <v>1873</v>
      </c>
      <c r="G11" s="17" t="s">
        <v>1874</v>
      </c>
      <c r="H11" s="17" t="s">
        <v>1829</v>
      </c>
    </row>
    <row r="12">
      <c r="A12" s="12">
        <v>4.0</v>
      </c>
      <c r="B12" s="12" t="s">
        <v>473</v>
      </c>
      <c r="C12" s="12" t="s">
        <v>1876</v>
      </c>
      <c r="D12" s="12" t="s">
        <v>1878</v>
      </c>
      <c r="E12" s="12" t="s">
        <v>1879</v>
      </c>
      <c r="F12" s="12" t="s">
        <v>1881</v>
      </c>
      <c r="G12" s="12" t="s">
        <v>1882</v>
      </c>
      <c r="H12" s="12" t="s">
        <v>1829</v>
      </c>
    </row>
    <row r="13">
      <c r="A13" s="17">
        <v>5.0</v>
      </c>
      <c r="B13" s="17" t="s">
        <v>473</v>
      </c>
      <c r="C13" s="17" t="s">
        <v>1886</v>
      </c>
      <c r="D13" s="17" t="s">
        <v>1888</v>
      </c>
      <c r="E13" s="17" t="s">
        <v>1890</v>
      </c>
      <c r="F13" s="17" t="s">
        <v>1891</v>
      </c>
      <c r="G13" s="17" t="s">
        <v>1836</v>
      </c>
      <c r="H13" s="17" t="s">
        <v>1829</v>
      </c>
    </row>
    <row r="14">
      <c r="A14" s="12">
        <v>6.0</v>
      </c>
      <c r="B14" s="12" t="s">
        <v>473</v>
      </c>
      <c r="C14" s="12" t="s">
        <v>1893</v>
      </c>
      <c r="D14" s="12" t="s">
        <v>1895</v>
      </c>
      <c r="E14" s="12" t="s">
        <v>1897</v>
      </c>
      <c r="F14" s="12" t="s">
        <v>1898</v>
      </c>
      <c r="G14" s="12" t="s">
        <v>1820</v>
      </c>
      <c r="H14" s="12" t="s">
        <v>1829</v>
      </c>
    </row>
    <row r="15">
      <c r="A15" s="17">
        <v>7.0</v>
      </c>
      <c r="B15" s="17" t="s">
        <v>473</v>
      </c>
      <c r="C15" s="17" t="s">
        <v>1874</v>
      </c>
      <c r="D15" s="17" t="s">
        <v>1904</v>
      </c>
      <c r="E15" s="17" t="s">
        <v>1907</v>
      </c>
      <c r="F15" s="17" t="s">
        <v>1909</v>
      </c>
      <c r="G15" s="17" t="s">
        <v>1910</v>
      </c>
      <c r="H15" s="17" t="s">
        <v>1829</v>
      </c>
    </row>
    <row r="16">
      <c r="A16" s="12">
        <v>8.0</v>
      </c>
      <c r="B16" s="12" t="s">
        <v>473</v>
      </c>
      <c r="C16" s="12" t="s">
        <v>291</v>
      </c>
      <c r="D16" s="12" t="s">
        <v>1918</v>
      </c>
      <c r="E16" s="12" t="s">
        <v>1920</v>
      </c>
      <c r="F16" s="12" t="s">
        <v>1922</v>
      </c>
      <c r="G16" s="12" t="s">
        <v>1859</v>
      </c>
      <c r="H16" s="12" t="s">
        <v>1829</v>
      </c>
    </row>
    <row r="17">
      <c r="A17" s="17">
        <v>9.0</v>
      </c>
      <c r="B17" s="17" t="s">
        <v>501</v>
      </c>
      <c r="C17" s="17" t="s">
        <v>1924</v>
      </c>
      <c r="D17" s="17" t="s">
        <v>1925</v>
      </c>
      <c r="E17" s="17" t="s">
        <v>1927</v>
      </c>
      <c r="F17" s="17" t="s">
        <v>1928</v>
      </c>
      <c r="G17" s="17" t="s">
        <v>1836</v>
      </c>
      <c r="H17" s="17" t="s">
        <v>1829</v>
      </c>
    </row>
    <row r="18">
      <c r="A18" s="12">
        <v>10.0</v>
      </c>
      <c r="B18" s="12" t="s">
        <v>473</v>
      </c>
      <c r="C18" s="12" t="s">
        <v>1787</v>
      </c>
      <c r="D18" s="12" t="s">
        <v>1931</v>
      </c>
      <c r="E18" s="12" t="s">
        <v>1932</v>
      </c>
      <c r="F18" s="12" t="s">
        <v>1934</v>
      </c>
      <c r="G18" s="12" t="s">
        <v>1936</v>
      </c>
      <c r="H18" s="12" t="s">
        <v>1829</v>
      </c>
    </row>
    <row r="19">
      <c r="A19" s="80">
        <v>12.0</v>
      </c>
      <c r="B19" s="80" t="s">
        <v>473</v>
      </c>
      <c r="C19" s="80" t="s">
        <v>1938</v>
      </c>
      <c r="D19" s="80" t="s">
        <v>1939</v>
      </c>
      <c r="E19" s="80" t="s">
        <v>1940</v>
      </c>
      <c r="F19" s="80" t="s">
        <v>1941</v>
      </c>
      <c r="G19" s="80" t="s">
        <v>1942</v>
      </c>
      <c r="H19" s="80" t="s">
        <v>1829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conditionalFormatting sqref="B5:B19">
    <cfRule type="containsText" dxfId="5" priority="1" operator="containsText" text="P0">
      <formula>NOT(ISERROR(SEARCH(("P0"),(B5))))</formula>
    </cfRule>
  </conditionalFormatting>
  <conditionalFormatting sqref="B5:B19">
    <cfRule type="containsText" dxfId="6" priority="2" operator="containsText" text="P1">
      <formula>NOT(ISERROR(SEARCH(("P1"),(B5))))</formula>
    </cfRule>
  </conditionalFormatting>
  <conditionalFormatting sqref="B5:B19">
    <cfRule type="containsText" dxfId="7" priority="3" operator="containsText" text="P2">
      <formula>NOT(ISERROR(SEARCH(("P2"),(B5))))</formula>
    </cfRule>
  </conditionalFormatting>
  <dataValidations>
    <dataValidation type="list" allowBlank="1" sqref="H5:H19">
      <formula1>"Not started,In progress,Blocked,Done"</formula1>
    </dataValidation>
  </dataValidations>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80.0"/>
    <col customWidth="1" min="3" max="3" width="24.0"/>
    <col customWidth="1" min="4" max="4" width="80.0"/>
    <col customWidth="1" min="5" max="26" width="8.63"/>
  </cols>
  <sheetData>
    <row r="1" ht="33.75" customHeight="1">
      <c r="A1" s="53" t="s">
        <v>1826</v>
      </c>
    </row>
    <row r="2" ht="31.5" customHeight="1">
      <c r="A2" s="54" t="s">
        <v>1827</v>
      </c>
    </row>
    <row r="4" ht="30.0" customHeight="1">
      <c r="A4" s="55" t="s">
        <v>1828</v>
      </c>
      <c r="B4" s="56" t="s">
        <v>1831</v>
      </c>
      <c r="C4" s="56" t="s">
        <v>1835</v>
      </c>
      <c r="D4" s="57" t="s">
        <v>1837</v>
      </c>
    </row>
    <row r="5">
      <c r="A5" s="7" t="s">
        <v>1840</v>
      </c>
      <c r="B5" s="7" t="s">
        <v>1844</v>
      </c>
      <c r="C5" s="7" t="s">
        <v>1846</v>
      </c>
      <c r="D5" s="7" t="s">
        <v>1848</v>
      </c>
    </row>
    <row r="6">
      <c r="A6" s="12" t="s">
        <v>1852</v>
      </c>
      <c r="B6" s="12" t="s">
        <v>40</v>
      </c>
      <c r="C6" s="12" t="s">
        <v>1858</v>
      </c>
      <c r="D6" s="12" t="s">
        <v>1860</v>
      </c>
    </row>
    <row r="7">
      <c r="A7" s="17" t="s">
        <v>1548</v>
      </c>
      <c r="B7" s="17" t="s">
        <v>1549</v>
      </c>
      <c r="C7" s="17" t="s">
        <v>1858</v>
      </c>
      <c r="D7" s="17" t="s">
        <v>1861</v>
      </c>
    </row>
    <row r="8">
      <c r="A8" s="12" t="s">
        <v>1864</v>
      </c>
      <c r="B8" s="12" t="s">
        <v>1866</v>
      </c>
      <c r="C8" s="12" t="s">
        <v>1858</v>
      </c>
      <c r="D8" s="12" t="s">
        <v>1868</v>
      </c>
    </row>
    <row r="9">
      <c r="A9" s="17" t="s">
        <v>1556</v>
      </c>
      <c r="B9" s="17" t="s">
        <v>1557</v>
      </c>
      <c r="C9" s="17" t="s">
        <v>1858</v>
      </c>
      <c r="D9" s="17" t="s">
        <v>1872</v>
      </c>
    </row>
    <row r="10">
      <c r="A10" s="12" t="s">
        <v>118</v>
      </c>
      <c r="B10" s="12" t="s">
        <v>1561</v>
      </c>
      <c r="C10" s="12" t="s">
        <v>1858</v>
      </c>
      <c r="D10" s="12" t="s">
        <v>120</v>
      </c>
    </row>
    <row r="11">
      <c r="A11" s="17" t="s">
        <v>1875</v>
      </c>
      <c r="B11" s="17" t="s">
        <v>1877</v>
      </c>
      <c r="C11" s="17" t="s">
        <v>1858</v>
      </c>
      <c r="D11" s="17" t="s">
        <v>1880</v>
      </c>
    </row>
    <row r="12">
      <c r="A12" s="12" t="s">
        <v>1883</v>
      </c>
      <c r="B12" s="12" t="s">
        <v>1884</v>
      </c>
      <c r="C12" s="12" t="s">
        <v>1858</v>
      </c>
      <c r="D12" s="12" t="s">
        <v>1885</v>
      </c>
    </row>
    <row r="13">
      <c r="A13" s="17" t="s">
        <v>1887</v>
      </c>
      <c r="B13" s="17" t="s">
        <v>1889</v>
      </c>
      <c r="C13" s="17" t="s">
        <v>1858</v>
      </c>
      <c r="D13" s="17" t="s">
        <v>1892</v>
      </c>
    </row>
    <row r="14">
      <c r="A14" s="12" t="s">
        <v>1894</v>
      </c>
      <c r="B14" s="12" t="s">
        <v>1896</v>
      </c>
      <c r="C14" s="12" t="s">
        <v>1858</v>
      </c>
      <c r="D14" s="12" t="s">
        <v>1899</v>
      </c>
    </row>
    <row r="15">
      <c r="A15" s="17" t="s">
        <v>1900</v>
      </c>
      <c r="B15" s="17" t="s">
        <v>1901</v>
      </c>
      <c r="C15" s="17" t="s">
        <v>1858</v>
      </c>
      <c r="D15" s="17" t="s">
        <v>1902</v>
      </c>
    </row>
    <row r="16">
      <c r="A16" s="12" t="s">
        <v>1903</v>
      </c>
      <c r="B16" s="12" t="s">
        <v>1905</v>
      </c>
      <c r="C16" s="12" t="s">
        <v>1858</v>
      </c>
      <c r="D16" s="12" t="s">
        <v>1908</v>
      </c>
    </row>
    <row r="17">
      <c r="A17" s="17" t="s">
        <v>1911</v>
      </c>
      <c r="B17" s="17" t="s">
        <v>1913</v>
      </c>
      <c r="C17" s="17" t="s">
        <v>1858</v>
      </c>
      <c r="D17" s="17" t="s">
        <v>1914</v>
      </c>
    </row>
    <row r="18">
      <c r="A18" s="12" t="s">
        <v>1915</v>
      </c>
      <c r="B18" s="12" t="s">
        <v>1916</v>
      </c>
      <c r="C18" s="12" t="s">
        <v>1917</v>
      </c>
      <c r="D18" s="12" t="s">
        <v>1919</v>
      </c>
    </row>
    <row r="19">
      <c r="A19" s="17" t="s">
        <v>1921</v>
      </c>
      <c r="B19" s="17" t="s">
        <v>1621</v>
      </c>
      <c r="C19" s="17" t="s">
        <v>1858</v>
      </c>
      <c r="D19" s="17" t="s">
        <v>1622</v>
      </c>
    </row>
    <row r="20">
      <c r="A20" s="12" t="s">
        <v>1923</v>
      </c>
      <c r="B20" s="12" t="s">
        <v>1627</v>
      </c>
      <c r="C20" s="12" t="s">
        <v>1858</v>
      </c>
      <c r="D20" s="12" t="s">
        <v>1628</v>
      </c>
    </row>
    <row r="21" ht="15.75" customHeight="1">
      <c r="A21" s="17" t="s">
        <v>1926</v>
      </c>
      <c r="B21" s="17" t="s">
        <v>1633</v>
      </c>
      <c r="C21" s="17" t="s">
        <v>1858</v>
      </c>
      <c r="D21" s="17" t="s">
        <v>1634</v>
      </c>
    </row>
    <row r="22" ht="15.75" customHeight="1">
      <c r="A22" s="12" t="s">
        <v>1929</v>
      </c>
      <c r="B22" s="12" t="s">
        <v>1637</v>
      </c>
      <c r="C22" s="12" t="s">
        <v>1858</v>
      </c>
      <c r="D22" s="12" t="s">
        <v>1639</v>
      </c>
    </row>
    <row r="23" ht="15.75" customHeight="1">
      <c r="A23" s="17" t="s">
        <v>1933</v>
      </c>
      <c r="B23" s="17" t="s">
        <v>1643</v>
      </c>
      <c r="C23" s="17" t="s">
        <v>1858</v>
      </c>
      <c r="D23" s="17" t="s">
        <v>1644</v>
      </c>
    </row>
    <row r="24" ht="15.75" customHeight="1">
      <c r="A24" s="61" t="s">
        <v>1937</v>
      </c>
      <c r="B24" s="61" t="s">
        <v>1648</v>
      </c>
      <c r="C24" s="61" t="s">
        <v>1858</v>
      </c>
      <c r="D24" s="61" t="s">
        <v>1649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tableParts count="1">
    <tablePart r:id="rId3"/>
  </tableParts>
</worksheet>
</file>