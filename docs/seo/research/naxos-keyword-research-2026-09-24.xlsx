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f6b5eb4b3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732647958b24cdd"/>
    <x:sheet xmlns:r="http://schemas.openxmlformats.org/officeDocument/2006/relationships" name="Market Priorities" sheetId="2" r:id="R50ef44ce2d56464b"/>
    <x:sheet xmlns:r="http://schemas.openxmlformats.org/officeDocument/2006/relationships" name="Keyword Universe" sheetId="3" r:id="R033b19c4a1d64edb"/>
    <x:sheet xmlns:r="http://schemas.openxmlformats.org/officeDocument/2006/relationships" name="Clusters &amp; Page Map" sheetId="4" r:id="Rb927f6c440ac499e"/>
    <x:sheet xmlns:r="http://schemas.openxmlformats.org/officeDocument/2006/relationships" name="Existing Opportunities" sheetId="5" r:id="R671cfdcb19334dc4"/>
    <x:sheet xmlns:r="http://schemas.openxmlformats.org/officeDocument/2006/relationships" name="Competitors" sheetId="6" r:id="R44d898c75ccc4ccd"/>
    <x:sheet xmlns:r="http://schemas.openxmlformats.org/officeDocument/2006/relationships" name="Competitor Gaps" sheetId="7" r:id="Rcf145870196848f7"/>
    <x:sheet xmlns:r="http://schemas.openxmlformats.org/officeDocument/2006/relationships" name="SERP Samples" sheetId="8" r:id="R2efcd6cb3e144909"/>
    <x:sheet xmlns:r="http://schemas.openxmlformats.org/officeDocument/2006/relationships" name="Questions &amp; PAA" sheetId="9" r:id="R9a4d2311e5df42d8"/>
    <x:sheet xmlns:r="http://schemas.openxmlformats.org/officeDocument/2006/relationships" name="Fanout Matrix" sheetId="10" r:id="R7c52343506744aee"/>
    <x:sheet xmlns:r="http://schemas.openxmlformats.org/officeDocument/2006/relationships" name="AI Visibility" sheetId="11" r:id="R8d1053c7116e4eaf"/>
    <x:sheet xmlns:r="http://schemas.openxmlformats.org/officeDocument/2006/relationships" name="Citation Opportunities" sheetId="12" r:id="R2b1a4d2c06f34a40"/>
    <x:sheet xmlns:r="http://schemas.openxmlformats.org/officeDocument/2006/relationships" name="Content Roadmap" sheetId="13" r:id="Re909f116d9b847fb"/>
    <x:sheet xmlns:r="http://schemas.openxmlformats.org/officeDocument/2006/relationships" name="Content Briefs" sheetId="14" r:id="Rbd9b3fa5bd564a3e"/>
    <x:sheet xmlns:r="http://schemas.openxmlformats.org/officeDocument/2006/relationships" name="Internal Links" sheetId="15" r:id="Rb82835e88fbd4720"/>
    <x:sheet xmlns:r="http://schemas.openxmlformats.org/officeDocument/2006/relationships" name="Launch Rankings" sheetId="16" r:id="R4af4880926ee4457"/>
    <x:sheet xmlns:r="http://schemas.openxmlformats.org/officeDocument/2006/relationships" name="90-Day Plan" sheetId="17" r:id="R73b2d01ab2e747a6"/>
    <x:sheet xmlns:r="http://schemas.openxmlformats.org/officeDocument/2006/relationships" name="12M Forecast" sheetId="18" r:id="R04529cdea0864300"/>
    <x:sheet xmlns:r="http://schemas.openxmlformats.org/officeDocument/2006/relationships" name="Technical Dependencies" sheetId="19" r:id="Reaa932e7289b4b56"/>
    <x:sheet xmlns:r="http://schemas.openxmlformats.org/officeDocument/2006/relationships" name="Sources" sheetId="20" r:id="R2238a71fae574dd5"/>
    <x:sheet xmlns:r="http://schemas.openxmlformats.org/officeDocument/2006/relationships" name="Excluded Candidates" sheetId="21" r:id="R898613f9ca9f4753"/>
    <x:sheet xmlns:r="http://schemas.openxmlformats.org/officeDocument/2006/relationships" name="Seasonality" sheetId="22" r:id="Ra7984d93b0eb4707"/>
    <x:sheet xmlns:r="http://schemas.openxmlformats.org/officeDocument/2006/relationships" name="Scoring Inputs" sheetId="23" r:id="R823364375e8942dc"/>
    <x:sheet xmlns:r="http://schemas.openxmlformats.org/officeDocument/2006/relationships" name="Historic GSC Queries" sheetId="24" r:id="R35b6c0f46abd46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0.00%"/>
    <x:numFmt numFmtId="203" formatCode="0%"/>
    <x:numFmt numFmtId="204" formatCode="0.0"/>
  </x:numFmts>
  <x:fonts count="7">
    <x:font>
      <x:sz val="11"/>
      <x:name val="Carlito"/>
    </x:font>
    <x:font>
      <x:sz val="11"/>
      <x:color rgb="FF253B30"/>
      <x:name val="Arial"/>
    </x:font>
    <x:font>
      <x:b/>
      <x:sz val="20"/>
      <x:color rgb="FF253B30"/>
      <x:name val="Arial"/>
    </x:font>
    <x:font>
      <x:sz val="10"/>
      <x:color rgb="FF5B655F"/>
      <x:name val="Arial"/>
    </x:font>
    <x:font>
      <x:b/>
      <x:sz val="11"/>
      <x:color rgb="FFFFFFFF"/>
      <x:name val="Arial"/>
    </x:font>
    <x:font>
      <x:sz val="10"/>
      <x:color rgb="FF205D85"/>
      <x:name val="Arial"/>
    </x:font>
    <x:font>
      <x:sz val="11"/>
      <x:color rgb="FF245D9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04D40"/>
      </x:patternFill>
    </x:fill>
    <x:fill>
      <x:patternFill patternType="solid">
        <x:fgColor rgb="FFFFFFFF"/>
      </x:patternFill>
    </x:fill>
    <x:fill>
      <x:patternFill patternType="solid">
        <x:fgColor rgb="FFF1F4EF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3" borderId="0" xfId="0" applyNumberFormat="1" applyFont="1" applyFill="1" applyBorder="1" applyAlignment="1">
      <x:alignment vertical="top" wrapText="1"/>
    </x:xf>
    <x:xf numFmtId="203" fontId="1" fillId="4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  <x:xf numFmtId="204" fontId="1" fillId="4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5"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  <x:dxf>
      <x:font>
        <x:color rgb="FF815B15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ff8fe9209e4ec0" /><Relationship Type="http://schemas.openxmlformats.org/officeDocument/2006/relationships/theme" Target="/xl/theme/theme1.xml" Id="Rf7735c0b699c4c88" /><Relationship Type="http://schemas.microsoft.com/office/2022/11/relationships/FeaturePropertyBag" Target="/xl/featurePropertyBag/featurePropertyBag.xml" Id="R6b9319f12e1b4c8f" /><Relationship Type="http://schemas.openxmlformats.org/officeDocument/2006/relationships/sharedStrings" Target="/xl/sharedStrings.xml" Id="R771010eb94a140f4" /><Relationship Type="http://schemas.openxmlformats.org/officeDocument/2006/relationships/worksheet" Target="/xl/worksheets/sheet1.xml" Id="R3732647958b24cdd" /><Relationship Type="http://schemas.openxmlformats.org/officeDocument/2006/relationships/worksheet" Target="/xl/worksheets/sheet2.xml" Id="R50ef44ce2d56464b" /><Relationship Type="http://schemas.openxmlformats.org/officeDocument/2006/relationships/worksheet" Target="/xl/worksheets/sheet3.xml" Id="R033b19c4a1d64edb" /><Relationship Type="http://schemas.openxmlformats.org/officeDocument/2006/relationships/worksheet" Target="/xl/worksheets/sheet4.xml" Id="Rb927f6c440ac499e" /><Relationship Type="http://schemas.openxmlformats.org/officeDocument/2006/relationships/worksheet" Target="/xl/worksheets/sheet5.xml" Id="R671cfdcb19334dc4" /><Relationship Type="http://schemas.openxmlformats.org/officeDocument/2006/relationships/worksheet" Target="/xl/worksheets/sheet6.xml" Id="R44d898c75ccc4ccd" /><Relationship Type="http://schemas.openxmlformats.org/officeDocument/2006/relationships/worksheet" Target="/xl/worksheets/sheet7.xml" Id="Rcf145870196848f7" /><Relationship Type="http://schemas.openxmlformats.org/officeDocument/2006/relationships/worksheet" Target="/xl/worksheets/sheet8.xml" Id="R2efcd6cb3e144909" /><Relationship Type="http://schemas.openxmlformats.org/officeDocument/2006/relationships/worksheet" Target="/xl/worksheets/sheet9.xml" Id="R9a4d2311e5df42d8" /><Relationship Type="http://schemas.openxmlformats.org/officeDocument/2006/relationships/worksheet" Target="/xl/worksheets/sheet10.xml" Id="R7c52343506744aee" /><Relationship Type="http://schemas.openxmlformats.org/officeDocument/2006/relationships/worksheet" Target="/xl/worksheets/sheet11.xml" Id="R8d1053c7116e4eaf" /><Relationship Type="http://schemas.openxmlformats.org/officeDocument/2006/relationships/worksheet" Target="/xl/worksheets/sheet12.xml" Id="R2b1a4d2c06f34a40" /><Relationship Type="http://schemas.openxmlformats.org/officeDocument/2006/relationships/worksheet" Target="/xl/worksheets/sheet13.xml" Id="Re909f116d9b847fb" /><Relationship Type="http://schemas.openxmlformats.org/officeDocument/2006/relationships/worksheet" Target="/xl/worksheets/sheet14.xml" Id="Rbd9b3fa5bd564a3e" /><Relationship Type="http://schemas.openxmlformats.org/officeDocument/2006/relationships/worksheet" Target="/xl/worksheets/sheet15.xml" Id="Rb82835e88fbd4720" /><Relationship Type="http://schemas.openxmlformats.org/officeDocument/2006/relationships/worksheet" Target="/xl/worksheets/sheet16.xml" Id="R4af4880926ee4457" /><Relationship Type="http://schemas.openxmlformats.org/officeDocument/2006/relationships/worksheet" Target="/xl/worksheets/sheet17.xml" Id="R73b2d01ab2e747a6" /><Relationship Type="http://schemas.openxmlformats.org/officeDocument/2006/relationships/worksheet" Target="/xl/worksheets/sheet18.xml" Id="R04529cdea0864300" /><Relationship Type="http://schemas.openxmlformats.org/officeDocument/2006/relationships/worksheet" Target="/xl/worksheets/sheet19.xml" Id="Reaa932e7289b4b56" /><Relationship Type="http://schemas.openxmlformats.org/officeDocument/2006/relationships/worksheet" Target="/xl/worksheets/sheet20.xml" Id="R2238a71fae574dd5" /><Relationship Type="http://schemas.openxmlformats.org/officeDocument/2006/relationships/worksheet" Target="/xl/worksheets/sheet21.xml" Id="R898613f9ca9f4753" /><Relationship Type="http://schemas.openxmlformats.org/officeDocument/2006/relationships/worksheet" Target="/xl/worksheets/sheet22.xml" Id="Ra7984d93b0eb4707" /><Relationship Type="http://schemas.openxmlformats.org/officeDocument/2006/relationships/worksheet" Target="/xl/worksheets/sheet23.xml" Id="R823364375e8942dc" /><Relationship Type="http://schemas.openxmlformats.org/officeDocument/2006/relationships/worksheet" Target="/xl/worksheets/sheet24.xml" Id="R35b6c0f46abd46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4" name="T23" displayName="T23" ref="A4:G22" headerRowCount="1" totalsRowCount="0" totalsRowShown="0">
  <x:autoFilter ref="A4:G22"/>
  <x:tableColumns count="7">
    <x:tableColumn id="1" name="Area"/>
    <x:tableColumn id="2" name="Finding / metric"/>
    <x:tableColumn id="3" name="Value"/>
    <x:tableColumn id="4" name="Decision / meaning"/>
    <x:tableColumn id="5" name="Source IDs / sheet"/>
    <x:tableColumn id="6" name="Evidence status"/>
    <x:tableColumn id="7" name="Metric 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" displayName="T1" ref="A4:L12" headerRowCount="1" totalsRowCount="0" totalsRowShown="0">
  <x:autoFilter ref="A4:L12"/>
  <x:tableColumns count="12">
    <x:tableColumn id="1" name="Order"/>
    <x:tableColumn id="2" name="Searcher market"/>
    <x:tableColumn id="3" name="Language"/>
    <x:tableColumn id="4" name="Recommendation"/>
    <x:tableColumn id="5" name="Representative query"/>
    <x:tableColumn id="6" name="Monthly searches"/>
    <x:tableColumn id="7" name="Evidence"/>
    <x:tableColumn id="8" name="Operational dependency"/>
    <x:tableColumn id="9" name="Competition / seasonality"/>
    <x:tableColumn id="10" name="Source IDs"/>
    <x:tableColumn id="11" name="Evidence status"/>
    <x:tableColumn id="12" name="Metric 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T0" displayName="T0" ref="A4:AB166" headerRowCount="1" totalsRowCount="0" totalsRowShown="0">
  <x:autoFilter ref="A4:AB166"/>
  <x:tableColumns count="28">
    <x:tableColumn id="1" name="Keyword ID"/>
    <x:tableColumn id="2" name="Original keyword"/>
    <x:tableColumn id="3" name="Normalized keyword"/>
    <x:tableColumn id="4" name="Searcher country"/>
    <x:tableColumn id="5" name="Language"/>
    <x:tableColumn id="6" name="Dataset"/>
    <x:tableColumn id="7" name="Primary intent"/>
    <x:tableColumn id="8" name="Funnel stage"/>
    <x:tableColumn id="9" name="Monthly searches"/>
    <x:tableColumn id="10" name="KD /100"/>
    <x:tableColumn id="11" name="Traffic potential"/>
    <x:tableColumn id="12" name="CPC USD"/>
    <x:tableColumn id="13" name="Currency"/>
    <x:tableColumn id="14" name="Parent topic"/>
    <x:tableColumn id="15" name="SERP features"/>
    <x:tableColumn id="16" name="Cluster ID"/>
    <x:tableColumn id="17" name="Owner URL"/>
    <x:tableColumn id="18" name="URL status"/>
    <x:tableColumn id="19" name="Action"/>
    <x:tableColumn id="20" name="Evidence status"/>
    <x:tableColumn id="21" name="Metric type"/>
    <x:tableColumn id="22" name="Confidence"/>
    <x:tableColumn id="23" name="Source IDs"/>
    <x:tableColumn id="24" name="SERP update time"/>
    <x:tableColumn id="25" name="Retrieval time"/>
    <x:tableColumn id="26" name="Qualification note"/>
    <x:tableColumn id="27" name="Current rank"/>
    <x:tableColumn id="28" name="Current ranking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2" displayName="T2" ref="A4:Q70" headerRowCount="1" totalsRowCount="0" totalsRowShown="0">
  <x:autoFilter ref="A4:Q70"/>
  <x:tableColumns count="17">
    <x:tableColumn id="1" name="Cluster ID"/>
    <x:tableColumn id="2" name="Language"/>
    <x:tableColumn id="3" name="Markets"/>
    <x:tableColumn id="4" name="User task"/>
    <x:tableColumn id="5" name="Owner URL"/>
    <x:tableColumn id="6" name="URL status"/>
    <x:tableColumn id="7" name="Action"/>
    <x:tableColumn id="8" name="Primary keyword"/>
    <x:tableColumn id="9" name="Keyword IDs"/>
    <x:tableColumn id="10" name="Supporting terms"/>
    <x:tableColumn id="11" name="Page type"/>
    <x:tableColumn id="12" name="Owner rationale"/>
    <x:tableColumn id="13" name="Overlap decision"/>
    <x:tableColumn id="14" name="Original evidence needed"/>
    <x:tableColumn id="15" name="Source IDs"/>
    <x:tableColumn id="16" name="Evidence status"/>
    <x:tableColumn id="17" name="Limitatio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3" displayName="T3" ref="A4:N96" headerRowCount="1" totalsRowCount="0" totalsRowShown="0">
  <x:autoFilter ref="A4:N96"/>
  <x:tableColumns count="14">
    <x:tableColumn id="1" name="ID"/>
    <x:tableColumn id="2" name="Landing URL"/>
    <x:tableColumn id="3" name="Historical clicks"/>
    <x:tableColumn id="4" name="Historical impressions"/>
    <x:tableColumn id="5" name="Calculated CTR"/>
    <x:tableColumn id="6" name="GSC average position"/>
    <x:tableColumn id="7" name="Performance period"/>
    <x:tableColumn id="8" name="Current sampled HTTP"/>
    <x:tableColumn id="9" name="Current status evidence"/>
    <x:tableColumn id="10" name="Recommendation"/>
    <x:tableColumn id="11" name="Source IDs"/>
    <x:tableColumn id="12" name="Evidence status"/>
    <x:tableColumn id="13" name="Metric type"/>
    <x:tableColumn id="14" name="Limit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4" displayName="T4" ref="A4:J13" headerRowCount="1" totalsRowCount="0" totalsRowShown="0">
  <x:autoFilter ref="A4:J13"/>
  <x:tableColumns count="10">
    <x:tableColumn id="1" name="Competitor ID"/>
    <x:tableColumn id="2" name="Name"/>
    <x:tableColumn id="3" name="Role"/>
    <x:tableColumn id="4" name="Market evidence"/>
    <x:tableColumn id="5" name="Source URL"/>
    <x:tableColumn id="6" name="Observed page pattern"/>
    <x:tableColumn id="7" name="Implication"/>
    <x:tableColumn id="8" name="Source IDs"/>
    <x:tableColumn id="9" name="Evidence status"/>
    <x:tableColumn id="10" name="Limit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5" displayName="T5" ref="A4:J11" headerRowCount="1" totalsRowCount="0" totalsRowShown="0">
  <x:autoFilter ref="A4:J11"/>
  <x:tableColumns count="10">
    <x:tableColumn id="1" name="Gap ID"/>
    <x:tableColumn id="2" name="Type"/>
    <x:tableColumn id="3" name="Cluster ID"/>
    <x:tableColumn id="4" name="Owner URL"/>
    <x:tableColumn id="5" name="Competitors"/>
    <x:tableColumn id="6" name="Evidence"/>
    <x:tableColumn id="7" name="Recommendation"/>
    <x:tableColumn id="8" name="Required proof"/>
    <x:tableColumn id="9" name="Source IDs"/>
    <x:tableColumn id="10" name="Evidence 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6" displayName="T6" ref="A4:O51" headerRowCount="1" totalsRowCount="0" totalsRowShown="0">
  <x:autoFilter ref="A4:O51"/>
  <x:tableColumns count="15">
    <x:tableColumn id="1" name="Sample row ID"/>
    <x:tableColumn id="2" name="Engine"/>
    <x:tableColumn id="3" name="Country"/>
    <x:tableColumn id="4" name="Query"/>
    <x:tableColumn id="5" name="Position"/>
    <x:tableColumn id="6" name="Result type"/>
    <x:tableColumn id="7" name="Title / question"/>
    <x:tableColumn id="8" name="URL"/>
    <x:tableColumn id="9" name="Vendor page type"/>
    <x:tableColumn id="10" name="SERP timestamp"/>
    <x:tableColumn id="11" name="Retrieval timestamp"/>
    <x:tableColumn id="12" name="Source ID"/>
    <x:tableColumn id="13" name="Evidence status"/>
    <x:tableColumn id="14" name="Metric type"/>
    <x:tableColumn id="15" name="Limit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7" displayName="T7" ref="A4:L12" headerRowCount="1" totalsRowCount="0" totalsRowShown="0">
  <x:autoFilter ref="A4:L12"/>
  <x:tableColumns count="12">
    <x:tableColumn id="1" name="Question ID"/>
    <x:tableColumn id="2" name="Category"/>
    <x:tableColumn id="3" name="Question"/>
    <x:tableColumn id="4" name="Trigger query"/>
    <x:tableColumn id="5" name="Country"/>
    <x:tableColumn id="6" name="Language"/>
    <x:tableColumn id="7" name="SERP timestamp"/>
    <x:tableColumn id="8" name="Retrieval timestamp"/>
    <x:tableColumn id="9" name="Source ID"/>
    <x:tableColumn id="10" name="Owner URL"/>
    <x:tableColumn id="11" name="Editorial rule"/>
    <x:tableColumn id="12" name="Evidence 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8" displayName="T8" ref="A4:K11" headerRowCount="1" totalsRowCount="0" totalsRowShown="0">
  <x:autoFilter ref="A4:K11"/>
  <x:tableColumns count="11">
    <x:tableColumn id="1" name="Fanout ID"/>
    <x:tableColumn id="2" name="Initial question"/>
    <x:tableColumn id="3" name="Decision"/>
    <x:tableColumn id="4" name="Entities / constraints"/>
    <x:tableColumn id="5" name="Proposed follow-up"/>
    <x:tableColumn id="6" name="Question category"/>
    <x:tableColumn id="7" name="Observed retrieval queries"/>
    <x:tableColumn id="8" name="Owner URL"/>
    <x:tableColumn id="9" name="Evidence needed"/>
    <x:tableColumn id="10" name="Source IDs"/>
    <x:tableColumn id="11" name="Evidence 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9" displayName="T9" ref="A4:S19" headerRowCount="1" totalsRowCount="0" totalsRowShown="0">
  <x:autoFilter ref="A4:S19"/>
  <x:tableColumns count="19">
    <x:tableColumn id="1" name="Observation ID"/>
    <x:tableColumn id="2" name="Platform"/>
    <x:tableColumn id="3" name="Surface"/>
    <x:tableColumn id="4" name="Model"/>
    <x:tableColumn id="5" name="Prompt origin"/>
    <x:tableColumn id="6" name="Exact query / prompt"/>
    <x:tableColumn id="7" name="Market"/>
    <x:tableColumn id="8" name="Language"/>
    <x:tableColumn id="9" name="Underlying date"/>
    <x:tableColumn id="10" name="Collection date"/>
    <x:tableColumn id="11" name="Prompt sample size"/>
    <x:tableColumn id="12" name="Brand mention"/>
    <x:tableColumn id="13" name="Citation"/>
    <x:tableColumn id="14" name="Recommendation"/>
    <x:tableColumn id="15" name="Cited URL"/>
    <x:tableColumn id="16" name="Collection method"/>
    <x:tableColumn id="17" name="Source ID"/>
    <x:tableColumn id="18" name="Evidence status"/>
    <x:tableColumn id="19" name="Limitation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T10" displayName="T10" ref="A4:J9" headerRowCount="1" totalsRowCount="0" totalsRowShown="0">
  <x:autoFilter ref="A4:J9"/>
  <x:tableColumns count="10">
    <x:tableColumn id="1" name="Opportunity ID"/>
    <x:tableColumn id="2" name="Type"/>
    <x:tableColumn id="3" name="Owner / source URL"/>
    <x:tableColumn id="4" name="Cluster ID"/>
    <x:tableColumn id="5" name="Observed basis"/>
    <x:tableColumn id="6" name="Reference-worthy contribution"/>
    <x:tableColumn id="7" name="Verification requirement"/>
    <x:tableColumn id="8" name="Source IDs"/>
    <x:tableColumn id="9" name="Evidence status"/>
    <x:tableColumn id="10" name="Success measur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2" displayName="T12" ref="A4:T70" headerRowCount="1" totalsRowCount="0" totalsRowShown="0">
  <x:autoFilter ref="A4:T70"/>
  <x:tableColumns count="20">
    <x:tableColumn id="1" name="Order"/>
    <x:tableColumn id="2" name="Cluster ID"/>
    <x:tableColumn id="3" name="Owner URL"/>
    <x:tableColumn id="4" name="Portfolio"/>
    <x:tableColumn id="5" name="Business /5"/>
    <x:tableColumn id="6" name="Intent /5"/>
    <x:tableColumn id="7" name="Momentum /5"/>
    <x:tableColumn id="8" name="Demand /5"/>
    <x:tableColumn id="9" name="Evidence advantage /5"/>
    <x:tableColumn id="10" name="AI opportunity /5"/>
    <x:tableColumn id="11" name="Partial score /100"/>
    <x:tableColumn id="12" name="Coverage"/>
    <x:tableColumn id="13" name="Score status"/>
    <x:tableColumn id="14" name="Work"/>
    <x:tableColumn id="15" name="Source IDs"/>
    <x:tableColumn id="16" name="Effort"/>
    <x:tableColumn id="17" name="Attainability"/>
    <x:tableColumn id="18" name="Dependency"/>
    <x:tableColumn id="19" name="Evaluation window"/>
    <x:tableColumn id="20" name="Success measur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3" displayName="T13" ref="A4:F214" headerRowCount="1" totalsRowCount="0" totalsRowShown="0">
  <x:autoFilter ref="A4:F214"/>
  <x:tableColumns count="6">
    <x:tableColumn id="1" name="Brief ID"/>
    <x:tableColumn id="2" name="Owner URL"/>
    <x:tableColumn id="3" name="Field"/>
    <x:tableColumn id="4" name="Detail"/>
    <x:tableColumn id="5" name="Source IDs"/>
    <x:tableColumn id="6" name="Evidence 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4" displayName="T14" ref="A4:J44" headerRowCount="1" totalsRowCount="0" totalsRowShown="0">
  <x:autoFilter ref="A4:J44"/>
  <x:tableColumns count="10">
    <x:tableColumn id="1" name="Link ID"/>
    <x:tableColumn id="2" name="Source URL"/>
    <x:tableColumn id="3" name="Destination URL"/>
    <x:tableColumn id="4" name="Context"/>
    <x:tableColumn id="5" name="Natural anchor concept"/>
    <x:tableColumn id="6" name="Action / state"/>
    <x:tableColumn id="7" name="Source exists?"/>
    <x:tableColumn id="8" name="Destination exists?"/>
    <x:tableColumn id="9" name="Evidence"/>
    <x:tableColumn id="10" name="Evidence 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5" displayName="T15" ref="A4:L33" headerRowCount="1" totalsRowCount="0" totalsRowShown="0">
  <x:autoFilter ref="A4:L33"/>
  <x:tableColumns count="12">
    <x:tableColumn id="1" name="Tracking ID"/>
    <x:tableColumn id="2" name="Keyword"/>
    <x:tableColumn id="3" name="Country"/>
    <x:tableColumn id="4" name="Language"/>
    <x:tableColumn id="5" name="Engine / source"/>
    <x:tableColumn id="6" name="Target / observed URL"/>
    <x:tableColumn id="7" name="Observed position"/>
    <x:tableColumn id="8" name="Underlying update"/>
    <x:tableColumn id="9" name="Report date"/>
    <x:tableColumn id="10" name="Evidence status"/>
    <x:tableColumn id="11" name="Definition"/>
    <x:tableColumn id="12" name="Source ID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16" displayName="T16" ref="A4:J14" headerRowCount="1" totalsRowCount="0" totalsRowShown="0">
  <x:autoFilter ref="A4:J14"/>
  <x:tableColumns count="10">
    <x:tableColumn id="1" name="Order"/>
    <x:tableColumn id="2" name="Window"/>
    <x:tableColumn id="3" name="Action"/>
    <x:tableColumn id="4" name="Pages / clusters"/>
    <x:tableColumn id="5" name="What to do"/>
    <x:tableColumn id="6" name="Why"/>
    <x:tableColumn id="7" name="Source IDs"/>
    <x:tableColumn id="8" name="Business contribution"/>
    <x:tableColumn id="9" name="Effort / owner"/>
    <x:tableColumn id="10" name="Success measur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17" displayName="T17" ref="A4:J40" headerRowCount="1" totalsRowCount="0" totalsRowShown="0">
  <x:autoFilter ref="A4:J40"/>
  <x:tableColumns count="10">
    <x:tableColumn id="1" name="Scenario"/>
    <x:tableColumn id="2" name="Month after release"/>
    <x:tableColumn id="3" name="Baseline organic sessions"/>
    <x:tableColumn id="4" name="Incremental sessions"/>
    <x:tableColumn id="5" name="Completed bookings"/>
    <x:tableColumn id="6" name="Revenue EUR"/>
    <x:tableColumn id="7" name="Evidence status"/>
    <x:tableColumn id="8" name="Measurements required"/>
    <x:tableColumn id="9" name="Model constraint"/>
    <x:tableColumn id="10" name="Source ID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18" displayName="T18" ref="A4:H13" headerRowCount="1" totalsRowCount="0" totalsRowShown="0">
  <x:autoFilter ref="A4:H13"/>
  <x:tableColumns count="8">
    <x:tableColumn id="1" name="ID"/>
    <x:tableColumn id="2" name="Dependency"/>
    <x:tableColumn id="3" name="Affected pages"/>
    <x:tableColumn id="4" name="Finding"/>
    <x:tableColumn id="5" name="Action"/>
    <x:tableColumn id="6" name="Source IDs"/>
    <x:tableColumn id="7" name="Evidence status"/>
    <x:tableColumn id="8" name="Business consequenc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3" name="T22" displayName="T22" ref="A4:K54" headerRowCount="1" totalsRowCount="0" totalsRowShown="0">
  <x:autoFilter ref="A4:K54"/>
  <x:tableColumns count="11">
    <x:tableColumn id="1" name="Source ID"/>
    <x:tableColumn id="2" name="Source / tool"/>
    <x:tableColumn id="3" name="Scope / parameters"/>
    <x:tableColumn id="4" name="Source URL"/>
    <x:tableColumn id="5" name="Underlying report date"/>
    <x:tableColumn id="6" name="Retrieval timestamp"/>
    <x:tableColumn id="7" name="Evidence status"/>
    <x:tableColumn id="8" name="Rows returned"/>
    <x:tableColumn id="9" name="Quoted units"/>
    <x:tableColumn id="10" name="Actual units"/>
    <x:tableColumn id="11" name="Limitations / definition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T19" displayName="T19" ref="A4:G55" headerRowCount="1" totalsRowCount="0" totalsRowShown="0">
  <x:autoFilter ref="A4:G55"/>
  <x:tableColumns count="7">
    <x:tableColumn id="1" name="Original keyword"/>
    <x:tableColumn id="2" name="Country"/>
    <x:tableColumn id="3" name="Returned monthly searches"/>
    <x:tableColumn id="4" name="Exclusion reason"/>
    <x:tableColumn id="5" name="Source IDs"/>
    <x:tableColumn id="6" name="Evidence status"/>
    <x:tableColumn id="7" name="Metric typ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T20" displayName="T20" ref="A4:H28" headerRowCount="1" totalsRowCount="0" totalsRowShown="0">
  <x:autoFilter ref="A4:H28"/>
  <x:tableColumns count="8">
    <x:tableColumn id="1" name="Country"/>
    <x:tableColumn id="2" name="Keyword"/>
    <x:tableColumn id="3" name="Month"/>
    <x:tableColumn id="4" name="Estimated searches"/>
    <x:tableColumn id="5" name="Source ID"/>
    <x:tableColumn id="6" name="Evidence status"/>
    <x:tableColumn id="7" name="Metric type"/>
    <x:tableColumn id="8" name="Interpretation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12" name="T11" displayName="T11" ref="A4:I10" headerRowCount="1" totalsRowCount="0" totalsRowShown="0">
  <x:autoFilter ref="A4:I10"/>
  <x:tableColumns count="9">
    <x:tableColumn id="1" name="Component"/>
    <x:tableColumn id="2" name="Weight"/>
    <x:tableColumn id="3" name="0"/>
    <x:tableColumn id="4" name="1"/>
    <x:tableColumn id="5" name="2"/>
    <x:tableColumn id="6" name="3"/>
    <x:tableColumn id="7" name="4"/>
    <x:tableColumn id="8" name="5"/>
    <x:tableColumn id="9" name="Input rul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2" name="T21" displayName="T21" ref="A4:N262" headerRowCount="1" totalsRowCount="0" totalsRowShown="0">
  <x:autoFilter ref="A4:N262"/>
  <x:tableColumns count="14">
    <x:tableColumn id="1" name="Historic query ID"/>
    <x:tableColumn id="2" name="Query"/>
    <x:tableColumn id="3" name="Language"/>
    <x:tableColumn id="4" name="Cluster"/>
    <x:tableColumn id="5" name="Clicks"/>
    <x:tableColumn id="6" name="Impressions"/>
    <x:tableColumn id="7" name="CTR"/>
    <x:tableColumn id="8" name="Position"/>
    <x:tableColumn id="9" name="Action"/>
    <x:tableColumn id="10" name="Missed clicks @ 5% CTR"/>
    <x:tableColumn id="11" name="Period"/>
    <x:tableColumn id="12" name="Evidence status"/>
    <x:tableColumn id="13" name="Metric type"/>
    <x:tableColumn id="14" name="Sourc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cd12397c5543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c56117c19a42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e16195cc1174f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2691aecbd9b40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e8aa4439a564d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7308ae20d0b49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6fc40c9a8dc49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01df4ec37db41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dee865f8aa346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942d090c5a641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3ea6491ad98416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70da859f43c475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64fbfecf7fc4f2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179281ff7334fe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96ea7cb4a18342b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5fc14006d5440b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a4dcef2b0de2466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921b77c10a04eb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7c1f2c0bf827428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2b113cc9d16e431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9455c850853745c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970d5a539427492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bafcac4c8c2a494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0e9d0e08f58f4859" /></Relationships>
</file>

<file path=xl/worksheets/sheet1.xml><?xml version="1.0" encoding="utf-8"?>
<x:worksheet xmlns:x="http://schemas.openxmlformats.org/spreadsheetml/2006/main">
  <x:sheetPr>
    <x:tabColor rgb="FFE8764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6" hidden="0" customWidth="1"/>
    <x:col min="2" max="2" width="47" hidden="0" customWidth="1"/>
    <x:col min="3" max="3" width="19" hidden="0" customWidth="1"/>
    <x:col min="4" max="4" width="110" hidden="0" customWidth="1"/>
    <x:col min="5" max="5" width="46" hidden="0" customWidth="1"/>
    <x:col min="6" max="6" width="23" hidden="0" customWidth="1"/>
    <x:col min="7" max="7" width="28" hidden="0" customWidth="1"/>
  </x:cols>
  <x:sheetData>
    <x:row r="1" ht="34" customHeight="1">
      <x:c r="A1" s="4" t="str">
        <x:v>Dashboard</x:v>
      </x:c>
      <x:c r="B1" s="3"/>
      <x:c r="C1" s="3"/>
      <x:c r="D1" s="3"/>
      <x:c r="E1" s="3"/>
      <x:c r="F1" s="3"/>
      <x:c r="G1" s="3"/>
    </x:row>
    <x:row r="2" ht="44" customHeight="1">
      <x:c r="A2" s="5" t="str">
        <x:v>Fast Motor Rental Naxos • Research collected24 September2026 • Local redesign and prioritized search strategy</x:v>
      </x:c>
      <x:c r="B2" s="3"/>
      <x:c r="C2" s="3"/>
      <x:c r="D2" s="3"/>
      <x:c r="E2" s="3"/>
      <x:c r="F2" s="3"/>
      <x:c r="G2" s="3"/>
    </x:row>
    <x:row r="3" ht="9" customHeight="1">
      <x:c r="A3" s="3"/>
      <x:c r="B3" s="3"/>
      <x:c r="C3" s="3"/>
      <x:c r="D3" s="3"/>
      <x:c r="E3" s="3"/>
      <x:c r="F3" s="3"/>
      <x:c r="G3" s="3"/>
    </x:row>
    <x:row r="4" ht="42" customHeight="1">
      <x:c r="A4" s="7" t="str">
        <x:v>Area</x:v>
      </x:c>
      <x:c r="B4" s="7" t="str">
        <x:v>Finding / metric</x:v>
      </x:c>
      <x:c r="C4" s="7" t="str">
        <x:v>Value</x:v>
      </x:c>
      <x:c r="D4" s="7" t="str">
        <x:v>Decision / meaning</x:v>
      </x:c>
      <x:c r="E4" s="7" t="str">
        <x:v>Source IDs / sheet</x:v>
      </x:c>
      <x:c r="F4" s="7" t="str">
        <x:v>Evidence status</x:v>
      </x:c>
      <x:c r="G4" s="7" t="str">
        <x:v>Metric type</x:v>
      </x:c>
    </x:row>
    <x:row r="5" ht="48" customHeight="1">
      <x:c r="A5" s="8" t="str">
        <x:v>Commercial priority</x:v>
      </x:c>
      <x:c r="B5" s="8" t="str">
        <x:v>Italian core + port</x:v>
      </x:c>
      <x:c r="C5" s="12" t="n">
        <x:v>500</x:v>
      </x:c>
      <x:c r="D5" s="8" t="str">
        <x:v>Monthly searches for one representative core term</x:v>
      </x:c>
      <x:c r="E5" s="8" t="str">
        <x:v>kw-it</x:v>
      </x:c>
      <x:c r="F5" s="8" t="str">
        <x:v>OBSERVED</x:v>
      </x:c>
      <x:c r="G5" s="8" t="str">
        <x:v>VENDOR ESTIMATE</x:v>
      </x:c>
    </x:row>
    <x:row r="6" ht="48" customHeight="1">
      <x:c r="A6" s="9" t="str">
        <x:v>Commercial priority</x:v>
      </x:c>
      <x:c r="B6" s="9" t="str">
        <x:v>French port pickup</x:v>
      </x:c>
      <x:c r="C6" s="13" t="n">
        <x:v>200</x:v>
      </x:c>
      <x:c r="D6" s="9" t="str">
        <x:v>Port intent with existing route. Airport variants also useful.</x:v>
      </x:c>
      <x:c r="E6" s="9" t="str">
        <x:v>kw-fr; serp-FR</x:v>
      </x:c>
      <x:c r="F6" s="9" t="str">
        <x:v>OBSERVED</x:v>
      </x:c>
      <x:c r="G6" s="9" t="str">
        <x:v>VENDOR ESTIMATE</x:v>
      </x:c>
    </x:row>
    <x:row r="7" ht="48" customHeight="1">
      <x:c r="A7" s="8" t="str">
        <x:v>Commercial priority</x:v>
      </x:c>
      <x:c r="B7" s="8" t="str">
        <x:v>Greek core</x:v>
      </x:c>
      <x:c r="C7" s="12" t="n">
        <x:v>500</x:v>
      </x:c>
      <x:c r="D7" s="8" t="str">
        <x:v>Core spelling KD59. Other variants differ; consolidate intent.</x:v>
      </x:c>
      <x:c r="E7" s="8" t="str">
        <x:v>kw-gr; kw-el-enrich</x:v>
      </x:c>
      <x:c r="F7" s="8" t="str">
        <x:v>OBSERVED</x:v>
      </x:c>
      <x:c r="G7" s="8" t="str">
        <x:v>VENDOR ESTIMATE</x:v>
      </x:c>
    </x:row>
    <x:row r="8" ht="48" customHeight="1">
      <x:c r="A8" s="9" t="str">
        <x:v>Research coverage</x:v>
      </x:c>
      <x:c r="B8" s="9" t="str">
        <x:v>Retained keyword-country pairs</x:v>
      </x:c>
      <x:c r="C8" s="13" t="n">
        <x:v>162</x:v>
      </x:c>
      <x:c r="D8" s="9" t="str">
        <x:v>Deduplicated and mapped, not unique people. No volume sum.</x:v>
      </x:c>
      <x:c r="E8" s="9" t="str">
        <x:v>Keyword Universe</x:v>
      </x:c>
      <x:c r="F8" s="9" t="str">
        <x:v>OBSERVED</x:v>
      </x:c>
      <x:c r="G8" s="9" t="str">
        <x:v>CALCULATED</x:v>
      </x:c>
    </x:row>
    <x:row r="9" ht="48" customHeight="1">
      <x:c r="A9" s="8" t="str">
        <x:v>Research coverage</x:v>
      </x:c>
      <x:c r="B9" s="8" t="str">
        <x:v>Markets researched</x:v>
      </x:c>
      <x:c r="C9" s="12" t="n">
        <x:v>8</x:v>
      </x:c>
      <x:c r="D9" s="8" t="str">
        <x:v>GB, US, GR, IT, FR, DE, ES, NL. ES/NL are expansion candidates.</x:v>
      </x:c>
      <x:c r="E9" s="8" t="str">
        <x:v>Market Priorities</x:v>
      </x:c>
      <x:c r="F9" s="8" t="str">
        <x:v>OBSERVED</x:v>
      </x:c>
      <x:c r="G9" s="8"/>
    </x:row>
    <x:row r="10" ht="48" customHeight="1">
      <x:c r="A10" s="9" t="str">
        <x:v>Research coverage</x:v>
      </x:c>
      <x:c r="B10" s="9" t="str">
        <x:v>Languages researched</x:v>
      </x:c>
      <x:c r="C10" s="13" t="n">
        <x:v>7</x:v>
      </x:c>
      <x:c r="D10" s="9" t="str">
        <x:v>Existing: English, Greek, Italian, French, German. Candidates: Spanish, Dutch.</x:v>
      </x:c>
      <x:c r="E10" s="9" t="str">
        <x:v>Market Priorities</x:v>
      </x:c>
      <x:c r="F10" s="9" t="str">
        <x:v>OBSERVED</x:v>
      </x:c>
      <x:c r="G10" s="9"/>
    </x:row>
    <x:row r="11" ht="48" customHeight="1">
      <x:c r="A11" s="8" t="str">
        <x:v>Research coverage</x:v>
      </x:c>
      <x:c r="B11" s="8" t="str">
        <x:v>Owner clusters</x:v>
      </x:c>
      <x:c r="C11" s="12" t="n">
        <x:v>66</x:v>
      </x:c>
      <x:c r="D11" s="8" t="str">
        <x:v>One page per intent/language. Scores are provisional.</x:v>
      </x:c>
      <x:c r="E11" s="8" t="str">
        <x:v>Clusters &amp; Page Map</x:v>
      </x:c>
      <x:c r="F11" s="8" t="str">
        <x:v>OBSERVED</x:v>
      </x:c>
      <x:c r="G11" s="8" t="str">
        <x:v>CALCULATED</x:v>
      </x:c>
    </x:row>
    <x:row r="12" ht="48" customHeight="1">
      <x:c r="A12" s="9" t="str">
        <x:v>Research coverage</x:v>
      </x:c>
      <x:c r="B12" s="9" t="str">
        <x:v>Detailed page briefs</x:v>
      </x:c>
      <x:c r="C12" s="13" t="n">
        <x:v>10</x:v>
      </x:c>
      <x:c r="D12" s="9" t="str">
        <x:v>Native-review briefs and evidence requirements.</x:v>
      </x:c>
      <x:c r="E12" s="9" t="str">
        <x:v>Content Briefs</x:v>
      </x:c>
      <x:c r="F12" s="9" t="str">
        <x:v>OBSERVED</x:v>
      </x:c>
      <x:c r="G12" s="9"/>
    </x:row>
    <x:row r="13" ht="48" customHeight="1">
      <x:c r="A13" s="8" t="str">
        <x:v>AI evidence</x:v>
      </x:c>
      <x:c r="B13" s="8" t="str">
        <x:v>Google AIO citation URLs</x:v>
      </x:c>
      <x:c r="C13" s="12" t="n">
        <x:v>8</x:v>
      </x:c>
      <x:c r="D13" s="8" t="str">
        <x:v>One DE snapshot. Target absent in this bounded list; answer text unavailable.</x:v>
      </x:c>
      <x:c r="E13" s="8" t="str">
        <x:v>serp-DE</x:v>
      </x:c>
      <x:c r="F13" s="8" t="str">
        <x:v>OBSERVED</x:v>
      </x:c>
      <x:c r="G13" s="8" t="str">
        <x:v>VENDOR ESTIMATE</x:v>
      </x:c>
    </x:row>
    <x:row r="14" ht="48" customHeight="1">
      <x:c r="A14" s="9" t="str">
        <x:v>Access gap</x:v>
      </x:c>
      <x:c r="B14" s="9" t="str">
        <x:v>ChatGPT / other AI responses</x:v>
      </x:c>
      <x:c r="C14" s="13"/>
      <x:c r="D14" s="9" t="str">
        <x:v>Chatgpt Brand Radar addon missing. No fabricated mention/citation metrics.</x:v>
      </x:c>
      <x:c r="E14" s="9" t="str">
        <x:v>AI Visibility</x:v>
      </x:c>
      <x:c r="F14" s="9" t="str">
        <x:v>UNAVAILABLE</x:v>
      </x:c>
      <x:c r="G14" s="9"/>
    </x:row>
    <x:row r="15" ht="48" customHeight="1">
      <x:c r="A15" s="8" t="str">
        <x:v>Access gap</x:v>
      </x:c>
      <x:c r="B15" s="8" t="str">
        <x:v>Current GSC, GA4 and booking outcomes</x:v>
      </x:c>
      <x:c r="C15" s="12"/>
      <x:c r="D15" s="8" t="str">
        <x:v>Archived June14–Aug20 GSC is historical. Current performance and forecast unavailable.</x:v>
      </x:c>
      <x:c r="E15" s="8" t="str">
        <x:v>Existing Opportunities</x:v>
      </x:c>
      <x:c r="F15" s="8" t="str">
        <x:v>UNAVAILABLE</x:v>
      </x:c>
      <x:c r="G15" s="8"/>
    </x:row>
    <x:row r="16" ht="48" customHeight="1">
      <x:c r="A16" s="9" t="str">
        <x:v>Budget</x:v>
      </x:c>
      <x:c r="B16" s="9" t="str">
        <x:v>Ahrefs unit cap</x:v>
      </x:c>
      <x:c r="C16" s="13" t="n">
        <x:v>10000</x:v>
      </x:c>
      <x:c r="D16" s="9" t="str">
        <x:v>Conservative first-pass ceiling from brief. No purchases or upgrades.</x:v>
      </x:c>
      <x:c r="E16" s="9" t="str">
        <x:v>SRC-LIMITS</x:v>
      </x:c>
      <x:c r="F16" s="9" t="str">
        <x:v>OBSERVED</x:v>
      </x:c>
      <x:c r="G16" s="9"/>
    </x:row>
    <x:row r="17" ht="48" customHeight="1">
      <x:c r="A17" s="8" t="str">
        <x:v>Budget</x:v>
      </x:c>
      <x:c r="B17" s="8" t="str">
        <x:v>Ahrefs actual units</x:v>
      </x:c>
      <x:c r="C17" s="12" t="n">
        <x:f>SUM('Sources'!J5:J54)</x:f>
        <x:v>4325</x:v>
      </x:c>
      <x:c r="D17" s="8" t="str">
        <x:v>Sum of tool-reported actual costs, confirmed against key usage.</x:v>
      </x:c>
      <x:c r="E17" s="8" t="str">
        <x:v>Sources</x:v>
      </x:c>
      <x:c r="F17" s="8" t="str">
        <x:v>OBSERVED</x:v>
      </x:c>
      <x:c r="G17" s="8" t="str">
        <x:v>CALCULATED</x:v>
      </x:c>
    </x:row>
    <x:row r="18" ht="48" customHeight="1">
      <x:c r="A18" s="9" t="str">
        <x:v>Budget</x:v>
      </x:c>
      <x:c r="B18" s="9" t="str">
        <x:v>Remaining task allowance</x:v>
      </x:c>
      <x:c r="C18" s="13" t="n">
        <x:f>C16-C17</x:f>
        <x:v>5675</x:v>
      </x:c>
      <x:c r="D18" s="9" t="str">
        <x:v>Allowance is not a spending target. Research stopped with useful coverage.</x:v>
      </x:c>
      <x:c r="E18" s="9" t="str">
        <x:v>Sources</x:v>
      </x:c>
      <x:c r="F18" s="9" t="str">
        <x:v>OBSERVED</x:v>
      </x:c>
      <x:c r="G18" s="9" t="str">
        <x:v>CALCULATED</x:v>
      </x:c>
    </x:row>
    <x:row r="19" ht="48" customHeight="1">
      <x:c r="A19" s="8" t="str">
        <x:v>Implementation</x:v>
      </x:c>
      <x:c r="B19" s="8" t="str">
        <x:v>Local redesigned locales</x:v>
      </x:c>
      <x:c r="C19" s="12" t="n">
        <x:v>5</x:v>
      </x:c>
      <x:c r="D19" s="8" t="str">
        <x:v>All page templates, desktop mega-menu, full-screen mobile menu, footer, Inter typography,24 studio illustrations,7 Pexels photographs and1 on-demand film. Five locales. Not pushed or deployed.</x:v>
      </x:c>
      <x:c r="E19" s="8" t="str">
        <x:v>SRC-REPO</x:v>
      </x:c>
      <x:c r="F19" s="8" t="str">
        <x:v>OBSERVED</x:v>
      </x:c>
      <x:c r="G19" s="8"/>
    </x:row>
    <x:row r="20" ht="48" customHeight="1">
      <x:c r="A20" s="9" t="str">
        <x:v>Implementation gap</x:v>
      </x:c>
      <x:c r="B20" s="9" t="str">
        <x:v>Inherited language fallbacks</x:v>
      </x:c>
      <x:c r="C20" s="13"/>
      <x:c r="D20" s="9" t="str">
        <x:v>Legacy editorial content still needs full native translation/review.</x:v>
      </x:c>
      <x:c r="E20" s="9" t="str">
        <x:v>Technical Dependencies</x:v>
      </x:c>
      <x:c r="F20" s="9" t="str">
        <x:v>OBSERVED</x:v>
      </x:c>
      <x:c r="G20" s="9"/>
    </x:row>
    <x:row r="21" ht="48" customHeight="1">
      <x:c r="A21" s="8" t="str">
        <x:v>Forecast limitation</x:v>
      </x:c>
      <x:c r="B21" s="8" t="str">
        <x:v>UK volume anomaly</x:v>
      </x:c>
      <x:c r="C21" s="12" t="n">
        <x:v>22384</x:v>
      </x:c>
      <x:c r="D21" s="8" t="str">
        <x:v>May2026 car rental in naxos spike. Do not forecast from its1,900 average.</x:v>
      </x:c>
      <x:c r="E21" s="8" t="str">
        <x:v>seasonality-gb</x:v>
      </x:c>
      <x:c r="F21" s="8" t="str">
        <x:v>OBSERVED</x:v>
      </x:c>
      <x:c r="G21" s="8" t="str">
        <x:v>VENDOR ESTIMATE</x:v>
      </x:c>
    </x:row>
    <x:row r="22" ht="48" customHeight="1">
      <x:c r="A22" s="9" t="str">
        <x:v>Measurement</x:v>
      </x:c>
      <x:c r="B22" s="9" t="str">
        <x:v>Primary business outcome</x:v>
      </x:c>
      <x:c r="C22" s="13"/>
      <x:c r="D22" s="9" t="str">
        <x:v>Confirmed bookings by landing page/locale, separate from handoff clicks, search visibility and AI citations.</x:v>
      </x:c>
      <x:c r="E22" s="9" t="str">
        <x:v>90-Day Plan</x:v>
      </x:c>
      <x:c r="F22" s="9" t="str">
        <x:v>PROPOSED</x:v>
      </x:c>
      <x:c r="G22" s="9"/>
    </x:row>
  </x:sheetData>
  <x:mergeCells>
    <x:mergeCell ref="A1:E1"/>
    <x:mergeCell ref="A2:F2"/>
  </x:mergeCells>
  <x:conditionalFormatting sqref="F5:F22">
    <x:cfRule type="containsText" dxfId="24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f2cd12397c554344"/>
  </x:tableParts>
</x:worksheet>
</file>

<file path=xl/worksheets/sheet2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35" hidden="0" customWidth="1"/>
    <x:col min="5" max="5" width="39" hidden="0" customWidth="1"/>
    <x:col min="6" max="6" width="18" hidden="0" customWidth="1"/>
    <x:col min="7" max="7" width="65" hidden="0" customWidth="1"/>
    <x:col min="8" max="8" width="60" hidden="0" customWidth="1"/>
    <x:col min="9" max="9" width="60" hidden="0" customWidth="1"/>
    <x:col min="10" max="10" width="44" hidden="0" customWidth="1"/>
    <x:col min="11" max="11" width="20" hidden="0" customWidth="1"/>
    <x:col min="12" max="12" width="24" hidden="0" customWidth="1"/>
  </x:cols>
  <x:sheetData>
    <x:row r="1" ht="34" customHeight="1">
      <x:c r="A1" s="4" t="str">
        <x:v>Market Priorities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4" customHeight="1">
      <x:c r="A2" s="5" t="str">
        <x:v>Strategic order, not a total addressable market calculation. Languages were researched independently. All demand values below are representative terms, not sums.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42" customHeight="1">
      <x:c r="A4" s="7" t="str">
        <x:v>Order</x:v>
      </x:c>
      <x:c r="B4" s="7" t="str">
        <x:v>Searcher market</x:v>
      </x:c>
      <x:c r="C4" s="7" t="str">
        <x:v>Language</x:v>
      </x:c>
      <x:c r="D4" s="7" t="str">
        <x:v>Recommendation</x:v>
      </x:c>
      <x:c r="E4" s="7" t="str">
        <x:v>Representative query</x:v>
      </x:c>
      <x:c r="F4" s="7" t="str">
        <x:v>Monthly searches</x:v>
      </x:c>
      <x:c r="G4" s="7" t="str">
        <x:v>Evidence</x:v>
      </x:c>
      <x:c r="H4" s="7" t="str">
        <x:v>Operational dependency</x:v>
      </x:c>
      <x:c r="I4" s="7" t="str">
        <x:v>Competition / seasonality</x:v>
      </x:c>
      <x:c r="J4" s="7" t="str">
        <x:v>Source IDs</x:v>
      </x:c>
      <x:c r="K4" s="7" t="str">
        <x:v>Evidence status</x:v>
      </x:c>
      <x:c r="L4" s="7" t="str">
        <x:v>Metric type</x:v>
      </x:c>
    </x:row>
    <x:row r="5" ht="48" customHeight="1">
      <x:c r="A5" s="8" t="n">
        <x:v>1</x:v>
      </x:c>
      <x:c r="B5" s="8" t="str">
        <x:v>IT</x:v>
      </x:c>
      <x:c r="C5" s="8" t="str">
        <x:v>Italian</x:v>
      </x:c>
      <x:c r="D5" s="8" t="str">
        <x:v>Strengthen existing locale</x:v>
      </x:c>
      <x:c r="E5" s="8" t="str">
        <x:v>noleggio auto naxos</x:v>
      </x:c>
      <x:c r="F5" s="8" t="n">
        <x:v>500</x:v>
      </x:c>
      <x:c r="G5" s="8" t="str">
        <x:v>Core and port demand. Port term 150. Existing /it site.</x:v>
      </x:c>
      <x:c r="H5" s="8" t="str">
        <x:v>Native review and complete pickup instructions</x:v>
      </x:c>
      <x:c r="I5" s="8" t="str">
        <x:v>Marketplaces and direct rentals. Sample rises in summer.</x:v>
      </x:c>
      <x:c r="J5" s="8" t="str">
        <x:v>kw-it; discover-it; seasonality-control; serp-IT</x:v>
      </x:c>
      <x:c r="K5" s="8" t="str">
        <x:v>INFERRED</x:v>
      </x:c>
      <x:c r="L5" s="8" t="str">
        <x:v>VENDOR ESTIMATE</x:v>
      </x:c>
    </x:row>
    <x:row r="6" ht="48" customHeight="1">
      <x:c r="A6" s="9" t="n">
        <x:v>2</x:v>
      </x:c>
      <x:c r="B6" s="9" t="str">
        <x:v>FR</x:v>
      </x:c>
      <x:c r="C6" s="9" t="str">
        <x:v>French</x:v>
      </x:c>
      <x:c r="D6" s="9" t="str">
        <x:v>Strengthen core, port and airport</x:v>
      </x:c>
      <x:c r="E6" s="9" t="str">
        <x:v>location voiture naxos</x:v>
      </x:c>
      <x:c r="F6" s="9" t="n">
        <x:v>350</x:v>
      </x:c>
      <x:c r="G6" s="9" t="str">
        <x:v>Port term 200; airport variants 150 and 100, overlapping.</x:v>
      </x:c>
      <x:c r="H6" s="9" t="str">
        <x:v>Complete native airport/port copy</x:v>
      </x:c>
      <x:c r="I6" s="9" t="str">
        <x:v>Local pack plus marketplace pages and travel forum</x:v>
      </x:c>
      <x:c r="J6" s="9" t="str">
        <x:v>kw-fr; discover-fr; serp-FR</x:v>
      </x:c>
      <x:c r="K6" s="9" t="str">
        <x:v>INFERRED</x:v>
      </x:c>
      <x:c r="L6" s="9" t="str">
        <x:v>VENDOR ESTIMATE</x:v>
      </x:c>
    </x:row>
    <x:row r="7" ht="48" customHeight="1">
      <x:c r="A7" s="8" t="n">
        <x:v>3</x:v>
      </x:c>
      <x:c r="B7" s="8" t="str">
        <x:v>GR</x:v>
      </x:c>
      <x:c r="C7" s="8" t="str">
        <x:v>Greek</x:v>
      </x:c>
      <x:c r="D7" s="8" t="str">
        <x:v>Strengthen domestic conversion</x:v>
      </x:c>
      <x:c r="E7" s="8" t="str">
        <x:v>ενοικιαση αυτοκινητου ναξος</x:v>
      </x:c>
      <x:c r="F7" s="8" t="n">
        <x:v>500</x:v>
      </x:c>
      <x:c r="G7" s="8" t="str">
        <x:v>Greek variants independently returned. KD59 on main spelling vs0 on other variants.</x:v>
      </x:c>
      <x:c r="H7" s="8" t="str">
        <x:v>Confirm payment, pickup and phone journey</x:v>
      </x:c>
      <x:c r="I7" s="8" t="str">
        <x:v>Do not treat KD0 variants as easy separate pages</x:v>
      </x:c>
      <x:c r="J7" s="8" t="str">
        <x:v>kw-gr; kw-el-enrich; serp-GR</x:v>
      </x:c>
      <x:c r="K7" s="8" t="str">
        <x:v>INFERRED</x:v>
      </x:c>
      <x:c r="L7" s="8" t="str">
        <x:v>VENDOR ESTIMATE</x:v>
      </x:c>
    </x:row>
    <x:row r="8" ht="48" customHeight="1">
      <x:c r="A8" s="9" t="n">
        <x:v>4</x:v>
      </x:c>
      <x:c r="B8" s="9" t="str">
        <x:v>GB</x:v>
      </x:c>
      <x:c r="C8" s="9" t="str">
        <x:v>English</x:v>
      </x:c>
      <x:c r="D8" s="9" t="str">
        <x:v>Core English plus airport and port</x:v>
      </x:c>
      <x:c r="E8" s="9" t="str">
        <x:v>naxos car rental</x:v>
      </x:c>
      <x:c r="F8" s="9" t="n">
        <x:v>150</x:v>
      </x:c>
      <x:c r="G8" s="9" t="str">
        <x:v>car rental naxos =400; port=100. Exclude anomalous 1,900 variant from forecast.</x:v>
      </x:c>
      <x:c r="H8" s="9" t="str">
        <x:v>English is existing international fallback</x:v>
      </x:c>
      <x:c r="I8" s="9" t="str">
        <x:v>Local pack / aggregators. 22,384 May spike on one phrase</x:v>
      </x:c>
      <x:c r="J8" s="9" t="str">
        <x:v>kw-gb; kw-en-enrich; seasonality-gb; serp-GB</x:v>
      </x:c>
      <x:c r="K8" s="9" t="str">
        <x:v>INFERRED</x:v>
      </x:c>
      <x:c r="L8" s="9" t="str">
        <x:v>VENDOR ESTIMATE</x:v>
      </x:c>
    </x:row>
    <x:row r="9" ht="48" customHeight="1">
      <x:c r="A9" s="8" t="n">
        <x:v>5</x:v>
      </x:c>
      <x:c r="B9" s="8" t="str">
        <x:v>US</x:v>
      </x:c>
      <x:c r="C9" s="8" t="str">
        <x:v>English</x:v>
      </x:c>
      <x:c r="D9" s="8" t="str">
        <x:v>Serve through existing English locale</x:v>
      </x:c>
      <x:c r="E9" s="8" t="str">
        <x:v>naxos car rental</x:v>
      </x:c>
      <x:c r="F9" s="8" t="n">
        <x:v>450</x:v>
      </x:c>
      <x:c r="G9" s="8" t="str">
        <x:v>Airport40; need-car30. No need for a duplicate US URL.</x:v>
      </x:c>
      <x:c r="H9" s="8" t="str">
        <x:v>Explain transmission, luggage and meeting point clearly</x:v>
      </x:c>
      <x:c r="I9" s="8" t="str">
        <x:v>No independent US SERP deep sample collected</x:v>
      </x:c>
      <x:c r="J9" s="8" t="str">
        <x:v>kw-us</x:v>
      </x:c>
      <x:c r="K9" s="8" t="str">
        <x:v>INFERRED</x:v>
      </x:c>
      <x:c r="L9" s="8" t="str">
        <x:v>VENDOR ESTIMATE</x:v>
      </x:c>
    </x:row>
    <x:row r="10" ht="48" customHeight="1">
      <x:c r="A10" s="9" t="n">
        <x:v>6</x:v>
      </x:c>
      <x:c r="B10" s="9" t="str">
        <x:v>DE</x:v>
      </x:c>
      <x:c r="C10" s="9" t="str">
        <x:v>German</x:v>
      </x:c>
      <x:c r="D10" s="9" t="str">
        <x:v>Strengthen clarity and reference content</x:v>
      </x:c>
      <x:c r="E10" s="9" t="str">
        <x:v>mietwagen naxos</x:v>
      </x:c>
      <x:c r="F10" s="9" t="n">
        <x:v>200</x:v>
      </x:c>
      <x:c r="G10" s="9" t="str">
        <x:v>auto mieten naxos150. AIO cited eight URLs in one stored SERP.</x:v>
      </x:c>
      <x:c r="H10" s="9" t="str">
        <x:v>Native review; insurance/booking terminology</x:v>
      </x:c>
      <x:c r="I10" s="9" t="str">
        <x:v>Large intermediaries dominate sampled organic results</x:v>
      </x:c>
      <x:c r="J10" s="9" t="str">
        <x:v>kw-de; discover-de; serp-DE</x:v>
      </x:c>
      <x:c r="K10" s="9" t="str">
        <x:v>INFERRED</x:v>
      </x:c>
      <x:c r="L10" s="9" t="str">
        <x:v>VENDOR ESTIMATE</x:v>
      </x:c>
    </x:row>
    <x:row r="11" ht="48" customHeight="1">
      <x:c r="A11" s="8" t="n">
        <x:v>7</x:v>
      </x:c>
      <x:c r="B11" s="8" t="str">
        <x:v>ES</x:v>
      </x:c>
      <x:c r="C11" s="8" t="str">
        <x:v>Spanish</x:v>
      </x:c>
      <x:c r="D11" s="8" t="str">
        <x:v>Expansion candidate after existing locales</x:v>
      </x:c>
      <x:c r="E11" s="8" t="str">
        <x:v>alquiler coche naxos</x:v>
      </x:c>
      <x:c r="F11" s="8" t="n">
        <x:v>150</x:v>
      </x:c>
      <x:c r="G11" s="8" t="str">
        <x:v>Three terms returned. No current Spanish route.</x:v>
      </x:c>
      <x:c r="H11" s="8" t="str">
        <x:v>Translation, customer support and booking journey readiness</x:v>
      </x:c>
      <x:c r="I11" s="8" t="str">
        <x:v>SERP/competitor depth not validated</x:v>
      </x:c>
      <x:c r="J11" s="8" t="str">
        <x:v>kw-es</x:v>
      </x:c>
      <x:c r="K11" s="8" t="str">
        <x:v>PROPOSED</x:v>
      </x:c>
      <x:c r="L11" s="8" t="str">
        <x:v>VENDOR ESTIMATE</x:v>
      </x:c>
    </x:row>
    <x:row r="12" ht="48" customHeight="1">
      <x:c r="A12" s="9" t="n">
        <x:v>8</x:v>
      </x:c>
      <x:c r="B12" s="9" t="str">
        <x:v>NL</x:v>
      </x:c>
      <x:c r="C12" s="9" t="str">
        <x:v>Dutch</x:v>
      </x:c>
      <x:c r="D12" s="9" t="str">
        <x:v>Monitor before expansion</x:v>
      </x:c>
      <x:c r="E12" s="9" t="str">
        <x:v>auto huren naxos</x:v>
      </x:c>
      <x:c r="F12" s="9" t="n">
        <x:v>60</x:v>
      </x:c>
      <x:c r="G12" s="9" t="str">
        <x:v>Second term10. No Dutch route.</x:v>
      </x:c>
      <x:c r="H12" s="9" t="str">
        <x:v>Native editorial and operational capability</x:v>
      </x:c>
      <x:c r="I12" s="9" t="str">
        <x:v>Only two seed terms, no deep market study</x:v>
      </x:c>
      <x:c r="J12" s="9" t="str">
        <x:v>kw-nl</x:v>
      </x:c>
      <x:c r="K12" s="9" t="str">
        <x:v>PROPOSED</x:v>
      </x:c>
      <x:c r="L12" s="9" t="str">
        <x:v>VENDOR ESTIMATE</x:v>
      </x:c>
    </x:row>
  </x:sheetData>
  <x:mergeCells>
    <x:mergeCell ref="A1:E1"/>
    <x:mergeCell ref="A2:F2"/>
  </x:mergeCells>
  <x:conditionalFormatting sqref="K5:K12">
    <x:cfRule type="containsText" dxfId="2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bdc56117c19a422b"/>
  </x:tableParts>
</x:worksheet>
</file>

<file path=xl/worksheets/sheet3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15" hidden="0" customWidth="1"/>
    <x:col min="5" max="5" width="16" hidden="0" customWidth="1"/>
    <x:col min="6" max="6" width="24" hidden="0" customWidth="1"/>
    <x:col min="7" max="7" width="27" hidden="0" customWidth="1"/>
    <x:col min="8" max="8" width="23" hidden="0" customWidth="1"/>
    <x:col min="9" max="9" width="17" hidden="0" customWidth="1"/>
    <x:col min="10" max="10" width="14" hidden="0" customWidth="1"/>
    <x:col min="11" max="11" width="18" hidden="0" customWidth="1"/>
    <x:col min="12" max="12" width="16" hidden="0" customWidth="1"/>
    <x:col min="13" max="13" width="13" hidden="0" customWidth="1"/>
    <x:col min="14" max="14" width="35" hidden="0" customWidth="1"/>
    <x:col min="15" max="15" width="34" hidden="0" customWidth="1"/>
    <x:col min="16" max="16" width="22" hidden="0" customWidth="1"/>
    <x:col min="17" max="17" width="62" hidden="0" customWidth="1"/>
    <x:col min="18" max="18" width="22" hidden="0" customWidth="1"/>
    <x:col min="19" max="19" width="20" hidden="0" customWidth="1"/>
    <x:col min="20" max="20" width="20" hidden="0" customWidth="1"/>
    <x:col min="21" max="21" width="24" hidden="0" customWidth="1"/>
    <x:col min="22" max="22" width="31" hidden="0" customWidth="1"/>
    <x:col min="23" max="23" width="40" hidden="0" customWidth="1"/>
    <x:col min="24" max="24" width="27" hidden="0" customWidth="1"/>
    <x:col min="25" max="25" width="29" hidden="0" customWidth="1"/>
    <x:col min="26" max="26" width="65" hidden="0" customWidth="1"/>
    <x:col min="27" max="27" width="18" hidden="0" customWidth="1"/>
    <x:col min="28" max="28" width="50" hidden="0" customWidth="1"/>
  </x:cols>
  <x:sheetData>
    <x:row r="1" ht="34" customHeight="1">
      <x:c r="A1" s="4" t="str">
        <x:v>Keyword Universe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44" customHeight="1">
      <x:c r="A2" s="5" t="str">
        <x:v>162 deduplicated retained country-keyword pairs. Metric availability varies. Blank is unknown; a numeric zero is a returned estimate.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</x:row>
    <x:row r="4" ht="42" customHeight="1">
      <x:c r="A4" s="7" t="str">
        <x:v>Keyword ID</x:v>
      </x:c>
      <x:c r="B4" s="7" t="str">
        <x:v>Original keyword</x:v>
      </x:c>
      <x:c r="C4" s="7" t="str">
        <x:v>Normalized keyword</x:v>
      </x:c>
      <x:c r="D4" s="7" t="str">
        <x:v>Searcher country</x:v>
      </x:c>
      <x:c r="E4" s="7" t="str">
        <x:v>Language</x:v>
      </x:c>
      <x:c r="F4" s="7" t="str">
        <x:v>Dataset</x:v>
      </x:c>
      <x:c r="G4" s="7" t="str">
        <x:v>Primary intent</x:v>
      </x:c>
      <x:c r="H4" s="7" t="str">
        <x:v>Funnel stage</x:v>
      </x:c>
      <x:c r="I4" s="7" t="str">
        <x:v>Monthly searches</x:v>
      </x:c>
      <x:c r="J4" s="7" t="str">
        <x:v>KD /100</x:v>
      </x:c>
      <x:c r="K4" s="7" t="str">
        <x:v>Traffic potential</x:v>
      </x:c>
      <x:c r="L4" s="7" t="str">
        <x:v>CPC USD</x:v>
      </x:c>
      <x:c r="M4" s="7" t="str">
        <x:v>Currency</x:v>
      </x:c>
      <x:c r="N4" s="7" t="str">
        <x:v>Parent topic</x:v>
      </x:c>
      <x:c r="O4" s="7" t="str">
        <x:v>SERP features</x:v>
      </x:c>
      <x:c r="P4" s="7" t="str">
        <x:v>Cluster ID</x:v>
      </x:c>
      <x:c r="Q4" s="7" t="str">
        <x:v>Owner URL</x:v>
      </x:c>
      <x:c r="R4" s="7" t="str">
        <x:v>URL status</x:v>
      </x:c>
      <x:c r="S4" s="7" t="str">
        <x:v>Action</x:v>
      </x:c>
      <x:c r="T4" s="7" t="str">
        <x:v>Evidence status</x:v>
      </x:c>
      <x:c r="U4" s="7" t="str">
        <x:v>Metric type</x:v>
      </x:c>
      <x:c r="V4" s="7" t="str">
        <x:v>Confidence</x:v>
      </x:c>
      <x:c r="W4" s="7" t="str">
        <x:v>Source IDs</x:v>
      </x:c>
      <x:c r="X4" s="7" t="str">
        <x:v>SERP update time</x:v>
      </x:c>
      <x:c r="Y4" s="7" t="str">
        <x:v>Retrieval time</x:v>
      </x:c>
      <x:c r="Z4" s="7" t="str">
        <x:v>Qualification note</x:v>
      </x:c>
      <x:c r="AA4" s="7" t="str">
        <x:v>Current rank</x:v>
      </x:c>
      <x:c r="AB4" s="7" t="str">
        <x:v>Current ranking URL</x:v>
      </x:c>
    </x:row>
    <x:row r="5" ht="48" customHeight="1">
      <x:c r="A5" s="8" t="str">
        <x:v>K001</x:v>
      </x:c>
      <x:c r="B5" s="8" t="str">
        <x:v>location voiture naxos port</x:v>
      </x:c>
      <x:c r="C5" s="8" t="str">
        <x:v>location voiture naxos port</x:v>
      </x:c>
      <x:c r="D5" s="8" t="str">
        <x:v>FR</x:v>
      </x:c>
      <x:c r="E5" s="8" t="str">
        <x:v>French</x:v>
      </x:c>
      <x:c r="F5" s="8" t="str">
        <x:v>Google / Ahrefs</x:v>
      </x:c>
      <x:c r="G5" s="8" t="str">
        <x:v>Commercial / transactional</x:v>
      </x:c>
      <x:c r="H5" s="8" t="str">
        <x:v>Booking evaluation</x:v>
      </x:c>
      <x:c r="I5" s="12" t="n">
        <x:v>200</x:v>
      </x:c>
      <x:c r="J5" s="12" t="n">
        <x:v>0</x:v>
      </x:c>
      <x:c r="K5" s="12"/>
      <x:c r="L5" s="14" t="n">
        <x:v>1.1</x:v>
      </x:c>
      <x:c r="M5" s="8" t="str">
        <x:v>USD</x:v>
      </x:c>
      <x:c r="N5" s="8" t="str">
        <x:v>location voiture naxos</x:v>
      </x:c>
      <x:c r="O5" s="8" t="str">
        <x:v>local_pack, question</x:v>
      </x:c>
      <x:c r="P5" s="8" t="str">
        <x:v>C-fr-port</x:v>
      </x:c>
      <x:c r="Q5" s="10" t="str">
        <x:v>https://naxos-carrentals.com/fr/locations/port-pickup</x:v>
      </x:c>
      <x:c r="R5" s="10" t="str">
        <x:v>EXISTING</x:v>
      </x:c>
      <x:c r="S5" s="8" t="str">
        <x:v>OPTIMIZE</x:v>
      </x:c>
      <x:c r="T5" s="8" t="str">
        <x:v>OBSERVED</x:v>
      </x:c>
      <x:c r="U5" s="8" t="str">
        <x:v>VENDOR ESTIMATE</x:v>
      </x:c>
      <x:c r="V5" s="8" t="str">
        <x:v>Medium: vendor estimate</x:v>
      </x:c>
      <x:c r="W5" s="8" t="str">
        <x:v>kw-fr, discover-fr</x:v>
      </x:c>
      <x:c r="X5" s="8" t="n">
        <x:v>46282.74082175926</x:v>
      </x:c>
      <x:c r="Y5" s="8" t="n">
        <x:v>46289.74006271991</x:v>
      </x:c>
      <x:c r="Z5" s="8" t="str">
        <x:v>No summed market demand. Meaningful query variants can overlap.</x:v>
      </x:c>
      <x:c r="AA5" s="12"/>
      <x:c r="AB5" s="10"/>
    </x:row>
    <x:row r="6" ht="48" customHeight="1">
      <x:c r="A6" s="9" t="str">
        <x:v>K002</x:v>
      </x:c>
      <x:c r="B6" s="9" t="str">
        <x:v>location voiture naxos</x:v>
      </x:c>
      <x:c r="C6" s="9" t="str">
        <x:v>location voiture naxos</x:v>
      </x:c>
      <x:c r="D6" s="9" t="str">
        <x:v>FR</x:v>
      </x:c>
      <x:c r="E6" s="9" t="str">
        <x:v>French</x:v>
      </x:c>
      <x:c r="F6" s="9" t="str">
        <x:v>Google / Ahrefs</x:v>
      </x:c>
      <x:c r="G6" s="9" t="str">
        <x:v>Commercial / transactional</x:v>
      </x:c>
      <x:c r="H6" s="9" t="str">
        <x:v>Booking evaluation</x:v>
      </x:c>
      <x:c r="I6" s="13" t="n">
        <x:v>350</x:v>
      </x:c>
      <x:c r="J6" s="13" t="n">
        <x:v>0</x:v>
      </x:c>
      <x:c r="K6" s="13"/>
      <x:c r="L6" s="15" t="n">
        <x:v>0.8</x:v>
      </x:c>
      <x:c r="M6" s="9" t="str">
        <x:v>USD</x:v>
      </x:c>
      <x:c r="N6" s="9" t="str">
        <x:v>location voiture naxos</x:v>
      </x:c>
      <x:c r="O6" s="9" t="str">
        <x:v>local_pack, question</x:v>
      </x:c>
      <x:c r="P6" s="9" t="str">
        <x:v>C-fr-core</x:v>
      </x:c>
      <x:c r="Q6" s="11" t="str">
        <x:v>https://naxos-carrentals.com/fr</x:v>
      </x:c>
      <x:c r="R6" s="11" t="str">
        <x:v>EXISTING</x:v>
      </x:c>
      <x:c r="S6" s="9" t="str">
        <x:v>OPTIMIZE</x:v>
      </x:c>
      <x:c r="T6" s="9" t="str">
        <x:v>OBSERVED</x:v>
      </x:c>
      <x:c r="U6" s="9" t="str">
        <x:v>VENDOR ESTIMATE</x:v>
      </x:c>
      <x:c r="V6" s="9" t="str">
        <x:v>Medium: vendor estimate</x:v>
      </x:c>
      <x:c r="W6" s="9" t="str">
        <x:v>kw-fr, discover-fr</x:v>
      </x:c>
      <x:c r="X6" s="9" t="n">
        <x:v>46240.34434027778</x:v>
      </x:c>
      <x:c r="Y6" s="9" t="n">
        <x:v>46289.74006271991</x:v>
      </x:c>
      <x:c r="Z6" s="9" t="str">
        <x:v>No summed market demand. Meaningful query variants can overlap.</x:v>
      </x:c>
      <x:c r="AA6" s="13"/>
      <x:c r="AB6" s="11"/>
    </x:row>
    <x:row r="7" ht="48" customHeight="1">
      <x:c r="A7" s="8" t="str">
        <x:v>K003</x:v>
      </x:c>
      <x:c r="B7" s="8" t="str">
        <x:v>location voiture naxos aéroport</x:v>
      </x:c>
      <x:c r="C7" s="8" t="str">
        <x:v>location voiture naxos aéroport</x:v>
      </x:c>
      <x:c r="D7" s="8" t="str">
        <x:v>FR</x:v>
      </x:c>
      <x:c r="E7" s="8" t="str">
        <x:v>French</x:v>
      </x:c>
      <x:c r="F7" s="8" t="str">
        <x:v>Google / Ahrefs</x:v>
      </x:c>
      <x:c r="G7" s="8" t="str">
        <x:v>Commercial / transactional</x:v>
      </x:c>
      <x:c r="H7" s="8" t="str">
        <x:v>Booking evaluation</x:v>
      </x:c>
      <x:c r="I7" s="12" t="n">
        <x:v>100</x:v>
      </x:c>
      <x:c r="J7" s="12"/>
      <x:c r="K7" s="12"/>
      <x:c r="L7" s="14"/>
      <x:c r="M7" s="8"/>
      <x:c r="N7" s="8"/>
      <x:c r="O7" s="8"/>
      <x:c r="P7" s="8" t="str">
        <x:v>C-fr-airport</x:v>
      </x:c>
      <x:c r="Q7" s="10" t="str">
        <x:v>https://naxos-carrentals.com/fr/locations/airport-pickup</x:v>
      </x:c>
      <x:c r="R7" s="10" t="str">
        <x:v>EXISTING</x:v>
      </x:c>
      <x:c r="S7" s="8" t="str">
        <x:v>OPTIMIZE</x:v>
      </x:c>
      <x:c r="T7" s="8" t="str">
        <x:v>OBSERVED</x:v>
      </x:c>
      <x:c r="U7" s="8" t="str">
        <x:v>VENDOR ESTIMATE</x:v>
      </x:c>
      <x:c r="V7" s="8" t="str">
        <x:v>Medium: vendor estimate</x:v>
      </x:c>
      <x:c r="W7" s="8" t="str">
        <x:v>kw-fr, discover-fr</x:v>
      </x:c>
      <x:c r="X7" s="8"/>
      <x:c r="Y7" s="8" t="n">
        <x:v>46289.74006271991</x:v>
      </x:c>
      <x:c r="Z7" s="8" t="str">
        <x:v>No summed market demand. Meaningful query variants can overlap.</x:v>
      </x:c>
      <x:c r="AA7" s="12"/>
      <x:c r="AB7" s="10"/>
    </x:row>
    <x:row r="8" ht="48" customHeight="1">
      <x:c r="A8" s="9" t="str">
        <x:v>K004</x:v>
      </x:c>
      <x:c r="B8" s="9" t="str">
        <x:v>ενοικιαζόμενα αυτοκίνητα νάξος</x:v>
      </x:c>
      <x:c r="C8" s="9" t="str">
        <x:v>ενοικιαζόμενα αυτοκίνητα νάξος</x:v>
      </x:c>
      <x:c r="D8" s="9" t="str">
        <x:v>GR</x:v>
      </x:c>
      <x:c r="E8" s="9" t="str">
        <x:v>Greek</x:v>
      </x:c>
      <x:c r="F8" s="9" t="str">
        <x:v>Google / Ahrefs</x:v>
      </x:c>
      <x:c r="G8" s="9" t="str">
        <x:v>Commercial / transactional</x:v>
      </x:c>
      <x:c r="H8" s="9" t="str">
        <x:v>Booking evaluation</x:v>
      </x:c>
      <x:c r="I8" s="13" t="n">
        <x:v>10</x:v>
      </x:c>
      <x:c r="J8" s="13"/>
      <x:c r="K8" s="13"/>
      <x:c r="L8" s="15"/>
      <x:c r="M8" s="9"/>
      <x:c r="N8" s="9"/>
      <x:c r="O8" s="9"/>
      <x:c r="P8" s="9" t="str">
        <x:v>C-el-core</x:v>
      </x:c>
      <x:c r="Q8" s="11" t="str">
        <x:v>https://naxos-carrentals.com/el</x:v>
      </x:c>
      <x:c r="R8" s="11" t="str">
        <x:v>EXISTING</x:v>
      </x:c>
      <x:c r="S8" s="9" t="str">
        <x:v>OPTIMIZE</x:v>
      </x:c>
      <x:c r="T8" s="9" t="str">
        <x:v>OBSERVED</x:v>
      </x:c>
      <x:c r="U8" s="9" t="str">
        <x:v>VENDOR ESTIMATE</x:v>
      </x:c>
      <x:c r="V8" s="9" t="str">
        <x:v>Medium: vendor estimate</x:v>
      </x:c>
      <x:c r="W8" s="9" t="str">
        <x:v>kw-gr</x:v>
      </x:c>
      <x:c r="X8" s="9"/>
      <x:c r="Y8" s="9" t="n">
        <x:v>46289.740062743054</x:v>
      </x:c>
      <x:c r="Z8" s="9" t="str">
        <x:v>No summed market demand. Meaningful query variants can overlap.</x:v>
      </x:c>
      <x:c r="AA8" s="13"/>
      <x:c r="AB8" s="11"/>
    </x:row>
    <x:row r="9" ht="48" customHeight="1">
      <x:c r="A9" s="8" t="str">
        <x:v>K005</x:v>
      </x:c>
      <x:c r="B9" s="8" t="str">
        <x:v>ενοικιαση αυτοκινητου ναξος λιμανι</x:v>
      </x:c>
      <x:c r="C9" s="8" t="str">
        <x:v>ενοικιαση αυτοκινητου ναξος λιμανι</x:v>
      </x:c>
      <x:c r="D9" s="8" t="str">
        <x:v>GR</x:v>
      </x:c>
      <x:c r="E9" s="8" t="str">
        <x:v>Greek</x:v>
      </x:c>
      <x:c r="F9" s="8" t="str">
        <x:v>Google / Ahrefs</x:v>
      </x:c>
      <x:c r="G9" s="8" t="str">
        <x:v>Commercial / transactional</x:v>
      </x:c>
      <x:c r="H9" s="8" t="str">
        <x:v>Booking evaluation</x:v>
      </x:c>
      <x:c r="I9" s="12" t="n">
        <x:v>0</x:v>
      </x:c>
      <x:c r="J9" s="12"/>
      <x:c r="K9" s="12"/>
      <x:c r="L9" s="14"/>
      <x:c r="M9" s="8"/>
      <x:c r="N9" s="8"/>
      <x:c r="O9" s="8"/>
      <x:c r="P9" s="8" t="str">
        <x:v>C-el-port</x:v>
      </x:c>
      <x:c r="Q9" s="10" t="str">
        <x:v>https://naxos-carrentals.com/el/locations/port-pickup</x:v>
      </x:c>
      <x:c r="R9" s="10" t="str">
        <x:v>EXISTING</x:v>
      </x:c>
      <x:c r="S9" s="8" t="str">
        <x:v>OPTIMIZE</x:v>
      </x:c>
      <x:c r="T9" s="8" t="str">
        <x:v>OBSERVED</x:v>
      </x:c>
      <x:c r="U9" s="8" t="str">
        <x:v>VENDOR ESTIMATE</x:v>
      </x:c>
      <x:c r="V9" s="8" t="str">
        <x:v>Medium: vendor estimate</x:v>
      </x:c>
      <x:c r="W9" s="8" t="str">
        <x:v>kw-gr</x:v>
      </x:c>
      <x:c r="X9" s="8"/>
      <x:c r="Y9" s="8" t="n">
        <x:v>46289.740062743054</x:v>
      </x:c>
      <x:c r="Z9" s="8" t="str">
        <x:v>No summed market demand. Meaningful query variants can overlap.</x:v>
      </x:c>
      <x:c r="AA9" s="12"/>
      <x:c r="AB9" s="10"/>
    </x:row>
    <x:row r="10" ht="48" customHeight="1">
      <x:c r="A10" s="9" t="str">
        <x:v>K006</x:v>
      </x:c>
      <x:c r="B10" s="9" t="str">
        <x:v>ενοικιαση αυτοκινητου ναξος</x:v>
      </x:c>
      <x:c r="C10" s="9" t="str">
        <x:v>ενοικιαση αυτοκινητου ναξος</x:v>
      </x:c>
      <x:c r="D10" s="9" t="str">
        <x:v>GR</x:v>
      </x:c>
      <x:c r="E10" s="9" t="str">
        <x:v>Greek</x:v>
      </x:c>
      <x:c r="F10" s="9" t="str">
        <x:v>Google / Ahrefs</x:v>
      </x:c>
      <x:c r="G10" s="9" t="str">
        <x:v>Commercial / transactional</x:v>
      </x:c>
      <x:c r="H10" s="9" t="str">
        <x:v>Booking evaluation</x:v>
      </x:c>
      <x:c r="I10" s="13" t="n">
        <x:v>500</x:v>
      </x:c>
      <x:c r="J10" s="13" t="n">
        <x:v>59</x:v>
      </x:c>
      <x:c r="K10" s="13"/>
      <x:c r="L10" s="15"/>
      <x:c r="M10" s="9"/>
      <x:c r="N10" s="9" t="str">
        <x:v>rent a car naxos</x:v>
      </x:c>
      <x:c r="O10" s="9" t="str">
        <x:v>local_pack</x:v>
      </x:c>
      <x:c r="P10" s="9" t="str">
        <x:v>C-el-core</x:v>
      </x:c>
      <x:c r="Q10" s="11" t="str">
        <x:v>https://naxos-carrentals.com/el</x:v>
      </x:c>
      <x:c r="R10" s="11" t="str">
        <x:v>EXISTING</x:v>
      </x:c>
      <x:c r="S10" s="9" t="str">
        <x:v>OPTIMIZE</x:v>
      </x:c>
      <x:c r="T10" s="9" t="str">
        <x:v>OBSERVED</x:v>
      </x:c>
      <x:c r="U10" s="9" t="str">
        <x:v>VENDOR ESTIMATE</x:v>
      </x:c>
      <x:c r="V10" s="9" t="str">
        <x:v>Medium: vendor estimate</x:v>
      </x:c>
      <x:c r="W10" s="9" t="str">
        <x:v>kw-gr</x:v>
      </x:c>
      <x:c r="X10" s="9" t="n">
        <x:v>46277.64871527778</x:v>
      </x:c>
      <x:c r="Y10" s="9" t="n">
        <x:v>46289.740062743054</x:v>
      </x:c>
      <x:c r="Z10" s="9" t="str">
        <x:v>No summed market demand. Meaningful query variants can overlap.</x:v>
      </x:c>
      <x:c r="AA10" s="13"/>
      <x:c r="AB10" s="11"/>
    </x:row>
    <x:row r="11" ht="48" customHeight="1">
      <x:c r="A11" s="8" t="str">
        <x:v>K007</x:v>
      </x:c>
      <x:c r="B11" s="8" t="str">
        <x:v>ενοικίαση αυτοκινήτου νάξος</x:v>
      </x:c>
      <x:c r="C11" s="8" t="str">
        <x:v>ενοικίαση αυτοκινήτου νάξος</x:v>
      </x:c>
      <x:c r="D11" s="8" t="str">
        <x:v>GR</x:v>
      </x:c>
      <x:c r="E11" s="8" t="str">
        <x:v>Greek</x:v>
      </x:c>
      <x:c r="F11" s="8" t="str">
        <x:v>Google / Ahrefs</x:v>
      </x:c>
      <x:c r="G11" s="8" t="str">
        <x:v>Commercial / transactional</x:v>
      </x:c>
      <x:c r="H11" s="8" t="str">
        <x:v>Booking evaluation</x:v>
      </x:c>
      <x:c r="I11" s="12" t="n">
        <x:v>40</x:v>
      </x:c>
      <x:c r="J11" s="12"/>
      <x:c r="K11" s="12"/>
      <x:c r="L11" s="14"/>
      <x:c r="M11" s="8"/>
      <x:c r="N11" s="8"/>
      <x:c r="O11" s="8"/>
      <x:c r="P11" s="8" t="str">
        <x:v>C-el-core</x:v>
      </x:c>
      <x:c r="Q11" s="10" t="str">
        <x:v>https://naxos-carrentals.com/el</x:v>
      </x:c>
      <x:c r="R11" s="10" t="str">
        <x:v>EXISTING</x:v>
      </x:c>
      <x:c r="S11" s="8" t="str">
        <x:v>OPTIMIZE</x:v>
      </x:c>
      <x:c r="T11" s="8" t="str">
        <x:v>OBSERVED</x:v>
      </x:c>
      <x:c r="U11" s="8" t="str">
        <x:v>VENDOR ESTIMATE</x:v>
      </x:c>
      <x:c r="V11" s="8" t="str">
        <x:v>Medium: vendor estimate</x:v>
      </x:c>
      <x:c r="W11" s="8" t="str">
        <x:v>kw-gr</x:v>
      </x:c>
      <x:c r="X11" s="8"/>
      <x:c r="Y11" s="8" t="n">
        <x:v>46289.740062743054</x:v>
      </x:c>
      <x:c r="Z11" s="8" t="str">
        <x:v>No summed market demand. Meaningful query variants can overlap.</x:v>
      </x:c>
      <x:c r="AA11" s="12"/>
      <x:c r="AB11" s="10"/>
    </x:row>
    <x:row r="12" ht="48" customHeight="1">
      <x:c r="A12" s="9" t="str">
        <x:v>K008</x:v>
      </x:c>
      <x:c r="B12" s="9" t="str">
        <x:v>noleggio auto naxos senza carta di credito</x:v>
      </x:c>
      <x:c r="C12" s="9" t="str">
        <x:v>noleggio auto naxos senza carta di credito</x:v>
      </x:c>
      <x:c r="D12" s="9" t="str">
        <x:v>IT</x:v>
      </x:c>
      <x:c r="E12" s="9" t="str">
        <x:v>Italian</x:v>
      </x:c>
      <x:c r="F12" s="9" t="str">
        <x:v>Google / Ahrefs</x:v>
      </x:c>
      <x:c r="G12" s="9" t="str">
        <x:v>Commercial / transactional</x:v>
      </x:c>
      <x:c r="H12" s="9" t="str">
        <x:v>Booking evaluation</x:v>
      </x:c>
      <x:c r="I12" s="13" t="n">
        <x:v>30</x:v>
      </x:c>
      <x:c r="J12" s="13"/>
      <x:c r="K12" s="13"/>
      <x:c r="L12" s="15" t="n">
        <x:v>0.25</x:v>
      </x:c>
      <x:c r="M12" s="9" t="str">
        <x:v>USD</x:v>
      </x:c>
      <x:c r="N12" s="9"/>
      <x:c r="O12" s="9"/>
      <x:c r="P12" s="9" t="str">
        <x:v>C-it-terms</x:v>
      </x:c>
      <x:c r="Q12" s="11" t="str">
        <x:v>https://naxos-carrentals.com/it/terms</x:v>
      </x:c>
      <x:c r="R12" s="11" t="str">
        <x:v>EXISTING</x:v>
      </x:c>
      <x:c r="S12" s="9" t="str">
        <x:v>OPTIMIZE</x:v>
      </x:c>
      <x:c r="T12" s="9" t="str">
        <x:v>OBSERVED</x:v>
      </x:c>
      <x:c r="U12" s="9" t="str">
        <x:v>VENDOR ESTIMATE</x:v>
      </x:c>
      <x:c r="V12" s="9" t="str">
        <x:v>Medium: vendor estimate</x:v>
      </x:c>
      <x:c r="W12" s="9" t="str">
        <x:v>kw-it, discover-it</x:v>
      </x:c>
      <x:c r="X12" s="9"/>
      <x:c r="Y12" s="9" t="n">
        <x:v>46289.740062743054</x:v>
      </x:c>
      <x:c r="Z12" s="9" t="str">
        <x:v>No summed market demand. Meaningful query variants can overlap.</x:v>
      </x:c>
      <x:c r="AA12" s="13"/>
      <x:c r="AB12" s="11"/>
    </x:row>
    <x:row r="13" ht="48" customHeight="1">
      <x:c r="A13" s="8" t="str">
        <x:v>K009</x:v>
      </x:c>
      <x:c r="B13" s="8" t="str">
        <x:v>naxos autonoleggio</x:v>
      </x:c>
      <x:c r="C13" s="8" t="str">
        <x:v>naxos autonoleggio</x:v>
      </x:c>
      <x:c r="D13" s="8" t="str">
        <x:v>IT</x:v>
      </x:c>
      <x:c r="E13" s="8" t="str">
        <x:v>Italian</x:v>
      </x:c>
      <x:c r="F13" s="8" t="str">
        <x:v>Google / Ahrefs</x:v>
      </x:c>
      <x:c r="G13" s="8" t="str">
        <x:v>Commercial / transactional</x:v>
      </x:c>
      <x:c r="H13" s="8" t="str">
        <x:v>Booking evaluation</x:v>
      </x:c>
      <x:c r="I13" s="12" t="n">
        <x:v>0</x:v>
      </x:c>
      <x:c r="J13" s="12"/>
      <x:c r="K13" s="12"/>
      <x:c r="L13" s="14"/>
      <x:c r="M13" s="8"/>
      <x:c r="N13" s="8"/>
      <x:c r="O13" s="8"/>
      <x:c r="P13" s="8" t="str">
        <x:v>C-it-core</x:v>
      </x:c>
      <x:c r="Q13" s="10" t="str">
        <x:v>https://naxos-carrentals.com/it</x:v>
      </x:c>
      <x:c r="R13" s="10" t="str">
        <x:v>EXISTING</x:v>
      </x:c>
      <x:c r="S13" s="8" t="str">
        <x:v>OPTIMIZE</x:v>
      </x:c>
      <x:c r="T13" s="8" t="str">
        <x:v>OBSERVED</x:v>
      </x:c>
      <x:c r="U13" s="8" t="str">
        <x:v>VENDOR ESTIMATE</x:v>
      </x:c>
      <x:c r="V13" s="8" t="str">
        <x:v>Medium: vendor estimate</x:v>
      </x:c>
      <x:c r="W13" s="8" t="str">
        <x:v>kw-it</x:v>
      </x:c>
      <x:c r="X13" s="8"/>
      <x:c r="Y13" s="8" t="n">
        <x:v>46289.740062743054</x:v>
      </x:c>
      <x:c r="Z13" s="8" t="str">
        <x:v>No summed market demand. Meaningful query variants can overlap.</x:v>
      </x:c>
      <x:c r="AA13" s="12"/>
      <x:c r="AB13" s="10"/>
    </x:row>
    <x:row r="14" ht="48" customHeight="1">
      <x:c r="A14" s="9" t="str">
        <x:v>K010</x:v>
      </x:c>
      <x:c r="B14" s="9" t="str">
        <x:v>noleggio auto naxos</x:v>
      </x:c>
      <x:c r="C14" s="9" t="str">
        <x:v>noleggio auto naxos</x:v>
      </x:c>
      <x:c r="D14" s="9" t="str">
        <x:v>IT</x:v>
      </x:c>
      <x:c r="E14" s="9" t="str">
        <x:v>Italian</x:v>
      </x:c>
      <x:c r="F14" s="9" t="str">
        <x:v>Google / Ahrefs</x:v>
      </x:c>
      <x:c r="G14" s="9" t="str">
        <x:v>Commercial / transactional</x:v>
      </x:c>
      <x:c r="H14" s="9" t="str">
        <x:v>Booking evaluation</x:v>
      </x:c>
      <x:c r="I14" s="13" t="n">
        <x:v>500</x:v>
      </x:c>
      <x:c r="J14" s="13" t="n">
        <x:v>0</x:v>
      </x:c>
      <x:c r="K14" s="13"/>
      <x:c r="L14" s="15" t="n">
        <x:v>0.9</x:v>
      </x:c>
      <x:c r="M14" s="9" t="str">
        <x:v>USD</x:v>
      </x:c>
      <x:c r="N14" s="9" t="str">
        <x:v>naxos noleggio auto</x:v>
      </x:c>
      <x:c r="O14" s="9" t="str">
        <x:v>paid_top, paid_sitelink, local_pack, paid_bottom</x:v>
      </x:c>
      <x:c r="P14" s="9" t="str">
        <x:v>C-it-core</x:v>
      </x:c>
      <x:c r="Q14" s="11" t="str">
        <x:v>https://naxos-carrentals.com/it</x:v>
      </x:c>
      <x:c r="R14" s="11" t="str">
        <x:v>EXISTING</x:v>
      </x:c>
      <x:c r="S14" s="9" t="str">
        <x:v>OPTIMIZE</x:v>
      </x:c>
      <x:c r="T14" s="9" t="str">
        <x:v>OBSERVED</x:v>
      </x:c>
      <x:c r="U14" s="9" t="str">
        <x:v>VENDOR ESTIMATE</x:v>
      </x:c>
      <x:c r="V14" s="9" t="str">
        <x:v>Medium: vendor estimate</x:v>
      </x:c>
      <x:c r="W14" s="9" t="str">
        <x:v>kw-it, discover-it</x:v>
      </x:c>
      <x:c r="X14" s="9" t="n">
        <x:v>46282.936840277776</x:v>
      </x:c>
      <x:c r="Y14" s="9" t="n">
        <x:v>46289.740062743054</x:v>
      </x:c>
      <x:c r="Z14" s="9" t="str">
        <x:v>No summed market demand. Meaningful query variants can overlap.</x:v>
      </x:c>
      <x:c r="AA14" s="13"/>
      <x:c r="AB14" s="11"/>
    </x:row>
    <x:row r="15" ht="48" customHeight="1">
      <x:c r="A15" s="8" t="str">
        <x:v>K011</x:v>
      </x:c>
      <x:c r="B15" s="8" t="str">
        <x:v>noleggio auto naxos porto</x:v>
      </x:c>
      <x:c r="C15" s="8" t="str">
        <x:v>noleggio auto naxos porto</x:v>
      </x:c>
      <x:c r="D15" s="8" t="str">
        <x:v>IT</x:v>
      </x:c>
      <x:c r="E15" s="8" t="str">
        <x:v>Italian</x:v>
      </x:c>
      <x:c r="F15" s="8" t="str">
        <x:v>Google / Ahrefs</x:v>
      </x:c>
      <x:c r="G15" s="8" t="str">
        <x:v>Commercial / transactional</x:v>
      </x:c>
      <x:c r="H15" s="8" t="str">
        <x:v>Booking evaluation</x:v>
      </x:c>
      <x:c r="I15" s="12" t="n">
        <x:v>150</x:v>
      </x:c>
      <x:c r="J15" s="12" t="n">
        <x:v>0</x:v>
      </x:c>
      <x:c r="K15" s="12"/>
      <x:c r="L15" s="14" t="n">
        <x:v>0.8</x:v>
      </x:c>
      <x:c r="M15" s="8" t="str">
        <x:v>USD</x:v>
      </x:c>
      <x:c r="N15" s="8" t="str">
        <x:v>noleggio auto naxos</x:v>
      </x:c>
      <x:c r="O15" s="8" t="str">
        <x:v>local_pack, question</x:v>
      </x:c>
      <x:c r="P15" s="8" t="str">
        <x:v>C-it-port</x:v>
      </x:c>
      <x:c r="Q15" s="10" t="str">
        <x:v>https://naxos-carrentals.com/it/locations/port-pickup</x:v>
      </x:c>
      <x:c r="R15" s="10" t="str">
        <x:v>EXISTING</x:v>
      </x:c>
      <x:c r="S15" s="8" t="str">
        <x:v>OPTIMIZE</x:v>
      </x:c>
      <x:c r="T15" s="8" t="str">
        <x:v>OBSERVED</x:v>
      </x:c>
      <x:c r="U15" s="8" t="str">
        <x:v>VENDOR ESTIMATE</x:v>
      </x:c>
      <x:c r="V15" s="8" t="str">
        <x:v>Medium: vendor estimate</x:v>
      </x:c>
      <x:c r="W15" s="8" t="str">
        <x:v>kw-it, discover-it</x:v>
      </x:c>
      <x:c r="X15" s="8" t="n">
        <x:v>46249.89399305556</x:v>
      </x:c>
      <x:c r="Y15" s="8" t="n">
        <x:v>46289.740062743054</x:v>
      </x:c>
      <x:c r="Z15" s="8" t="str">
        <x:v>No summed market demand. Meaningful query variants can overlap.</x:v>
      </x:c>
      <x:c r="AA15" s="12"/>
      <x:c r="AB15" s="10"/>
    </x:row>
    <x:row r="16" ht="48" customHeight="1">
      <x:c r="A16" s="9" t="str">
        <x:v>K012</x:v>
      </x:c>
      <x:c r="B16" s="9" t="str">
        <x:v>noleggio auto naxos aeroporto</x:v>
      </x:c>
      <x:c r="C16" s="9" t="str">
        <x:v>noleggio auto naxos aeroporto</x:v>
      </x:c>
      <x:c r="D16" s="9" t="str">
        <x:v>IT</x:v>
      </x:c>
      <x:c r="E16" s="9" t="str">
        <x:v>Italian</x:v>
      </x:c>
      <x:c r="F16" s="9" t="str">
        <x:v>Google / Ahrefs</x:v>
      </x:c>
      <x:c r="G16" s="9" t="str">
        <x:v>Commercial / transactional</x:v>
      </x:c>
      <x:c r="H16" s="9" t="str">
        <x:v>Booking evaluation</x:v>
      </x:c>
      <x:c r="I16" s="13" t="n">
        <x:v>20</x:v>
      </x:c>
      <x:c r="J16" s="13"/>
      <x:c r="K16" s="13"/>
      <x:c r="L16" s="15"/>
      <x:c r="M16" s="9"/>
      <x:c r="N16" s="9"/>
      <x:c r="O16" s="9"/>
      <x:c r="P16" s="9" t="str">
        <x:v>C-it-airport</x:v>
      </x:c>
      <x:c r="Q16" s="11" t="str">
        <x:v>https://naxos-carrentals.com/it/locations/airport-pickup</x:v>
      </x:c>
      <x:c r="R16" s="11" t="str">
        <x:v>EXISTING</x:v>
      </x:c>
      <x:c r="S16" s="9" t="str">
        <x:v>OPTIMIZE</x:v>
      </x:c>
      <x:c r="T16" s="9" t="str">
        <x:v>OBSERVED</x:v>
      </x:c>
      <x:c r="U16" s="9" t="str">
        <x:v>VENDOR ESTIMATE</x:v>
      </x:c>
      <x:c r="V16" s="9" t="str">
        <x:v>Medium: vendor estimate</x:v>
      </x:c>
      <x:c r="W16" s="9" t="str">
        <x:v>kw-it, discover-it</x:v>
      </x:c>
      <x:c r="X16" s="9"/>
      <x:c r="Y16" s="9" t="n">
        <x:v>46289.740062743054</x:v>
      </x:c>
      <x:c r="Z16" s="9" t="str">
        <x:v>No summed market demand. Meaningful query variants can overlap.</x:v>
      </x:c>
      <x:c r="AA16" s="13"/>
      <x:c r="AB16" s="11"/>
    </x:row>
    <x:row r="17" ht="48" customHeight="1">
      <x:c r="A17" s="8" t="str">
        <x:v>K013</x:v>
      </x:c>
      <x:c r="B17" s="8" t="str">
        <x:v>automatic car hire naxos</x:v>
      </x:c>
      <x:c r="C17" s="8" t="str">
        <x:v>automatic car hire naxos</x:v>
      </x:c>
      <x:c r="D17" s="8" t="str">
        <x:v>GB</x:v>
      </x:c>
      <x:c r="E17" s="8" t="str">
        <x:v>English</x:v>
      </x:c>
      <x:c r="F17" s="8" t="str">
        <x:v>Google / Ahrefs</x:v>
      </x:c>
      <x:c r="G17" s="8" t="str">
        <x:v>Commercial / transactional</x:v>
      </x:c>
      <x:c r="H17" s="8" t="str">
        <x:v>Booking evaluation</x:v>
      </x:c>
      <x:c r="I17" s="12" t="n">
        <x:v>0</x:v>
      </x:c>
      <x:c r="J17" s="12"/>
      <x:c r="K17" s="12"/>
      <x:c r="L17" s="14"/>
      <x:c r="M17" s="8"/>
      <x:c r="N17" s="8"/>
      <x:c r="O17" s="8"/>
      <x:c r="P17" s="8" t="str">
        <x:v>C-en-automatic</x:v>
      </x:c>
      <x:c r="Q17" s="10" t="str">
        <x:v>https://naxos-carrentals.com/en/fleet/collections/automatic</x:v>
      </x:c>
      <x:c r="R17" s="10" t="str">
        <x:v>EXISTING</x:v>
      </x:c>
      <x:c r="S17" s="8" t="str">
        <x:v>OPTIMIZE</x:v>
      </x:c>
      <x:c r="T17" s="8" t="str">
        <x:v>OBSERVED</x:v>
      </x:c>
      <x:c r="U17" s="8" t="str">
        <x:v>VENDOR ESTIMATE</x:v>
      </x:c>
      <x:c r="V17" s="8" t="str">
        <x:v>Medium: vendor estimate</x:v>
      </x:c>
      <x:c r="W17" s="8" t="str">
        <x:v>kw-gb</x:v>
      </x:c>
      <x:c r="X17" s="8"/>
      <x:c r="Y17" s="8" t="n">
        <x:v>46289.74006275463</x:v>
      </x:c>
      <x:c r="Z17" s="8" t="str">
        <x:v>No summed market demand. Meaningful query variants can overlap.</x:v>
      </x:c>
      <x:c r="AA17" s="12"/>
      <x:c r="AB17" s="10"/>
    </x:row>
    <x:row r="18" ht="48" customHeight="1">
      <x:c r="A18" s="9" t="str">
        <x:v>K014</x:v>
      </x:c>
      <x:c r="B18" s="9" t="str">
        <x:v>do you need a car in naxos</x:v>
      </x:c>
      <x:c r="C18" s="9" t="str">
        <x:v>do you need a car in naxos</x:v>
      </x:c>
      <x:c r="D18" s="9" t="str">
        <x:v>GB</x:v>
      </x:c>
      <x:c r="E18" s="9" t="str">
        <x:v>English</x:v>
      </x:c>
      <x:c r="F18" s="9" t="str">
        <x:v>Google / Ahrefs</x:v>
      </x:c>
      <x:c r="G18" s="9" t="str">
        <x:v>Informational decision</x:v>
      </x:c>
      <x:c r="H18" s="9" t="str">
        <x:v>Planning</x:v>
      </x:c>
      <x:c r="I18" s="13" t="n">
        <x:v>20</x:v>
      </x:c>
      <x:c r="J18" s="13"/>
      <x:c r="K18" s="13"/>
      <x:c r="L18" s="15"/>
      <x:c r="M18" s="9"/>
      <x:c r="N18" s="9"/>
      <x:c r="O18" s="9"/>
      <x:c r="P18" s="9" t="str">
        <x:v>C-en-need-car</x:v>
      </x:c>
      <x:c r="Q18" s="11" t="str">
        <x:v>https://naxos-carrentals.com/en/guides/do-you-need-a-car-in-naxos</x:v>
      </x:c>
      <x:c r="R18" s="11" t="str">
        <x:v>EXISTING</x:v>
      </x:c>
      <x:c r="S18" s="9" t="str">
        <x:v>OPTIMIZE</x:v>
      </x:c>
      <x:c r="T18" s="9" t="str">
        <x:v>OBSERVED</x:v>
      </x:c>
      <x:c r="U18" s="9" t="str">
        <x:v>VENDOR ESTIMATE</x:v>
      </x:c>
      <x:c r="V18" s="9" t="str">
        <x:v>Medium: vendor estimate</x:v>
      </x:c>
      <x:c r="W18" s="9" t="str">
        <x:v>kw-gb, discover-en</x:v>
      </x:c>
      <x:c r="X18" s="9"/>
      <x:c r="Y18" s="9" t="n">
        <x:v>46289.74006275463</x:v>
      </x:c>
      <x:c r="Z18" s="9" t="str">
        <x:v>No summed market demand. Meaningful query variants can overlap.</x:v>
      </x:c>
      <x:c r="AA18" s="13"/>
      <x:c r="AB18" s="11"/>
    </x:row>
    <x:row r="19" ht="48" customHeight="1">
      <x:c r="A19" s="8" t="str">
        <x:v>K015</x:v>
      </x:c>
      <x:c r="B19" s="8" t="str">
        <x:v>naxos car rental</x:v>
      </x:c>
      <x:c r="C19" s="8" t="str">
        <x:v>naxos car rental</x:v>
      </x:c>
      <x:c r="D19" s="8" t="str">
        <x:v>GB</x:v>
      </x:c>
      <x:c r="E19" s="8" t="str">
        <x:v>English</x:v>
      </x:c>
      <x:c r="F19" s="8" t="str">
        <x:v>Google / Ahrefs</x:v>
      </x:c>
      <x:c r="G19" s="8" t="str">
        <x:v>Commercial / transactional</x:v>
      </x:c>
      <x:c r="H19" s="8" t="str">
        <x:v>Booking evaluation</x:v>
      </x:c>
      <x:c r="I19" s="12" t="n">
        <x:v>150</x:v>
      </x:c>
      <x:c r="J19" s="12" t="n">
        <x:v>0</x:v>
      </x:c>
      <x:c r="K19" s="12"/>
      <x:c r="L19" s="14" t="n">
        <x:v>1.3</x:v>
      </x:c>
      <x:c r="M19" s="8" t="str">
        <x:v>USD</x:v>
      </x:c>
      <x:c r="N19" s="8" t="str">
        <x:v>car rental in naxos</x:v>
      </x:c>
      <x:c r="O19" s="8" t="str">
        <x:v>local_pack, image_th, question, video_th</x:v>
      </x:c>
      <x:c r="P19" s="8" t="str">
        <x:v>C-en-core</x:v>
      </x:c>
      <x:c r="Q19" s="10" t="str">
        <x:v>https://naxos-carrentals.com/en</x:v>
      </x:c>
      <x:c r="R19" s="10" t="str">
        <x:v>EXISTING</x:v>
      </x:c>
      <x:c r="S19" s="8" t="str">
        <x:v>OPTIMIZE</x:v>
      </x:c>
      <x:c r="T19" s="8" t="str">
        <x:v>OBSERVED</x:v>
      </x:c>
      <x:c r="U19" s="8" t="str">
        <x:v>VENDOR ESTIMATE</x:v>
      </x:c>
      <x:c r="V19" s="8" t="str">
        <x:v>Medium: vendor estimate</x:v>
      </x:c>
      <x:c r="W19" s="8" t="str">
        <x:v>kw-gb, discover-en</x:v>
      </x:c>
      <x:c r="X19" s="8" t="n">
        <x:v>46240.3371875</x:v>
      </x:c>
      <x:c r="Y19" s="8" t="n">
        <x:v>46289.74006275463</x:v>
      </x:c>
      <x:c r="Z19" s="8" t="str">
        <x:v>No summed market demand. Meaningful query variants can overlap.</x:v>
      </x:c>
      <x:c r="AA19" s="12"/>
      <x:c r="AB19" s="10"/>
    </x:row>
    <x:row r="20" ht="48" customHeight="1">
      <x:c r="A20" s="9" t="str">
        <x:v>K016</x:v>
      </x:c>
      <x:c r="B20" s="9" t="str">
        <x:v>driving in naxos</x:v>
      </x:c>
      <x:c r="C20" s="9" t="str">
        <x:v>driving in naxos</x:v>
      </x:c>
      <x:c r="D20" s="9" t="str">
        <x:v>GB</x:v>
      </x:c>
      <x:c r="E20" s="9" t="str">
        <x:v>English</x:v>
      </x:c>
      <x:c r="F20" s="9" t="str">
        <x:v>Google / Ahrefs</x:v>
      </x:c>
      <x:c r="G20" s="9" t="str">
        <x:v>Informational decision</x:v>
      </x:c>
      <x:c r="H20" s="9" t="str">
        <x:v>Planning</x:v>
      </x:c>
      <x:c r="I20" s="13" t="n">
        <x:v>10</x:v>
      </x:c>
      <x:c r="J20" s="13"/>
      <x:c r="K20" s="13"/>
      <x:c r="L20" s="15"/>
      <x:c r="M20" s="9"/>
      <x:c r="N20" s="9"/>
      <x:c r="O20" s="9"/>
      <x:c r="P20" s="9" t="str">
        <x:v>C-en-driving</x:v>
      </x:c>
      <x:c r="Q20" s="11" t="str">
        <x:v>https://naxos-carrentals.com/en/guides/driving-in-naxos</x:v>
      </x:c>
      <x:c r="R20" s="11" t="str">
        <x:v>EXISTING</x:v>
      </x:c>
      <x:c r="S20" s="9" t="str">
        <x:v>OPTIMIZE</x:v>
      </x:c>
      <x:c r="T20" s="9" t="str">
        <x:v>OBSERVED</x:v>
      </x:c>
      <x:c r="U20" s="9" t="str">
        <x:v>VENDOR ESTIMATE</x:v>
      </x:c>
      <x:c r="V20" s="9" t="str">
        <x:v>Medium: vendor estimate</x:v>
      </x:c>
      <x:c r="W20" s="9" t="str">
        <x:v>kw-gb, discover-en</x:v>
      </x:c>
      <x:c r="X20" s="9"/>
      <x:c r="Y20" s="9" t="n">
        <x:v>46289.74006275463</x:v>
      </x:c>
      <x:c r="Z20" s="9" t="str">
        <x:v>No summed market demand. Meaningful query variants can overlap.</x:v>
      </x:c>
      <x:c r="AA20" s="13"/>
      <x:c r="AB20" s="11"/>
    </x:row>
    <x:row r="21" ht="48" customHeight="1">
      <x:c r="A21" s="8" t="str">
        <x:v>K017</x:v>
      </x:c>
      <x:c r="B21" s="8" t="str">
        <x:v>naxos car hire</x:v>
      </x:c>
      <x:c r="C21" s="8" t="str">
        <x:v>naxos car hire</x:v>
      </x:c>
      <x:c r="D21" s="8" t="str">
        <x:v>GB</x:v>
      </x:c>
      <x:c r="E21" s="8" t="str">
        <x:v>English</x:v>
      </x:c>
      <x:c r="F21" s="8" t="str">
        <x:v>Google / Ahrefs</x:v>
      </x:c>
      <x:c r="G21" s="8" t="str">
        <x:v>Commercial / transactional</x:v>
      </x:c>
      <x:c r="H21" s="8" t="str">
        <x:v>Booking evaluation</x:v>
      </x:c>
      <x:c r="I21" s="12" t="n">
        <x:v>150</x:v>
      </x:c>
      <x:c r="J21" s="12" t="n">
        <x:v>0</x:v>
      </x:c>
      <x:c r="K21" s="12"/>
      <x:c r="L21" s="14" t="n">
        <x:v>1</x:v>
      </x:c>
      <x:c r="M21" s="8" t="str">
        <x:v>USD</x:v>
      </x:c>
      <x:c r="N21" s="8" t="str">
        <x:v>car rental in naxos</x:v>
      </x:c>
      <x:c r="O21" s="8" t="str">
        <x:v>local_pack, video_th, question</x:v>
      </x:c>
      <x:c r="P21" s="8" t="str">
        <x:v>C-en-core</x:v>
      </x:c>
      <x:c r="Q21" s="10" t="str">
        <x:v>https://naxos-carrentals.com/en</x:v>
      </x:c>
      <x:c r="R21" s="10" t="str">
        <x:v>EXISTING</x:v>
      </x:c>
      <x:c r="S21" s="8" t="str">
        <x:v>OPTIMIZE</x:v>
      </x:c>
      <x:c r="T21" s="8" t="str">
        <x:v>OBSERVED</x:v>
      </x:c>
      <x:c r="U21" s="8" t="str">
        <x:v>VENDOR ESTIMATE</x:v>
      </x:c>
      <x:c r="V21" s="8" t="str">
        <x:v>Medium: vendor estimate</x:v>
      </x:c>
      <x:c r="W21" s="8" t="str">
        <x:v>kw-gb, discover-en</x:v>
      </x:c>
      <x:c r="X21" s="8" t="n">
        <x:v>46252.800520833334</x:v>
      </x:c>
      <x:c r="Y21" s="8" t="n">
        <x:v>46289.74006275463</x:v>
      </x:c>
      <x:c r="Z21" s="8" t="str">
        <x:v>No summed market demand. Meaningful query variants can overlap.</x:v>
      </x:c>
      <x:c r="AA21" s="12"/>
      <x:c r="AB21" s="10"/>
    </x:row>
    <x:row r="22" ht="48" customHeight="1">
      <x:c r="A22" s="9" t="str">
        <x:v>K018</x:v>
      </x:c>
      <x:c r="B22" s="9" t="str">
        <x:v>naxos port car rental</x:v>
      </x:c>
      <x:c r="C22" s="9" t="str">
        <x:v>naxos port car rental</x:v>
      </x:c>
      <x:c r="D22" s="9" t="str">
        <x:v>GB</x:v>
      </x:c>
      <x:c r="E22" s="9" t="str">
        <x:v>English</x:v>
      </x:c>
      <x:c r="F22" s="9" t="str">
        <x:v>Google / Ahrefs</x:v>
      </x:c>
      <x:c r="G22" s="9" t="str">
        <x:v>Commercial / transactional</x:v>
      </x:c>
      <x:c r="H22" s="9" t="str">
        <x:v>Booking evaluation</x:v>
      </x:c>
      <x:c r="I22" s="13" t="n">
        <x:v>10</x:v>
      </x:c>
      <x:c r="J22" s="13"/>
      <x:c r="K22" s="13"/>
      <x:c r="L22" s="15" t="n">
        <x:v>1.1</x:v>
      </x:c>
      <x:c r="M22" s="9" t="str">
        <x:v>USD</x:v>
      </x:c>
      <x:c r="N22" s="9"/>
      <x:c r="O22" s="9"/>
      <x:c r="P22" s="9" t="str">
        <x:v>C-en-port</x:v>
      </x:c>
      <x:c r="Q22" s="11" t="str">
        <x:v>https://naxos-carrentals.com/en/locations/port-pickup</x:v>
      </x:c>
      <x:c r="R22" s="11" t="str">
        <x:v>EXISTING</x:v>
      </x:c>
      <x:c r="S22" s="9" t="str">
        <x:v>OPTIMIZE</x:v>
      </x:c>
      <x:c r="T22" s="9" t="str">
        <x:v>OBSERVED</x:v>
      </x:c>
      <x:c r="U22" s="9" t="str">
        <x:v>VENDOR ESTIMATE</x:v>
      </x:c>
      <x:c r="V22" s="9" t="str">
        <x:v>Medium: vendor estimate</x:v>
      </x:c>
      <x:c r="W22" s="9" t="str">
        <x:v>kw-gb</x:v>
      </x:c>
      <x:c r="X22" s="9"/>
      <x:c r="Y22" s="9" t="n">
        <x:v>46289.74006275463</x:v>
      </x:c>
      <x:c r="Z22" s="9" t="str">
        <x:v>No summed market demand. Meaningful query variants can overlap.</x:v>
      </x:c>
      <x:c r="AA22" s="13"/>
      <x:c r="AB22" s="11"/>
    </x:row>
    <x:row r="23" ht="48" customHeight="1">
      <x:c r="A23" s="8" t="str">
        <x:v>K019</x:v>
      </x:c>
      <x:c r="B23" s="8" t="str">
        <x:v>auto mieten naxos</x:v>
      </x:c>
      <x:c r="C23" s="8" t="str">
        <x:v>auto mieten naxos</x:v>
      </x:c>
      <x:c r="D23" s="8" t="str">
        <x:v>DE</x:v>
      </x:c>
      <x:c r="E23" s="8" t="str">
        <x:v>German</x:v>
      </x:c>
      <x:c r="F23" s="8" t="str">
        <x:v>Google / Ahrefs</x:v>
      </x:c>
      <x:c r="G23" s="8" t="str">
        <x:v>Commercial / transactional</x:v>
      </x:c>
      <x:c r="H23" s="8" t="str">
        <x:v>Booking evaluation</x:v>
      </x:c>
      <x:c r="I23" s="12" t="n">
        <x:v>150</x:v>
      </x:c>
      <x:c r="J23" s="12" t="n">
        <x:v>0</x:v>
      </x:c>
      <x:c r="K23" s="12"/>
      <x:c r="L23" s="14" t="n">
        <x:v>0.6</x:v>
      </x:c>
      <x:c r="M23" s="8" t="str">
        <x:v>USD</x:v>
      </x:c>
      <x:c r="N23" s="8" t="str">
        <x:v>mietwagen naxos</x:v>
      </x:c>
      <x:c r="O23" s="8" t="str">
        <x:v>local_pack, question</x:v>
      </x:c>
      <x:c r="P23" s="8" t="str">
        <x:v>C-de-core</x:v>
      </x:c>
      <x:c r="Q23" s="10" t="str">
        <x:v>https://naxos-carrentals.com/de</x:v>
      </x:c>
      <x:c r="R23" s="10" t="str">
        <x:v>EXISTING</x:v>
      </x:c>
      <x:c r="S23" s="8" t="str">
        <x:v>OPTIMIZE</x:v>
      </x:c>
      <x:c r="T23" s="8" t="str">
        <x:v>OBSERVED</x:v>
      </x:c>
      <x:c r="U23" s="8" t="str">
        <x:v>VENDOR ESTIMATE</x:v>
      </x:c>
      <x:c r="V23" s="8" t="str">
        <x:v>Medium: vendor estimate</x:v>
      </x:c>
      <x:c r="W23" s="8" t="str">
        <x:v>kw-de, discover-de</x:v>
      </x:c>
      <x:c r="X23" s="8" t="n">
        <x:v>46257.79215277778</x:v>
      </x:c>
      <x:c r="Y23" s="8" t="n">
        <x:v>46289.740062881945</x:v>
      </x:c>
      <x:c r="Z23" s="8" t="str">
        <x:v>No summed market demand. Meaningful query variants can overlap.</x:v>
      </x:c>
      <x:c r="AA23" s="12"/>
      <x:c r="AB23" s="10"/>
    </x:row>
    <x:row r="24" ht="48" customHeight="1">
      <x:c r="A24" s="9" t="str">
        <x:v>K020</x:v>
      </x:c>
      <x:c r="B24" s="9" t="str">
        <x:v>mietwagen naxos</x:v>
      </x:c>
      <x:c r="C24" s="9" t="str">
        <x:v>mietwagen naxos</x:v>
      </x:c>
      <x:c r="D24" s="9" t="str">
        <x:v>DE</x:v>
      </x:c>
      <x:c r="E24" s="9" t="str">
        <x:v>German</x:v>
      </x:c>
      <x:c r="F24" s="9" t="str">
        <x:v>Google / Ahrefs</x:v>
      </x:c>
      <x:c r="G24" s="9" t="str">
        <x:v>Commercial / transactional</x:v>
      </x:c>
      <x:c r="H24" s="9" t="str">
        <x:v>Booking evaluation</x:v>
      </x:c>
      <x:c r="I24" s="13" t="n">
        <x:v>200</x:v>
      </x:c>
      <x:c r="J24" s="13" t="n">
        <x:v>0</x:v>
      </x:c>
      <x:c r="K24" s="13"/>
      <x:c r="L24" s="15" t="n">
        <x:v>0.7</x:v>
      </x:c>
      <x:c r="M24" s="9" t="str">
        <x:v>USD</x:v>
      </x:c>
      <x:c r="N24" s="9" t="str">
        <x:v>auto mieten naxos</x:v>
      </x:c>
      <x:c r="O24" s="9" t="str">
        <x:v>ai_overview, ai_overview_sitelink, image_th, question</x:v>
      </x:c>
      <x:c r="P24" s="9" t="str">
        <x:v>C-de-core</x:v>
      </x:c>
      <x:c r="Q24" s="11" t="str">
        <x:v>https://naxos-carrentals.com/de</x:v>
      </x:c>
      <x:c r="R24" s="11" t="str">
        <x:v>EXISTING</x:v>
      </x:c>
      <x:c r="S24" s="9" t="str">
        <x:v>OPTIMIZE</x:v>
      </x:c>
      <x:c r="T24" s="9" t="str">
        <x:v>OBSERVED</x:v>
      </x:c>
      <x:c r="U24" s="9" t="str">
        <x:v>VENDOR ESTIMATE</x:v>
      </x:c>
      <x:c r="V24" s="9" t="str">
        <x:v>Medium: vendor estimate</x:v>
      </x:c>
      <x:c r="W24" s="9" t="str">
        <x:v>kw-de, discover-de</x:v>
      </x:c>
      <x:c r="X24" s="9" t="n">
        <x:v>46258.35288194445</x:v>
      </x:c>
      <x:c r="Y24" s="9" t="n">
        <x:v>46289.740062881945</x:v>
      </x:c>
      <x:c r="Z24" s="9" t="str">
        <x:v>No summed market demand. Meaningful query variants can overlap.</x:v>
      </x:c>
      <x:c r="AA24" s="13"/>
      <x:c r="AB24" s="11"/>
    </x:row>
    <x:row r="25" ht="48" customHeight="1">
      <x:c r="A25" s="8" t="str">
        <x:v>K021</x:v>
      </x:c>
      <x:c r="B25" s="8" t="str">
        <x:v>mietwagen naxos hafen</x:v>
      </x:c>
      <x:c r="C25" s="8" t="str">
        <x:v>mietwagen naxos hafen</x:v>
      </x:c>
      <x:c r="D25" s="8" t="str">
        <x:v>DE</x:v>
      </x:c>
      <x:c r="E25" s="8" t="str">
        <x:v>German</x:v>
      </x:c>
      <x:c r="F25" s="8" t="str">
        <x:v>Google / Ahrefs</x:v>
      </x:c>
      <x:c r="G25" s="8" t="str">
        <x:v>Commercial / transactional</x:v>
      </x:c>
      <x:c r="H25" s="8" t="str">
        <x:v>Booking evaluation</x:v>
      </x:c>
      <x:c r="I25" s="12" t="n">
        <x:v>40</x:v>
      </x:c>
      <x:c r="J25" s="12" t="n">
        <x:v>0</x:v>
      </x:c>
      <x:c r="K25" s="12"/>
      <x:c r="L25" s="14" t="n">
        <x:v>0.6</x:v>
      </x:c>
      <x:c r="M25" s="8" t="str">
        <x:v>USD</x:v>
      </x:c>
      <x:c r="N25" s="8" t="str">
        <x:v>mietwagen naxos</x:v>
      </x:c>
      <x:c r="O25" s="8" t="str">
        <x:v>knowledge_panel, question</x:v>
      </x:c>
      <x:c r="P25" s="8" t="str">
        <x:v>C-de-port</x:v>
      </x:c>
      <x:c r="Q25" s="10" t="str">
        <x:v>https://naxos-carrentals.com/de/locations/port-pickup</x:v>
      </x:c>
      <x:c r="R25" s="10" t="str">
        <x:v>EXISTING</x:v>
      </x:c>
      <x:c r="S25" s="8" t="str">
        <x:v>OPTIMIZE</x:v>
      </x:c>
      <x:c r="T25" s="8" t="str">
        <x:v>OBSERVED</x:v>
      </x:c>
      <x:c r="U25" s="8" t="str">
        <x:v>VENDOR ESTIMATE</x:v>
      </x:c>
      <x:c r="V25" s="8" t="str">
        <x:v>Medium: vendor estimate</x:v>
      </x:c>
      <x:c r="W25" s="8" t="str">
        <x:v>kw-de, discover-de</x:v>
      </x:c>
      <x:c r="X25" s="8" t="n">
        <x:v>46242.732465277775</x:v>
      </x:c>
      <x:c r="Y25" s="8" t="n">
        <x:v>46289.740062881945</x:v>
      </x:c>
      <x:c r="Z25" s="8" t="str">
        <x:v>No summed market demand. Meaningful query variants can overlap.</x:v>
      </x:c>
      <x:c r="AA25" s="12"/>
      <x:c r="AB25" s="10"/>
    </x:row>
    <x:row r="26" ht="48" customHeight="1">
      <x:c r="A26" s="9" t="str">
        <x:v>K022</x:v>
      </x:c>
      <x:c r="B26" s="9" t="str">
        <x:v>mietwagen naxos flughafen</x:v>
      </x:c>
      <x:c r="C26" s="9" t="str">
        <x:v>mietwagen naxos flughafen</x:v>
      </x:c>
      <x:c r="D26" s="9" t="str">
        <x:v>DE</x:v>
      </x:c>
      <x:c r="E26" s="9" t="str">
        <x:v>German</x:v>
      </x:c>
      <x:c r="F26" s="9" t="str">
        <x:v>Google / Ahrefs</x:v>
      </x:c>
      <x:c r="G26" s="9" t="str">
        <x:v>Commercial / transactional</x:v>
      </x:c>
      <x:c r="H26" s="9" t="str">
        <x:v>Booking evaluation</x:v>
      </x:c>
      <x:c r="I26" s="13" t="n">
        <x:v>30</x:v>
      </x:c>
      <x:c r="J26" s="13"/>
      <x:c r="K26" s="13"/>
      <x:c r="L26" s="15" t="n">
        <x:v>0.9</x:v>
      </x:c>
      <x:c r="M26" s="9" t="str">
        <x:v>USD</x:v>
      </x:c>
      <x:c r="N26" s="9"/>
      <x:c r="O26" s="9"/>
      <x:c r="P26" s="9" t="str">
        <x:v>C-de-airport</x:v>
      </x:c>
      <x:c r="Q26" s="11" t="str">
        <x:v>https://naxos-carrentals.com/de/locations/airport-pickup</x:v>
      </x:c>
      <x:c r="R26" s="11" t="str">
        <x:v>EXISTING</x:v>
      </x:c>
      <x:c r="S26" s="9" t="str">
        <x:v>OPTIMIZE</x:v>
      </x:c>
      <x:c r="T26" s="9" t="str">
        <x:v>OBSERVED</x:v>
      </x:c>
      <x:c r="U26" s="9" t="str">
        <x:v>VENDOR ESTIMATE</x:v>
      </x:c>
      <x:c r="V26" s="9" t="str">
        <x:v>Medium: vendor estimate</x:v>
      </x:c>
      <x:c r="W26" s="9" t="str">
        <x:v>kw-de, discover-de</x:v>
      </x:c>
      <x:c r="X26" s="9"/>
      <x:c r="Y26" s="9" t="n">
        <x:v>46289.740062881945</x:v>
      </x:c>
      <x:c r="Z26" s="9" t="str">
        <x:v>No summed market demand. Meaningful query variants can overlap.</x:v>
      </x:c>
      <x:c r="AA26" s="13"/>
      <x:c r="AB26" s="11"/>
    </x:row>
    <x:row r="27" ht="48" customHeight="1">
      <x:c r="A27" s="8" t="str">
        <x:v>K023</x:v>
      </x:c>
      <x:c r="B27" s="8" t="str">
        <x:v>πειραιας ναξος τιμη αυτοκινητο</x:v>
      </x:c>
      <x:c r="C27" s="8" t="str">
        <x:v>πειραιας ναξος τιμη αυτοκινητο</x:v>
      </x:c>
      <x:c r="D27" s="8" t="str">
        <x:v>GR</x:v>
      </x:c>
      <x:c r="E27" s="8" t="str">
        <x:v>Greek</x:v>
      </x:c>
      <x:c r="F27" s="8" t="str">
        <x:v>Google / Ahrefs</x:v>
      </x:c>
      <x:c r="G27" s="8" t="str">
        <x:v>Informational decision</x:v>
      </x:c>
      <x:c r="H27" s="8" t="str">
        <x:v>Planning</x:v>
      </x:c>
      <x:c r="I27" s="12" t="n">
        <x:v>50</x:v>
      </x:c>
      <x:c r="J27" s="12"/>
      <x:c r="K27" s="12"/>
      <x:c r="L27" s="14"/>
      <x:c r="M27" s="8"/>
      <x:c r="N27" s="8" t="str">
        <x:v>πειραιας ναξος</x:v>
      </x:c>
      <x:c r="O27" s="8"/>
      <x:c r="P27" s="8" t="str">
        <x:v>C-el-need-car</x:v>
      </x:c>
      <x:c r="Q27" s="10" t="str">
        <x:v>https://naxos-carrentals.com/el/guides/do-you-need-a-car-in-naxos</x:v>
      </x:c>
      <x:c r="R27" s="10" t="str">
        <x:v>EXISTING</x:v>
      </x:c>
      <x:c r="S27" s="8" t="str">
        <x:v>OPTIMIZE</x:v>
      </x:c>
      <x:c r="T27" s="8" t="str">
        <x:v>OBSERVED</x:v>
      </x:c>
      <x:c r="U27" s="8" t="str">
        <x:v>VENDOR ESTIMATE</x:v>
      </x:c>
      <x:c r="V27" s="8" t="str">
        <x:v>Medium: vendor estimate</x:v>
      </x:c>
      <x:c r="W27" s="8" t="str">
        <x:v>discover-el</x:v>
      </x:c>
      <x:c r="X27" s="8" t="n">
        <x:v>46256.24965277778</x:v>
      </x:c>
      <x:c r="Y27" s="8" t="n">
        <x:v>46289.74017479167</x:v>
      </x:c>
      <x:c r="Z27" s="8" t="str">
        <x:v>No summed market demand. Meaningful query variants can overlap.</x:v>
      </x:c>
      <x:c r="AA27" s="12"/>
      <x:c r="AB27" s="10"/>
    </x:row>
    <x:row r="28" ht="48" customHeight="1">
      <x:c r="A28" s="9" t="str">
        <x:v>K024</x:v>
      </x:c>
      <x:c r="B28" s="9" t="str">
        <x:v>ναξος χωρις αυτοκινητο</x:v>
      </x:c>
      <x:c r="C28" s="9" t="str">
        <x:v>ναξος χωρις αυτοκινητο</x:v>
      </x:c>
      <x:c r="D28" s="9" t="str">
        <x:v>GR</x:v>
      </x:c>
      <x:c r="E28" s="9" t="str">
        <x:v>Greek</x:v>
      </x:c>
      <x:c r="F28" s="9" t="str">
        <x:v>Google / Ahrefs</x:v>
      </x:c>
      <x:c r="G28" s="9" t="str">
        <x:v>Commercial / transactional</x:v>
      </x:c>
      <x:c r="H28" s="9" t="str">
        <x:v>Booking evaluation</x:v>
      </x:c>
      <x:c r="I28" s="13" t="n">
        <x:v>0</x:v>
      </x:c>
      <x:c r="J28" s="13"/>
      <x:c r="K28" s="13"/>
      <x:c r="L28" s="15"/>
      <x:c r="M28" s="9"/>
      <x:c r="N28" s="9"/>
      <x:c r="O28" s="9"/>
      <x:c r="P28" s="9" t="str">
        <x:v>C-el-core</x:v>
      </x:c>
      <x:c r="Q28" s="11" t="str">
        <x:v>https://naxos-carrentals.com/el</x:v>
      </x:c>
      <x:c r="R28" s="11" t="str">
        <x:v>EXISTING</x:v>
      </x:c>
      <x:c r="S28" s="9" t="str">
        <x:v>OPTIMIZE</x:v>
      </x:c>
      <x:c r="T28" s="9" t="str">
        <x:v>OBSERVED</x:v>
      </x:c>
      <x:c r="U28" s="9" t="str">
        <x:v>VENDOR ESTIMATE</x:v>
      </x:c>
      <x:c r="V28" s="9" t="str">
        <x:v>Medium: vendor estimate</x:v>
      </x:c>
      <x:c r="W28" s="9" t="str">
        <x:v>discover-el</x:v>
      </x:c>
      <x:c r="X28" s="9"/>
      <x:c r="Y28" s="9" t="n">
        <x:v>46289.74017479167</x:v>
      </x:c>
      <x:c r="Z28" s="9" t="str">
        <x:v>No summed market demand. Meaningful query variants can overlap.</x:v>
      </x:c>
      <x:c r="AA28" s="13"/>
      <x:c r="AB28" s="11"/>
    </x:row>
    <x:row r="29" ht="48" customHeight="1">
      <x:c r="A29" s="8" t="str">
        <x:v>K025</x:v>
      </x:c>
      <x:c r="B29" s="8" t="str">
        <x:v>ναξος αυτοκινητο</x:v>
      </x:c>
      <x:c r="C29" s="8" t="str">
        <x:v>ναξος αυτοκινητο</x:v>
      </x:c>
      <x:c r="D29" s="8" t="str">
        <x:v>GR</x:v>
      </x:c>
      <x:c r="E29" s="8" t="str">
        <x:v>Greek</x:v>
      </x:c>
      <x:c r="F29" s="8" t="str">
        <x:v>Google / Ahrefs</x:v>
      </x:c>
      <x:c r="G29" s="8" t="str">
        <x:v>Commercial / transactional</x:v>
      </x:c>
      <x:c r="H29" s="8" t="str">
        <x:v>Booking evaluation</x:v>
      </x:c>
      <x:c r="I29" s="12" t="n">
        <x:v>0</x:v>
      </x:c>
      <x:c r="J29" s="12"/>
      <x:c r="K29" s="12"/>
      <x:c r="L29" s="14"/>
      <x:c r="M29" s="8"/>
      <x:c r="N29" s="8"/>
      <x:c r="O29" s="8"/>
      <x:c r="P29" s="8" t="str">
        <x:v>C-el-core</x:v>
      </x:c>
      <x:c r="Q29" s="10" t="str">
        <x:v>https://naxos-carrentals.com/el</x:v>
      </x:c>
      <x:c r="R29" s="10" t="str">
        <x:v>EXISTING</x:v>
      </x:c>
      <x:c r="S29" s="8" t="str">
        <x:v>OPTIMIZE</x:v>
      </x:c>
      <x:c r="T29" s="8" t="str">
        <x:v>OBSERVED</x:v>
      </x:c>
      <x:c r="U29" s="8" t="str">
        <x:v>VENDOR ESTIMATE</x:v>
      </x:c>
      <x:c r="V29" s="8" t="str">
        <x:v>Medium: vendor estimate</x:v>
      </x:c>
      <x:c r="W29" s="8" t="str">
        <x:v>discover-el</x:v>
      </x:c>
      <x:c r="X29" s="8"/>
      <x:c r="Y29" s="8" t="n">
        <x:v>46289.74017479167</x:v>
      </x:c>
      <x:c r="Z29" s="8" t="str">
        <x:v>No summed market demand. Meaningful query variants can overlap.</x:v>
      </x:c>
      <x:c r="AA29" s="12"/>
      <x:c r="AB29" s="10"/>
    </x:row>
    <x:row r="30" ht="48" customHeight="1">
      <x:c r="A30" s="9" t="str">
        <x:v>K026</x:v>
      </x:c>
      <x:c r="B30" s="9" t="str">
        <x:v>ναξος ενοικιαση αυτοκινητο</x:v>
      </x:c>
      <x:c r="C30" s="9" t="str">
        <x:v>ναξος ενοικιαση αυτοκινητο</x:v>
      </x:c>
      <x:c r="D30" s="9" t="str">
        <x:v>GR</x:v>
      </x:c>
      <x:c r="E30" s="9" t="str">
        <x:v>Greek</x:v>
      </x:c>
      <x:c r="F30" s="9" t="str">
        <x:v>Google / Ahrefs</x:v>
      </x:c>
      <x:c r="G30" s="9" t="str">
        <x:v>Commercial / transactional</x:v>
      </x:c>
      <x:c r="H30" s="9" t="str">
        <x:v>Booking evaluation</x:v>
      </x:c>
      <x:c r="I30" s="13" t="n">
        <x:v>0</x:v>
      </x:c>
      <x:c r="J30" s="13"/>
      <x:c r="K30" s="13"/>
      <x:c r="L30" s="15"/>
      <x:c r="M30" s="9"/>
      <x:c r="N30" s="9"/>
      <x:c r="O30" s="9"/>
      <x:c r="P30" s="9" t="str">
        <x:v>C-el-core</x:v>
      </x:c>
      <x:c r="Q30" s="11" t="str">
        <x:v>https://naxos-carrentals.com/el</x:v>
      </x:c>
      <x:c r="R30" s="11" t="str">
        <x:v>EXISTING</x:v>
      </x:c>
      <x:c r="S30" s="9" t="str">
        <x:v>OPTIMIZE</x:v>
      </x:c>
      <x:c r="T30" s="9" t="str">
        <x:v>OBSERVED</x:v>
      </x:c>
      <x:c r="U30" s="9" t="str">
        <x:v>VENDOR ESTIMATE</x:v>
      </x:c>
      <x:c r="V30" s="9" t="str">
        <x:v>Medium: vendor estimate</x:v>
      </x:c>
      <x:c r="W30" s="9" t="str">
        <x:v>discover-el</x:v>
      </x:c>
      <x:c r="X30" s="9"/>
      <x:c r="Y30" s="9" t="n">
        <x:v>46289.74017479167</x:v>
      </x:c>
      <x:c r="Z30" s="9" t="str">
        <x:v>No summed market demand. Meaningful query variants can overlap.</x:v>
      </x:c>
      <x:c r="AA30" s="13"/>
      <x:c r="AB30" s="11"/>
    </x:row>
    <x:row r="31" ht="48" customHeight="1">
      <x:c r="A31" s="8" t="str">
        <x:v>K027</x:v>
      </x:c>
      <x:c r="B31" s="8" t="str">
        <x:v>ενοικιαση αυτοκινητο ναξος</x:v>
      </x:c>
      <x:c r="C31" s="8" t="str">
        <x:v>ενοικιαση αυτοκινητο ναξος</x:v>
      </x:c>
      <x:c r="D31" s="8" t="str">
        <x:v>GR</x:v>
      </x:c>
      <x:c r="E31" s="8" t="str">
        <x:v>Greek</x:v>
      </x:c>
      <x:c r="F31" s="8" t="str">
        <x:v>Google / Ahrefs</x:v>
      </x:c>
      <x:c r="G31" s="8" t="str">
        <x:v>Commercial / transactional</x:v>
      </x:c>
      <x:c r="H31" s="8" t="str">
        <x:v>Booking evaluation</x:v>
      </x:c>
      <x:c r="I31" s="12" t="n">
        <x:v>0</x:v>
      </x:c>
      <x:c r="J31" s="12"/>
      <x:c r="K31" s="12"/>
      <x:c r="L31" s="14"/>
      <x:c r="M31" s="8"/>
      <x:c r="N31" s="8"/>
      <x:c r="O31" s="8"/>
      <x:c r="P31" s="8" t="str">
        <x:v>C-el-core</x:v>
      </x:c>
      <x:c r="Q31" s="10" t="str">
        <x:v>https://naxos-carrentals.com/el</x:v>
      </x:c>
      <x:c r="R31" s="10" t="str">
        <x:v>EXISTING</x:v>
      </x:c>
      <x:c r="S31" s="8" t="str">
        <x:v>OPTIMIZE</x:v>
      </x:c>
      <x:c r="T31" s="8" t="str">
        <x:v>OBSERVED</x:v>
      </x:c>
      <x:c r="U31" s="8" t="str">
        <x:v>VENDOR ESTIMATE</x:v>
      </x:c>
      <x:c r="V31" s="8" t="str">
        <x:v>Medium: vendor estimate</x:v>
      </x:c>
      <x:c r="W31" s="8" t="str">
        <x:v>discover-el</x:v>
      </x:c>
      <x:c r="X31" s="8"/>
      <x:c r="Y31" s="8" t="n">
        <x:v>46289.74017479167</x:v>
      </x:c>
      <x:c r="Z31" s="8" t="str">
        <x:v>No summed market demand. Meaningful query variants can overlap.</x:v>
      </x:c>
      <x:c r="AA31" s="12"/>
      <x:c r="AB31" s="10"/>
    </x:row>
    <x:row r="32" ht="48" customHeight="1">
      <x:c r="A32" s="9" t="str">
        <x:v>K028</x:v>
      </x:c>
      <x:c r="B32" s="9" t="str">
        <x:v>ναξος ακτοπλοικα αυτοκινητο</x:v>
      </x:c>
      <x:c r="C32" s="9" t="str">
        <x:v>ναξος ακτοπλοικα αυτοκινητο</x:v>
      </x:c>
      <x:c r="D32" s="9" t="str">
        <x:v>GR</x:v>
      </x:c>
      <x:c r="E32" s="9" t="str">
        <x:v>Greek</x:v>
      </x:c>
      <x:c r="F32" s="9" t="str">
        <x:v>Google / Ahrefs</x:v>
      </x:c>
      <x:c r="G32" s="9" t="str">
        <x:v>Informational decision</x:v>
      </x:c>
      <x:c r="H32" s="9" t="str">
        <x:v>Planning</x:v>
      </x:c>
      <x:c r="I32" s="13" t="n">
        <x:v>0</x:v>
      </x:c>
      <x:c r="J32" s="13"/>
      <x:c r="K32" s="13"/>
      <x:c r="L32" s="15"/>
      <x:c r="M32" s="9"/>
      <x:c r="N32" s="9"/>
      <x:c r="O32" s="9"/>
      <x:c r="P32" s="9" t="str">
        <x:v>C-el-need-car</x:v>
      </x:c>
      <x:c r="Q32" s="11" t="str">
        <x:v>https://naxos-carrentals.com/el/guides/do-you-need-a-car-in-naxos</x:v>
      </x:c>
      <x:c r="R32" s="11" t="str">
        <x:v>EXISTING</x:v>
      </x:c>
      <x:c r="S32" s="9" t="str">
        <x:v>OPTIMIZE</x:v>
      </x:c>
      <x:c r="T32" s="9" t="str">
        <x:v>OBSERVED</x:v>
      </x:c>
      <x:c r="U32" s="9" t="str">
        <x:v>VENDOR ESTIMATE</x:v>
      </x:c>
      <x:c r="V32" s="9" t="str">
        <x:v>Medium: vendor estimate</x:v>
      </x:c>
      <x:c r="W32" s="9" t="str">
        <x:v>discover-el</x:v>
      </x:c>
      <x:c r="X32" s="9"/>
      <x:c r="Y32" s="9" t="n">
        <x:v>46289.74017479167</x:v>
      </x:c>
      <x:c r="Z32" s="9" t="str">
        <x:v>No summed market demand. Meaningful query variants can overlap.</x:v>
      </x:c>
      <x:c r="AA32" s="13"/>
      <x:c r="AB32" s="11"/>
    </x:row>
    <x:row r="33" ht="48" customHeight="1">
      <x:c r="A33" s="8" t="str">
        <x:v>K029</x:v>
      </x:c>
      <x:c r="B33" s="8" t="str">
        <x:v>ραφηνα ναξος αυτοκινητο</x:v>
      </x:c>
      <x:c r="C33" s="8" t="str">
        <x:v>ραφηνα ναξος αυτοκινητο</x:v>
      </x:c>
      <x:c r="D33" s="8" t="str">
        <x:v>GR</x:v>
      </x:c>
      <x:c r="E33" s="8" t="str">
        <x:v>Greek</x:v>
      </x:c>
      <x:c r="F33" s="8" t="str">
        <x:v>Google / Ahrefs</x:v>
      </x:c>
      <x:c r="G33" s="8" t="str">
        <x:v>Informational decision</x:v>
      </x:c>
      <x:c r="H33" s="8" t="str">
        <x:v>Planning</x:v>
      </x:c>
      <x:c r="I33" s="12" t="n">
        <x:v>0</x:v>
      </x:c>
      <x:c r="J33" s="12"/>
      <x:c r="K33" s="12"/>
      <x:c r="L33" s="14"/>
      <x:c r="M33" s="8"/>
      <x:c r="N33" s="8"/>
      <x:c r="O33" s="8"/>
      <x:c r="P33" s="8" t="str">
        <x:v>C-el-need-car</x:v>
      </x:c>
      <x:c r="Q33" s="10" t="str">
        <x:v>https://naxos-carrentals.com/el/guides/do-you-need-a-car-in-naxos</x:v>
      </x:c>
      <x:c r="R33" s="10" t="str">
        <x:v>EXISTING</x:v>
      </x:c>
      <x:c r="S33" s="8" t="str">
        <x:v>OPTIMIZE</x:v>
      </x:c>
      <x:c r="T33" s="8" t="str">
        <x:v>OBSERVED</x:v>
      </x:c>
      <x:c r="U33" s="8" t="str">
        <x:v>VENDOR ESTIMATE</x:v>
      </x:c>
      <x:c r="V33" s="8" t="str">
        <x:v>Medium: vendor estimate</x:v>
      </x:c>
      <x:c r="W33" s="8" t="str">
        <x:v>discover-el</x:v>
      </x:c>
      <x:c r="X33" s="8"/>
      <x:c r="Y33" s="8" t="n">
        <x:v>46289.74017479167</x:v>
      </x:c>
      <x:c r="Z33" s="8" t="str">
        <x:v>No summed market demand. Meaningful query variants can overlap.</x:v>
      </x:c>
      <x:c r="AA33" s="12"/>
      <x:c r="AB33" s="10"/>
    </x:row>
    <x:row r="34" ht="48" customHeight="1">
      <x:c r="A34" s="9" t="str">
        <x:v>K030</x:v>
      </x:c>
      <x:c r="B34" s="9" t="str">
        <x:v>αυτοκινητο ναξος</x:v>
      </x:c>
      <x:c r="C34" s="9" t="str">
        <x:v>αυτοκινητο ναξος</x:v>
      </x:c>
      <x:c r="D34" s="9" t="str">
        <x:v>GR</x:v>
      </x:c>
      <x:c r="E34" s="9" t="str">
        <x:v>Greek</x:v>
      </x:c>
      <x:c r="F34" s="9" t="str">
        <x:v>Google / Ahrefs</x:v>
      </x:c>
      <x:c r="G34" s="9" t="str">
        <x:v>Commercial / transactional</x:v>
      </x:c>
      <x:c r="H34" s="9" t="str">
        <x:v>Booking evaluation</x:v>
      </x:c>
      <x:c r="I34" s="13" t="n">
        <x:v>0</x:v>
      </x:c>
      <x:c r="J34" s="13"/>
      <x:c r="K34" s="13"/>
      <x:c r="L34" s="15"/>
      <x:c r="M34" s="9"/>
      <x:c r="N34" s="9"/>
      <x:c r="O34" s="9"/>
      <x:c r="P34" s="9" t="str">
        <x:v>C-el-core</x:v>
      </x:c>
      <x:c r="Q34" s="11" t="str">
        <x:v>https://naxos-carrentals.com/el</x:v>
      </x:c>
      <x:c r="R34" s="11" t="str">
        <x:v>EXISTING</x:v>
      </x:c>
      <x:c r="S34" s="9" t="str">
        <x:v>OPTIMIZE</x:v>
      </x:c>
      <x:c r="T34" s="9" t="str">
        <x:v>OBSERVED</x:v>
      </x:c>
      <x:c r="U34" s="9" t="str">
        <x:v>VENDOR ESTIMATE</x:v>
      </x:c>
      <x:c r="V34" s="9" t="str">
        <x:v>Medium: vendor estimate</x:v>
      </x:c>
      <x:c r="W34" s="9" t="str">
        <x:v>discover-el</x:v>
      </x:c>
      <x:c r="X34" s="9"/>
      <x:c r="Y34" s="9" t="n">
        <x:v>46289.74017479167</x:v>
      </x:c>
      <x:c r="Z34" s="9" t="str">
        <x:v>No summed market demand. Meaningful query variants can overlap.</x:v>
      </x:c>
      <x:c r="AA34" s="13"/>
      <x:c r="AB34" s="11"/>
    </x:row>
    <x:row r="35" ht="48" customHeight="1">
      <x:c r="A35" s="8" t="str">
        <x:v>K031</x:v>
      </x:c>
      <x:c r="B35" s="8" t="str">
        <x:v>πειραιας ναξος αυτοκινητο</x:v>
      </x:c>
      <x:c r="C35" s="8" t="str">
        <x:v>πειραιας ναξος αυτοκινητο</x:v>
      </x:c>
      <x:c r="D35" s="8" t="str">
        <x:v>GR</x:v>
      </x:c>
      <x:c r="E35" s="8" t="str">
        <x:v>Greek</x:v>
      </x:c>
      <x:c r="F35" s="8" t="str">
        <x:v>Google / Ahrefs</x:v>
      </x:c>
      <x:c r="G35" s="8" t="str">
        <x:v>Informational decision</x:v>
      </x:c>
      <x:c r="H35" s="8" t="str">
        <x:v>Planning</x:v>
      </x:c>
      <x:c r="I35" s="12" t="n">
        <x:v>0</x:v>
      </x:c>
      <x:c r="J35" s="12"/>
      <x:c r="K35" s="12"/>
      <x:c r="L35" s="14"/>
      <x:c r="M35" s="8"/>
      <x:c r="N35" s="8"/>
      <x:c r="O35" s="8"/>
      <x:c r="P35" s="8" t="str">
        <x:v>C-el-need-car</x:v>
      </x:c>
      <x:c r="Q35" s="10" t="str">
        <x:v>https://naxos-carrentals.com/el/guides/do-you-need-a-car-in-naxos</x:v>
      </x:c>
      <x:c r="R35" s="10" t="str">
        <x:v>EXISTING</x:v>
      </x:c>
      <x:c r="S35" s="8" t="str">
        <x:v>OPTIMIZE</x:v>
      </x:c>
      <x:c r="T35" s="8" t="str">
        <x:v>OBSERVED</x:v>
      </x:c>
      <x:c r="U35" s="8" t="str">
        <x:v>VENDOR ESTIMATE</x:v>
      </x:c>
      <x:c r="V35" s="8" t="str">
        <x:v>Medium: vendor estimate</x:v>
      </x:c>
      <x:c r="W35" s="8" t="str">
        <x:v>discover-el</x:v>
      </x:c>
      <x:c r="X35" s="8"/>
      <x:c r="Y35" s="8" t="n">
        <x:v>46289.74017479167</x:v>
      </x:c>
      <x:c r="Z35" s="8" t="str">
        <x:v>No summed market demand. Meaningful query variants can overlap.</x:v>
      </x:c>
      <x:c r="AA35" s="12"/>
      <x:c r="AB35" s="10"/>
    </x:row>
    <x:row r="36" ht="48" customHeight="1">
      <x:c r="A36" s="9" t="str">
        <x:v>K032</x:v>
      </x:c>
      <x:c r="B36" s="9" t="str">
        <x:v>car rental in naxos</x:v>
      </x:c>
      <x:c r="C36" s="9" t="str">
        <x:v>car rental in naxos</x:v>
      </x:c>
      <x:c r="D36" s="9" t="str">
        <x:v>GB</x:v>
      </x:c>
      <x:c r="E36" s="9" t="str">
        <x:v>English</x:v>
      </x:c>
      <x:c r="F36" s="9" t="str">
        <x:v>Google / Ahrefs</x:v>
      </x:c>
      <x:c r="G36" s="9" t="str">
        <x:v>Commercial / transactional</x:v>
      </x:c>
      <x:c r="H36" s="9" t="str">
        <x:v>Booking evaluation</x:v>
      </x:c>
      <x:c r="I36" s="13" t="n">
        <x:v>1900</x:v>
      </x:c>
      <x:c r="J36" s="13" t="n">
        <x:v>0</x:v>
      </x:c>
      <x:c r="K36" s="13" t="n">
        <x:v>1100</x:v>
      </x:c>
      <x:c r="L36" s="15" t="n">
        <x:v>0.9</x:v>
      </x:c>
      <x:c r="M36" s="9" t="str">
        <x:v>USD</x:v>
      </x:c>
      <x:c r="N36" s="9" t="str">
        <x:v>naxos car hire</x:v>
      </x:c>
      <x:c r="O36" s="9"/>
      <x:c r="P36" s="9" t="str">
        <x:v>C-en-core</x:v>
      </x:c>
      <x:c r="Q36" s="11" t="str">
        <x:v>https://naxos-carrentals.com/en</x:v>
      </x:c>
      <x:c r="R36" s="11" t="str">
        <x:v>EXISTING</x:v>
      </x:c>
      <x:c r="S36" s="9" t="str">
        <x:v>OPTIMIZE</x:v>
      </x:c>
      <x:c r="T36" s="9" t="str">
        <x:v>OBSERVED</x:v>
      </x:c>
      <x:c r="U36" s="9" t="str">
        <x:v>VENDOR ESTIMATE</x:v>
      </x:c>
      <x:c r="V36" s="9" t="str">
        <x:v>Medium: vendor estimate</x:v>
      </x:c>
      <x:c r="W36" s="9" t="str">
        <x:v>discover-en, kw-en-enrich</x:v>
      </x:c>
      <x:c r="X36" s="9" t="n">
        <x:v>46288.68021990741</x:v>
      </x:c>
      <x:c r="Y36" s="9" t="n">
        <x:v>46289.74017489584</x:v>
      </x:c>
      <x:c r="Z36" s="9" t="str">
        <x:v>May 2026 spike: 22,384. Do not use average as stable demand.</x:v>
      </x:c>
      <x:c r="AA36" s="13"/>
      <x:c r="AB36" s="11"/>
    </x:row>
    <x:row r="37" ht="48" customHeight="1">
      <x:c r="A37" s="8" t="str">
        <x:v>K033</x:v>
      </x:c>
      <x:c r="B37" s="8" t="str">
        <x:v>car rental naxos</x:v>
      </x:c>
      <x:c r="C37" s="8" t="str">
        <x:v>car rental naxos</x:v>
      </x:c>
      <x:c r="D37" s="8" t="str">
        <x:v>GB</x:v>
      </x:c>
      <x:c r="E37" s="8" t="str">
        <x:v>English</x:v>
      </x:c>
      <x:c r="F37" s="8" t="str">
        <x:v>Google / Ahrefs</x:v>
      </x:c>
      <x:c r="G37" s="8" t="str">
        <x:v>Commercial / transactional</x:v>
      </x:c>
      <x:c r="H37" s="8" t="str">
        <x:v>Booking evaluation</x:v>
      </x:c>
      <x:c r="I37" s="12" t="n">
        <x:v>400</x:v>
      </x:c>
      <x:c r="J37" s="12" t="n">
        <x:v>0</x:v>
      </x:c>
      <x:c r="K37" s="12" t="n">
        <x:v>1100</x:v>
      </x:c>
      <x:c r="L37" s="14" t="n">
        <x:v>0.9</x:v>
      </x:c>
      <x:c r="M37" s="8" t="str">
        <x:v>USD</x:v>
      </x:c>
      <x:c r="N37" s="8" t="str">
        <x:v>car rental in naxos</x:v>
      </x:c>
      <x:c r="O37" s="8"/>
      <x:c r="P37" s="8" t="str">
        <x:v>C-en-core</x:v>
      </x:c>
      <x:c r="Q37" s="10" t="str">
        <x:v>https://naxos-carrentals.com/en</x:v>
      </x:c>
      <x:c r="R37" s="10" t="str">
        <x:v>EXISTING</x:v>
      </x:c>
      <x:c r="S37" s="8" t="str">
        <x:v>OPTIMIZE</x:v>
      </x:c>
      <x:c r="T37" s="8" t="str">
        <x:v>OBSERVED</x:v>
      </x:c>
      <x:c r="U37" s="8" t="str">
        <x:v>VENDOR ESTIMATE</x:v>
      </x:c>
      <x:c r="V37" s="8" t="str">
        <x:v>Medium: vendor estimate</x:v>
      </x:c>
      <x:c r="W37" s="8" t="str">
        <x:v>discover-en, kw-en-enrich</x:v>
      </x:c>
      <x:c r="X37" s="8" t="n">
        <x:v>46281.9431712963</x:v>
      </x:c>
      <x:c r="Y37" s="8" t="n">
        <x:v>46289.74017489584</x:v>
      </x:c>
      <x:c r="Z37" s="8" t="str">
        <x:v>No summed market demand. Meaningful query variants can overlap.</x:v>
      </x:c>
      <x:c r="AA37" s="12"/>
      <x:c r="AB37" s="10"/>
    </x:row>
    <x:row r="38" ht="48" customHeight="1">
      <x:c r="A38" s="9" t="str">
        <x:v>K034</x:v>
      </x:c>
      <x:c r="B38" s="9" t="str">
        <x:v>car hire naxos</x:v>
      </x:c>
      <x:c r="C38" s="9" t="str">
        <x:v>car hire naxos</x:v>
      </x:c>
      <x:c r="D38" s="9" t="str">
        <x:v>GB</x:v>
      </x:c>
      <x:c r="E38" s="9" t="str">
        <x:v>English</x:v>
      </x:c>
      <x:c r="F38" s="9" t="str">
        <x:v>Google / Ahrefs</x:v>
      </x:c>
      <x:c r="G38" s="9" t="str">
        <x:v>Commercial / transactional</x:v>
      </x:c>
      <x:c r="H38" s="9" t="str">
        <x:v>Booking evaluation</x:v>
      </x:c>
      <x:c r="I38" s="13" t="n">
        <x:v>150</x:v>
      </x:c>
      <x:c r="J38" s="13"/>
      <x:c r="K38" s="13"/>
      <x:c r="L38" s="15"/>
      <x:c r="M38" s="9"/>
      <x:c r="N38" s="9" t="str">
        <x:v>car rental in naxos</x:v>
      </x:c>
      <x:c r="O38" s="9"/>
      <x:c r="P38" s="9" t="str">
        <x:v>C-en-core</x:v>
      </x:c>
      <x:c r="Q38" s="11" t="str">
        <x:v>https://naxos-carrentals.com/en</x:v>
      </x:c>
      <x:c r="R38" s="11" t="str">
        <x:v>EXISTING</x:v>
      </x:c>
      <x:c r="S38" s="9" t="str">
        <x:v>OPTIMIZE</x:v>
      </x:c>
      <x:c r="T38" s="9" t="str">
        <x:v>OBSERVED</x:v>
      </x:c>
      <x:c r="U38" s="9" t="str">
        <x:v>VENDOR ESTIMATE</x:v>
      </x:c>
      <x:c r="V38" s="9" t="str">
        <x:v>Medium: vendor estimate</x:v>
      </x:c>
      <x:c r="W38" s="9" t="str">
        <x:v>discover-en</x:v>
      </x:c>
      <x:c r="X38" s="9" t="n">
        <x:v>46271.646585648145</x:v>
      </x:c>
      <x:c r="Y38" s="9" t="n">
        <x:v>46289.74017489584</x:v>
      </x:c>
      <x:c r="Z38" s="9" t="str">
        <x:v>No summed market demand. Meaningful query variants can overlap.</x:v>
      </x:c>
      <x:c r="AA38" s="13"/>
      <x:c r="AB38" s="11"/>
    </x:row>
    <x:row r="39" ht="48" customHeight="1">
      <x:c r="A39" s="8" t="str">
        <x:v>K035</x:v>
      </x:c>
      <x:c r="B39" s="8" t="str">
        <x:v>rent a car naxos</x:v>
      </x:c>
      <x:c r="C39" s="8" t="str">
        <x:v>rent a car naxos</x:v>
      </x:c>
      <x:c r="D39" s="8" t="str">
        <x:v>GB</x:v>
      </x:c>
      <x:c r="E39" s="8" t="str">
        <x:v>English</x:v>
      </x:c>
      <x:c r="F39" s="8" t="str">
        <x:v>Google / Ahrefs</x:v>
      </x:c>
      <x:c r="G39" s="8" t="str">
        <x:v>Commercial / transactional</x:v>
      </x:c>
      <x:c r="H39" s="8" t="str">
        <x:v>Booking evaluation</x:v>
      </x:c>
      <x:c r="I39" s="12" t="n">
        <x:v>100</x:v>
      </x:c>
      <x:c r="J39" s="12"/>
      <x:c r="K39" s="12"/>
      <x:c r="L39" s="14"/>
      <x:c r="M39" s="8"/>
      <x:c r="N39" s="8" t="str">
        <x:v>car rental in naxos</x:v>
      </x:c>
      <x:c r="O39" s="8"/>
      <x:c r="P39" s="8" t="str">
        <x:v>C-en-core</x:v>
      </x:c>
      <x:c r="Q39" s="10" t="str">
        <x:v>https://naxos-carrentals.com/en</x:v>
      </x:c>
      <x:c r="R39" s="10" t="str">
        <x:v>EXISTING</x:v>
      </x:c>
      <x:c r="S39" s="8" t="str">
        <x:v>OPTIMIZE</x:v>
      </x:c>
      <x:c r="T39" s="8" t="str">
        <x:v>OBSERVED</x:v>
      </x:c>
      <x:c r="U39" s="8" t="str">
        <x:v>VENDOR ESTIMATE</x:v>
      </x:c>
      <x:c r="V39" s="8" t="str">
        <x:v>Medium: vendor estimate</x:v>
      </x:c>
      <x:c r="W39" s="8" t="str">
        <x:v>discover-en</x:v>
      </x:c>
      <x:c r="X39" s="8" t="n">
        <x:v>46285.33597222222</x:v>
      </x:c>
      <x:c r="Y39" s="8" t="n">
        <x:v>46289.74017489584</x:v>
      </x:c>
      <x:c r="Z39" s="8" t="str">
        <x:v>No summed market demand. Meaningful query variants can overlap.</x:v>
      </x:c>
      <x:c r="AA39" s="12"/>
      <x:c r="AB39" s="10"/>
    </x:row>
    <x:row r="40" ht="48" customHeight="1">
      <x:c r="A40" s="9" t="str">
        <x:v>K036</x:v>
      </x:c>
      <x:c r="B40" s="9" t="str">
        <x:v>car hire in naxos</x:v>
      </x:c>
      <x:c r="C40" s="9" t="str">
        <x:v>car hire in naxos</x:v>
      </x:c>
      <x:c r="D40" s="9" t="str">
        <x:v>GB</x:v>
      </x:c>
      <x:c r="E40" s="9" t="str">
        <x:v>English</x:v>
      </x:c>
      <x:c r="F40" s="9" t="str">
        <x:v>Google / Ahrefs</x:v>
      </x:c>
      <x:c r="G40" s="9" t="str">
        <x:v>Commercial / transactional</x:v>
      </x:c>
      <x:c r="H40" s="9" t="str">
        <x:v>Booking evaluation</x:v>
      </x:c>
      <x:c r="I40" s="13" t="n">
        <x:v>100</x:v>
      </x:c>
      <x:c r="J40" s="13"/>
      <x:c r="K40" s="13"/>
      <x:c r="L40" s="15"/>
      <x:c r="M40" s="9"/>
      <x:c r="N40" s="9"/>
      <x:c r="O40" s="9"/>
      <x:c r="P40" s="9" t="str">
        <x:v>C-en-core</x:v>
      </x:c>
      <x:c r="Q40" s="11" t="str">
        <x:v>https://naxos-carrentals.com/en</x:v>
      </x:c>
      <x:c r="R40" s="11" t="str">
        <x:v>EXISTING</x:v>
      </x:c>
      <x:c r="S40" s="9" t="str">
        <x:v>OPTIMIZE</x:v>
      </x:c>
      <x:c r="T40" s="9" t="str">
        <x:v>OBSERVED</x:v>
      </x:c>
      <x:c r="U40" s="9" t="str">
        <x:v>VENDOR ESTIMATE</x:v>
      </x:c>
      <x:c r="V40" s="9" t="str">
        <x:v>Medium: vendor estimate</x:v>
      </x:c>
      <x:c r="W40" s="9" t="str">
        <x:v>discover-en</x:v>
      </x:c>
      <x:c r="X40" s="9"/>
      <x:c r="Y40" s="9" t="n">
        <x:v>46289.74017489584</x:v>
      </x:c>
      <x:c r="Z40" s="9" t="str">
        <x:v>No summed market demand. Meaningful query variants can overlap.</x:v>
      </x:c>
      <x:c r="AA40" s="13"/>
      <x:c r="AB40" s="11"/>
    </x:row>
    <x:row r="41" ht="48" customHeight="1">
      <x:c r="A41" s="8" t="str">
        <x:v>K037</x:v>
      </x:c>
      <x:c r="B41" s="8" t="str">
        <x:v>car hire naxos port</x:v>
      </x:c>
      <x:c r="C41" s="8" t="str">
        <x:v>car hire naxos port</x:v>
      </x:c>
      <x:c r="D41" s="8" t="str">
        <x:v>GB</x:v>
      </x:c>
      <x:c r="E41" s="8" t="str">
        <x:v>English</x:v>
      </x:c>
      <x:c r="F41" s="8" t="str">
        <x:v>Google / Ahrefs</x:v>
      </x:c>
      <x:c r="G41" s="8" t="str">
        <x:v>Commercial / transactional</x:v>
      </x:c>
      <x:c r="H41" s="8" t="str">
        <x:v>Booking evaluation</x:v>
      </x:c>
      <x:c r="I41" s="12" t="n">
        <x:v>100</x:v>
      </x:c>
      <x:c r="J41" s="12" t="n">
        <x:v>86</x:v>
      </x:c>
      <x:c r="K41" s="12" t="n">
        <x:v>1200</x:v>
      </x:c>
      <x:c r="L41" s="14" t="n">
        <x:v>1.1</x:v>
      </x:c>
      <x:c r="M41" s="8" t="str">
        <x:v>USD</x:v>
      </x:c>
      <x:c r="N41" s="8" t="str">
        <x:v>car rental in naxos</x:v>
      </x:c>
      <x:c r="O41" s="8"/>
      <x:c r="P41" s="8" t="str">
        <x:v>C-en-port</x:v>
      </x:c>
      <x:c r="Q41" s="10" t="str">
        <x:v>https://naxos-carrentals.com/en/locations/port-pickup</x:v>
      </x:c>
      <x:c r="R41" s="10" t="str">
        <x:v>EXISTING</x:v>
      </x:c>
      <x:c r="S41" s="8" t="str">
        <x:v>OPTIMIZE</x:v>
      </x:c>
      <x:c r="T41" s="8" t="str">
        <x:v>OBSERVED</x:v>
      </x:c>
      <x:c r="U41" s="8" t="str">
        <x:v>VENDOR ESTIMATE</x:v>
      </x:c>
      <x:c r="V41" s="8" t="str">
        <x:v>Medium: vendor estimate</x:v>
      </x:c>
      <x:c r="W41" s="8" t="str">
        <x:v>discover-en, kw-en-enrich</x:v>
      </x:c>
      <x:c r="X41" s="8" t="n">
        <x:v>46277.855625</x:v>
      </x:c>
      <x:c r="Y41" s="8" t="n">
        <x:v>46289.74017489584</x:v>
      </x:c>
      <x:c r="Z41" s="8" t="str">
        <x:v>No summed market demand. Meaningful query variants can overlap.</x:v>
      </x:c>
      <x:c r="AA41" s="12"/>
      <x:c r="AB41" s="10"/>
    </x:row>
    <x:row r="42" ht="48" customHeight="1">
      <x:c r="A42" s="9" t="str">
        <x:v>K038</x:v>
      </x:c>
      <x:c r="B42" s="9" t="str">
        <x:v>car hire naxos island airport</x:v>
      </x:c>
      <x:c r="C42" s="9" t="str">
        <x:v>car hire naxos island airport</x:v>
      </x:c>
      <x:c r="D42" s="9" t="str">
        <x:v>GB</x:v>
      </x:c>
      <x:c r="E42" s="9" t="str">
        <x:v>English</x:v>
      </x:c>
      <x:c r="F42" s="9" t="str">
        <x:v>Google / Ahrefs</x:v>
      </x:c>
      <x:c r="G42" s="9" t="str">
        <x:v>Commercial / transactional</x:v>
      </x:c>
      <x:c r="H42" s="9" t="str">
        <x:v>Booking evaluation</x:v>
      </x:c>
      <x:c r="I42" s="13" t="n">
        <x:v>80</x:v>
      </x:c>
      <x:c r="J42" s="13"/>
      <x:c r="K42" s="13"/>
      <x:c r="L42" s="15"/>
      <x:c r="M42" s="9"/>
      <x:c r="N42" s="9"/>
      <x:c r="O42" s="9"/>
      <x:c r="P42" s="9" t="str">
        <x:v>C-en-airport</x:v>
      </x:c>
      <x:c r="Q42" s="11" t="str">
        <x:v>https://naxos-carrentals.com/en/locations/airport-pickup</x:v>
      </x:c>
      <x:c r="R42" s="11" t="str">
        <x:v>EXISTING</x:v>
      </x:c>
      <x:c r="S42" s="9" t="str">
        <x:v>OPTIMIZE</x:v>
      </x:c>
      <x:c r="T42" s="9" t="str">
        <x:v>OBSERVED</x:v>
      </x:c>
      <x:c r="U42" s="9" t="str">
        <x:v>VENDOR ESTIMATE</x:v>
      </x:c>
      <x:c r="V42" s="9" t="str">
        <x:v>Medium: vendor estimate</x:v>
      </x:c>
      <x:c r="W42" s="9" t="str">
        <x:v>discover-en, kw-en-enrich</x:v>
      </x:c>
      <x:c r="X42" s="9"/>
      <x:c r="Y42" s="9" t="n">
        <x:v>46289.74017489584</x:v>
      </x:c>
      <x:c r="Z42" s="9" t="str">
        <x:v>No summed market demand. Meaningful query variants can overlap.</x:v>
      </x:c>
      <x:c r="AA42" s="13"/>
      <x:c r="AB42" s="11"/>
    </x:row>
    <x:row r="43" ht="48" customHeight="1">
      <x:c r="A43" s="8" t="str">
        <x:v>K039</x:v>
      </x:c>
      <x:c r="B43" s="8" t="str">
        <x:v>naxos rent a car</x:v>
      </x:c>
      <x:c r="C43" s="8" t="str">
        <x:v>naxos rent a car</x:v>
      </x:c>
      <x:c r="D43" s="8" t="str">
        <x:v>GB</x:v>
      </x:c>
      <x:c r="E43" s="8" t="str">
        <x:v>English</x:v>
      </x:c>
      <x:c r="F43" s="8" t="str">
        <x:v>Google / Ahrefs</x:v>
      </x:c>
      <x:c r="G43" s="8" t="str">
        <x:v>Commercial / transactional</x:v>
      </x:c>
      <x:c r="H43" s="8" t="str">
        <x:v>Booking evaluation</x:v>
      </x:c>
      <x:c r="I43" s="12" t="n">
        <x:v>40</x:v>
      </x:c>
      <x:c r="J43" s="12"/>
      <x:c r="K43" s="12"/>
      <x:c r="L43" s="14"/>
      <x:c r="M43" s="8"/>
      <x:c r="N43" s="8" t="str">
        <x:v>car rental in naxos</x:v>
      </x:c>
      <x:c r="O43" s="8"/>
      <x:c r="P43" s="8" t="str">
        <x:v>C-en-core</x:v>
      </x:c>
      <x:c r="Q43" s="10" t="str">
        <x:v>https://naxos-carrentals.com/en</x:v>
      </x:c>
      <x:c r="R43" s="10" t="str">
        <x:v>EXISTING</x:v>
      </x:c>
      <x:c r="S43" s="8" t="str">
        <x:v>OPTIMIZE</x:v>
      </x:c>
      <x:c r="T43" s="8" t="str">
        <x:v>OBSERVED</x:v>
      </x:c>
      <x:c r="U43" s="8" t="str">
        <x:v>VENDOR ESTIMATE</x:v>
      </x:c>
      <x:c r="V43" s="8" t="str">
        <x:v>Medium: vendor estimate</x:v>
      </x:c>
      <x:c r="W43" s="8" t="str">
        <x:v>discover-en</x:v>
      </x:c>
      <x:c r="X43" s="8" t="n">
        <x:v>46257.56592592593</x:v>
      </x:c>
      <x:c r="Y43" s="8" t="n">
        <x:v>46289.74017489584</x:v>
      </x:c>
      <x:c r="Z43" s="8" t="str">
        <x:v>No summed market demand. Meaningful query variants can overlap.</x:v>
      </x:c>
      <x:c r="AA43" s="12"/>
      <x:c r="AB43" s="10"/>
    </x:row>
    <x:row r="44" ht="48" customHeight="1">
      <x:c r="A44" s="9" t="str">
        <x:v>K040</x:v>
      </x:c>
      <x:c r="B44" s="9" t="str">
        <x:v>car rental naxos port</x:v>
      </x:c>
      <x:c r="C44" s="9" t="str">
        <x:v>car rental naxos port</x:v>
      </x:c>
      <x:c r="D44" s="9" t="str">
        <x:v>GB</x:v>
      </x:c>
      <x:c r="E44" s="9" t="str">
        <x:v>English</x:v>
      </x:c>
      <x:c r="F44" s="9" t="str">
        <x:v>Google / Ahrefs</x:v>
      </x:c>
      <x:c r="G44" s="9" t="str">
        <x:v>Commercial / transactional</x:v>
      </x:c>
      <x:c r="H44" s="9" t="str">
        <x:v>Booking evaluation</x:v>
      </x:c>
      <x:c r="I44" s="13" t="n">
        <x:v>40</x:v>
      </x:c>
      <x:c r="J44" s="13"/>
      <x:c r="K44" s="13"/>
      <x:c r="L44" s="15"/>
      <x:c r="M44" s="9"/>
      <x:c r="N44" s="9"/>
      <x:c r="O44" s="9"/>
      <x:c r="P44" s="9" t="str">
        <x:v>C-en-port</x:v>
      </x:c>
      <x:c r="Q44" s="11" t="str">
        <x:v>https://naxos-carrentals.com/en/locations/port-pickup</x:v>
      </x:c>
      <x:c r="R44" s="11" t="str">
        <x:v>EXISTING</x:v>
      </x:c>
      <x:c r="S44" s="9" t="str">
        <x:v>OPTIMIZE</x:v>
      </x:c>
      <x:c r="T44" s="9" t="str">
        <x:v>OBSERVED</x:v>
      </x:c>
      <x:c r="U44" s="9" t="str">
        <x:v>VENDOR ESTIMATE</x:v>
      </x:c>
      <x:c r="V44" s="9" t="str">
        <x:v>Medium: vendor estimate</x:v>
      </x:c>
      <x:c r="W44" s="9" t="str">
        <x:v>discover-en</x:v>
      </x:c>
      <x:c r="X44" s="9"/>
      <x:c r="Y44" s="9" t="n">
        <x:v>46289.74017489584</x:v>
      </x:c>
      <x:c r="Z44" s="9" t="str">
        <x:v>No summed market demand. Meaningful query variants can overlap.</x:v>
      </x:c>
      <x:c r="AA44" s="13"/>
      <x:c r="AB44" s="11"/>
    </x:row>
    <x:row r="45" ht="48" customHeight="1">
      <x:c r="A45" s="8" t="str">
        <x:v>K041</x:v>
      </x:c>
      <x:c r="B45" s="8" t="str">
        <x:v>car hire naxos greece</x:v>
      </x:c>
      <x:c r="C45" s="8" t="str">
        <x:v>car hire naxos greece</x:v>
      </x:c>
      <x:c r="D45" s="8" t="str">
        <x:v>GB</x:v>
      </x:c>
      <x:c r="E45" s="8" t="str">
        <x:v>English</x:v>
      </x:c>
      <x:c r="F45" s="8" t="str">
        <x:v>Google / Ahrefs</x:v>
      </x:c>
      <x:c r="G45" s="8" t="str">
        <x:v>Commercial / transactional</x:v>
      </x:c>
      <x:c r="H45" s="8" t="str">
        <x:v>Booking evaluation</x:v>
      </x:c>
      <x:c r="I45" s="12" t="n">
        <x:v>30</x:v>
      </x:c>
      <x:c r="J45" s="12"/>
      <x:c r="K45" s="12"/>
      <x:c r="L45" s="14"/>
      <x:c r="M45" s="8"/>
      <x:c r="N45" s="8"/>
      <x:c r="O45" s="8"/>
      <x:c r="P45" s="8" t="str">
        <x:v>C-en-core</x:v>
      </x:c>
      <x:c r="Q45" s="10" t="str">
        <x:v>https://naxos-carrentals.com/en</x:v>
      </x:c>
      <x:c r="R45" s="10" t="str">
        <x:v>EXISTING</x:v>
      </x:c>
      <x:c r="S45" s="8" t="str">
        <x:v>OPTIMIZE</x:v>
      </x:c>
      <x:c r="T45" s="8" t="str">
        <x:v>OBSERVED</x:v>
      </x:c>
      <x:c r="U45" s="8" t="str">
        <x:v>VENDOR ESTIMATE</x:v>
      </x:c>
      <x:c r="V45" s="8" t="str">
        <x:v>Medium: vendor estimate</x:v>
      </x:c>
      <x:c r="W45" s="8" t="str">
        <x:v>discover-en</x:v>
      </x:c>
      <x:c r="X45" s="8"/>
      <x:c r="Y45" s="8" t="n">
        <x:v>46289.74017489584</x:v>
      </x:c>
      <x:c r="Z45" s="8" t="str">
        <x:v>No summed market demand. Meaningful query variants can overlap.</x:v>
      </x:c>
      <x:c r="AA45" s="12"/>
      <x:c r="AB45" s="10"/>
    </x:row>
    <x:row r="46" ht="48" customHeight="1">
      <x:c r="A46" s="9" t="str">
        <x:v>K042</x:v>
      </x:c>
      <x:c r="B46" s="9" t="str">
        <x:v>naxos car rental reviews</x:v>
      </x:c>
      <x:c r="C46" s="9" t="str">
        <x:v>naxos car rental reviews</x:v>
      </x:c>
      <x:c r="D46" s="9" t="str">
        <x:v>GB</x:v>
      </x:c>
      <x:c r="E46" s="9" t="str">
        <x:v>English</x:v>
      </x:c>
      <x:c r="F46" s="9" t="str">
        <x:v>Google / Ahrefs</x:v>
      </x:c>
      <x:c r="G46" s="9" t="str">
        <x:v>Commercial / transactional</x:v>
      </x:c>
      <x:c r="H46" s="9" t="str">
        <x:v>Booking evaluation</x:v>
      </x:c>
      <x:c r="I46" s="13" t="n">
        <x:v>30</x:v>
      </x:c>
      <x:c r="J46" s="13"/>
      <x:c r="K46" s="13"/>
      <x:c r="L46" s="15"/>
      <x:c r="M46" s="9"/>
      <x:c r="N46" s="9"/>
      <x:c r="O46" s="9"/>
      <x:c r="P46" s="9" t="str">
        <x:v>C-en-reviews</x:v>
      </x:c>
      <x:c r="Q46" s="11" t="str">
        <x:v>https://naxos-carrentals.com/en/reviews</x:v>
      </x:c>
      <x:c r="R46" s="11" t="str">
        <x:v>EXISTING</x:v>
      </x:c>
      <x:c r="S46" s="9" t="str">
        <x:v>OPTIMIZE</x:v>
      </x:c>
      <x:c r="T46" s="9" t="str">
        <x:v>OBSERVED</x:v>
      </x:c>
      <x:c r="U46" s="9" t="str">
        <x:v>VENDOR ESTIMATE</x:v>
      </x:c>
      <x:c r="V46" s="9" t="str">
        <x:v>Medium: vendor estimate</x:v>
      </x:c>
      <x:c r="W46" s="9" t="str">
        <x:v>discover-en</x:v>
      </x:c>
      <x:c r="X46" s="9"/>
      <x:c r="Y46" s="9" t="n">
        <x:v>46289.74017489584</x:v>
      </x:c>
      <x:c r="Z46" s="9" t="str">
        <x:v>No summed market demand. Meaningful query variants can overlap.</x:v>
      </x:c>
      <x:c r="AA46" s="13"/>
      <x:c r="AB46" s="11"/>
    </x:row>
    <x:row r="47" ht="48" customHeight="1">
      <x:c r="A47" s="8" t="str">
        <x:v>K043</x:v>
      </x:c>
      <x:c r="B47" s="8" t="str">
        <x:v>car hire naxos airport</x:v>
      </x:c>
      <x:c r="C47" s="8" t="str">
        <x:v>car hire naxos airport</x:v>
      </x:c>
      <x:c r="D47" s="8" t="str">
        <x:v>GB</x:v>
      </x:c>
      <x:c r="E47" s="8" t="str">
        <x:v>English</x:v>
      </x:c>
      <x:c r="F47" s="8" t="str">
        <x:v>Google / Ahrefs</x:v>
      </x:c>
      <x:c r="G47" s="8" t="str">
        <x:v>Commercial / transactional</x:v>
      </x:c>
      <x:c r="H47" s="8" t="str">
        <x:v>Booking evaluation</x:v>
      </x:c>
      <x:c r="I47" s="12" t="n">
        <x:v>30</x:v>
      </x:c>
      <x:c r="J47" s="12"/>
      <x:c r="K47" s="12"/>
      <x:c r="L47" s="14"/>
      <x:c r="M47" s="8"/>
      <x:c r="N47" s="8"/>
      <x:c r="O47" s="8"/>
      <x:c r="P47" s="8" t="str">
        <x:v>C-en-airport</x:v>
      </x:c>
      <x:c r="Q47" s="10" t="str">
        <x:v>https://naxos-carrentals.com/en/locations/airport-pickup</x:v>
      </x:c>
      <x:c r="R47" s="10" t="str">
        <x:v>EXISTING</x:v>
      </x:c>
      <x:c r="S47" s="8" t="str">
        <x:v>OPTIMIZE</x:v>
      </x:c>
      <x:c r="T47" s="8" t="str">
        <x:v>OBSERVED</x:v>
      </x:c>
      <x:c r="U47" s="8" t="str">
        <x:v>VENDOR ESTIMATE</x:v>
      </x:c>
      <x:c r="V47" s="8" t="str">
        <x:v>Medium: vendor estimate</x:v>
      </x:c>
      <x:c r="W47" s="8" t="str">
        <x:v>discover-en</x:v>
      </x:c>
      <x:c r="X47" s="8"/>
      <x:c r="Y47" s="8" t="n">
        <x:v>46289.74017489584</x:v>
      </x:c>
      <x:c r="Z47" s="8" t="str">
        <x:v>No summed market demand. Meaningful query variants can overlap.</x:v>
      </x:c>
      <x:c r="AA47" s="12"/>
      <x:c r="AB47" s="10"/>
    </x:row>
    <x:row r="48" ht="48" customHeight="1">
      <x:c r="A48" s="9" t="str">
        <x:v>K044</x:v>
      </x:c>
      <x:c r="B48" s="9" t="str">
        <x:v>things to do in naxos without a car</x:v>
      </x:c>
      <x:c r="C48" s="9" t="str">
        <x:v>things to do in naxos without a car</x:v>
      </x:c>
      <x:c r="D48" s="9" t="str">
        <x:v>GB</x:v>
      </x:c>
      <x:c r="E48" s="9" t="str">
        <x:v>English</x:v>
      </x:c>
      <x:c r="F48" s="9" t="str">
        <x:v>Google / Ahrefs</x:v>
      </x:c>
      <x:c r="G48" s="9" t="str">
        <x:v>Informational decision</x:v>
      </x:c>
      <x:c r="H48" s="9" t="str">
        <x:v>Planning</x:v>
      </x:c>
      <x:c r="I48" s="13" t="n">
        <x:v>20</x:v>
      </x:c>
      <x:c r="J48" s="13"/>
      <x:c r="K48" s="13"/>
      <x:c r="L48" s="15"/>
      <x:c r="M48" s="9"/>
      <x:c r="N48" s="9"/>
      <x:c r="O48" s="9"/>
      <x:c r="P48" s="9" t="str">
        <x:v>C-en-need-car</x:v>
      </x:c>
      <x:c r="Q48" s="11" t="str">
        <x:v>https://naxos-carrentals.com/en/guides/do-you-need-a-car-in-naxos</x:v>
      </x:c>
      <x:c r="R48" s="11" t="str">
        <x:v>EXISTING</x:v>
      </x:c>
      <x:c r="S48" s="9" t="str">
        <x:v>OPTIMIZE</x:v>
      </x:c>
      <x:c r="T48" s="9" t="str">
        <x:v>OBSERVED</x:v>
      </x:c>
      <x:c r="U48" s="9" t="str">
        <x:v>VENDOR ESTIMATE</x:v>
      </x:c>
      <x:c r="V48" s="9" t="str">
        <x:v>Medium: vendor estimate</x:v>
      </x:c>
      <x:c r="W48" s="9" t="str">
        <x:v>discover-en</x:v>
      </x:c>
      <x:c r="X48" s="9"/>
      <x:c r="Y48" s="9" t="n">
        <x:v>46289.74017489584</x:v>
      </x:c>
      <x:c r="Z48" s="9" t="str">
        <x:v>No summed market demand. Meaningful query variants can overlap.</x:v>
      </x:c>
      <x:c r="AA48" s="13"/>
      <x:c r="AB48" s="11"/>
    </x:row>
    <x:row r="49" ht="48" customHeight="1">
      <x:c r="A49" s="8" t="str">
        <x:v>K045</x:v>
      </x:c>
      <x:c r="B49" s="8" t="str">
        <x:v>best car rental naxos</x:v>
      </x:c>
      <x:c r="C49" s="8" t="str">
        <x:v>best car rental naxos</x:v>
      </x:c>
      <x:c r="D49" s="8" t="str">
        <x:v>GB</x:v>
      </x:c>
      <x:c r="E49" s="8" t="str">
        <x:v>English</x:v>
      </x:c>
      <x:c r="F49" s="8" t="str">
        <x:v>Google / Ahrefs</x:v>
      </x:c>
      <x:c r="G49" s="8" t="str">
        <x:v>Commercial / transactional</x:v>
      </x:c>
      <x:c r="H49" s="8" t="str">
        <x:v>Booking evaluation</x:v>
      </x:c>
      <x:c r="I49" s="12" t="n">
        <x:v>20</x:v>
      </x:c>
      <x:c r="J49" s="12"/>
      <x:c r="K49" s="12"/>
      <x:c r="L49" s="14"/>
      <x:c r="M49" s="8"/>
      <x:c r="N49" s="8"/>
      <x:c r="O49" s="8"/>
      <x:c r="P49" s="8" t="str">
        <x:v>C-en-reviews</x:v>
      </x:c>
      <x:c r="Q49" s="10" t="str">
        <x:v>https://naxos-carrentals.com/en/reviews</x:v>
      </x:c>
      <x:c r="R49" s="10" t="str">
        <x:v>EXISTING</x:v>
      </x:c>
      <x:c r="S49" s="8" t="str">
        <x:v>OPTIMIZE</x:v>
      </x:c>
      <x:c r="T49" s="8" t="str">
        <x:v>OBSERVED</x:v>
      </x:c>
      <x:c r="U49" s="8" t="str">
        <x:v>VENDOR ESTIMATE</x:v>
      </x:c>
      <x:c r="V49" s="8" t="str">
        <x:v>Medium: vendor estimate</x:v>
      </x:c>
      <x:c r="W49" s="8" t="str">
        <x:v>discover-en</x:v>
      </x:c>
      <x:c r="X49" s="8"/>
      <x:c r="Y49" s="8" t="n">
        <x:v>46289.74017489584</x:v>
      </x:c>
      <x:c r="Z49" s="8" t="str">
        <x:v>No summed market demand. Meaningful query variants can overlap.</x:v>
      </x:c>
      <x:c r="AA49" s="12"/>
      <x:c r="AB49" s="10"/>
    </x:row>
    <x:row r="50" ht="48" customHeight="1">
      <x:c r="A50" s="9" t="str">
        <x:v>K046</x:v>
      </x:c>
      <x:c r="B50" s="9" t="str">
        <x:v>rent a car in naxos</x:v>
      </x:c>
      <x:c r="C50" s="9" t="str">
        <x:v>rent a car in naxos</x:v>
      </x:c>
      <x:c r="D50" s="9" t="str">
        <x:v>GB</x:v>
      </x:c>
      <x:c r="E50" s="9" t="str">
        <x:v>English</x:v>
      </x:c>
      <x:c r="F50" s="9" t="str">
        <x:v>Google / Ahrefs</x:v>
      </x:c>
      <x:c r="G50" s="9" t="str">
        <x:v>Commercial / transactional</x:v>
      </x:c>
      <x:c r="H50" s="9" t="str">
        <x:v>Booking evaluation</x:v>
      </x:c>
      <x:c r="I50" s="13" t="n">
        <x:v>20</x:v>
      </x:c>
      <x:c r="J50" s="13"/>
      <x:c r="K50" s="13"/>
      <x:c r="L50" s="15"/>
      <x:c r="M50" s="9"/>
      <x:c r="N50" s="9"/>
      <x:c r="O50" s="9"/>
      <x:c r="P50" s="9" t="str">
        <x:v>C-en-core</x:v>
      </x:c>
      <x:c r="Q50" s="11" t="str">
        <x:v>https://naxos-carrentals.com/en</x:v>
      </x:c>
      <x:c r="R50" s="11" t="str">
        <x:v>EXISTING</x:v>
      </x:c>
      <x:c r="S50" s="9" t="str">
        <x:v>OPTIMIZE</x:v>
      </x:c>
      <x:c r="T50" s="9" t="str">
        <x:v>OBSERVED</x:v>
      </x:c>
      <x:c r="U50" s="9" t="str">
        <x:v>VENDOR ESTIMATE</x:v>
      </x:c>
      <x:c r="V50" s="9" t="str">
        <x:v>Medium: vendor estimate</x:v>
      </x:c>
      <x:c r="W50" s="9" t="str">
        <x:v>discover-en</x:v>
      </x:c>
      <x:c r="X50" s="9"/>
      <x:c r="Y50" s="9" t="n">
        <x:v>46289.74017489584</x:v>
      </x:c>
      <x:c r="Z50" s="9" t="str">
        <x:v>No summed market demand. Meaningful query variants can overlap.</x:v>
      </x:c>
      <x:c r="AA50" s="13"/>
      <x:c r="AB50" s="11"/>
    </x:row>
    <x:row r="51" ht="48" customHeight="1">
      <x:c r="A51" s="8" t="str">
        <x:v>K047</x:v>
      </x:c>
      <x:c r="B51" s="8" t="str">
        <x:v>best car hire naxos</x:v>
      </x:c>
      <x:c r="C51" s="8" t="str">
        <x:v>best car hire naxos</x:v>
      </x:c>
      <x:c r="D51" s="8" t="str">
        <x:v>GB</x:v>
      </x:c>
      <x:c r="E51" s="8" t="str">
        <x:v>English</x:v>
      </x:c>
      <x:c r="F51" s="8" t="str">
        <x:v>Google / Ahrefs</x:v>
      </x:c>
      <x:c r="G51" s="8" t="str">
        <x:v>Commercial / transactional</x:v>
      </x:c>
      <x:c r="H51" s="8" t="str">
        <x:v>Booking evaluation</x:v>
      </x:c>
      <x:c r="I51" s="12" t="n">
        <x:v>20</x:v>
      </x:c>
      <x:c r="J51" s="12"/>
      <x:c r="K51" s="12"/>
      <x:c r="L51" s="14"/>
      <x:c r="M51" s="8"/>
      <x:c r="N51" s="8"/>
      <x:c r="O51" s="8"/>
      <x:c r="P51" s="8" t="str">
        <x:v>C-en-reviews</x:v>
      </x:c>
      <x:c r="Q51" s="10" t="str">
        <x:v>https://naxos-carrentals.com/en/reviews</x:v>
      </x:c>
      <x:c r="R51" s="10" t="str">
        <x:v>EXISTING</x:v>
      </x:c>
      <x:c r="S51" s="8" t="str">
        <x:v>OPTIMIZE</x:v>
      </x:c>
      <x:c r="T51" s="8" t="str">
        <x:v>OBSERVED</x:v>
      </x:c>
      <x:c r="U51" s="8" t="str">
        <x:v>VENDOR ESTIMATE</x:v>
      </x:c>
      <x:c r="V51" s="8" t="str">
        <x:v>Medium: vendor estimate</x:v>
      </x:c>
      <x:c r="W51" s="8" t="str">
        <x:v>discover-en</x:v>
      </x:c>
      <x:c r="X51" s="8"/>
      <x:c r="Y51" s="8" t="n">
        <x:v>46289.74017489584</x:v>
      </x:c>
      <x:c r="Z51" s="8" t="str">
        <x:v>No summed market demand. Meaningful query variants can overlap.</x:v>
      </x:c>
      <x:c r="AA51" s="12"/>
      <x:c r="AB51" s="10"/>
    </x:row>
    <x:row r="52" ht="48" customHeight="1">
      <x:c r="A52" s="9" t="str">
        <x:v>K048</x:v>
      </x:c>
      <x:c r="B52" s="9" t="str">
        <x:v>where to stay in naxos without a car</x:v>
      </x:c>
      <x:c r="C52" s="9" t="str">
        <x:v>where to stay in naxos without a car</x:v>
      </x:c>
      <x:c r="D52" s="9" t="str">
        <x:v>GB</x:v>
      </x:c>
      <x:c r="E52" s="9" t="str">
        <x:v>English</x:v>
      </x:c>
      <x:c r="F52" s="9" t="str">
        <x:v>Google / Ahrefs</x:v>
      </x:c>
      <x:c r="G52" s="9" t="str">
        <x:v>Informational decision</x:v>
      </x:c>
      <x:c r="H52" s="9" t="str">
        <x:v>Planning</x:v>
      </x:c>
      <x:c r="I52" s="13" t="n">
        <x:v>20</x:v>
      </x:c>
      <x:c r="J52" s="13"/>
      <x:c r="K52" s="13"/>
      <x:c r="L52" s="15"/>
      <x:c r="M52" s="9"/>
      <x:c r="N52" s="9"/>
      <x:c r="O52" s="9"/>
      <x:c r="P52" s="9" t="str">
        <x:v>C-en-need-car</x:v>
      </x:c>
      <x:c r="Q52" s="11" t="str">
        <x:v>https://naxos-carrentals.com/en/guides/do-you-need-a-car-in-naxos</x:v>
      </x:c>
      <x:c r="R52" s="11" t="str">
        <x:v>EXISTING</x:v>
      </x:c>
      <x:c r="S52" s="9" t="str">
        <x:v>OPTIMIZE</x:v>
      </x:c>
      <x:c r="T52" s="9" t="str">
        <x:v>OBSERVED</x:v>
      </x:c>
      <x:c r="U52" s="9" t="str">
        <x:v>VENDOR ESTIMATE</x:v>
      </x:c>
      <x:c r="V52" s="9" t="str">
        <x:v>Medium: vendor estimate</x:v>
      </x:c>
      <x:c r="W52" s="9" t="str">
        <x:v>discover-en</x:v>
      </x:c>
      <x:c r="X52" s="9"/>
      <x:c r="Y52" s="9" t="n">
        <x:v>46289.74017489584</x:v>
      </x:c>
      <x:c r="Z52" s="9" t="str">
        <x:v>No summed market demand. Meaningful query variants can overlap.</x:v>
      </x:c>
      <x:c r="AA52" s="13"/>
      <x:c r="AB52" s="11"/>
    </x:row>
    <x:row r="53" ht="48" customHeight="1">
      <x:c r="A53" s="8" t="str">
        <x:v>K049</x:v>
      </x:c>
      <x:c r="B53" s="8" t="str">
        <x:v>car rentals naxos greece</x:v>
      </x:c>
      <x:c r="C53" s="8" t="str">
        <x:v>car rentals naxos greece</x:v>
      </x:c>
      <x:c r="D53" s="8" t="str">
        <x:v>GB</x:v>
      </x:c>
      <x:c r="E53" s="8" t="str">
        <x:v>English</x:v>
      </x:c>
      <x:c r="F53" s="8" t="str">
        <x:v>Google / Ahrefs</x:v>
      </x:c>
      <x:c r="G53" s="8" t="str">
        <x:v>Commercial / transactional</x:v>
      </x:c>
      <x:c r="H53" s="8" t="str">
        <x:v>Booking evaluation</x:v>
      </x:c>
      <x:c r="I53" s="12" t="n">
        <x:v>20</x:v>
      </x:c>
      <x:c r="J53" s="12"/>
      <x:c r="K53" s="12"/>
      <x:c r="L53" s="14"/>
      <x:c r="M53" s="8"/>
      <x:c r="N53" s="8"/>
      <x:c r="O53" s="8"/>
      <x:c r="P53" s="8" t="str">
        <x:v>C-en-core</x:v>
      </x:c>
      <x:c r="Q53" s="10" t="str">
        <x:v>https://naxos-carrentals.com/en</x:v>
      </x:c>
      <x:c r="R53" s="10" t="str">
        <x:v>EXISTING</x:v>
      </x:c>
      <x:c r="S53" s="8" t="str">
        <x:v>OPTIMIZE</x:v>
      </x:c>
      <x:c r="T53" s="8" t="str">
        <x:v>OBSERVED</x:v>
      </x:c>
      <x:c r="U53" s="8" t="str">
        <x:v>VENDOR ESTIMATE</x:v>
      </x:c>
      <x:c r="V53" s="8" t="str">
        <x:v>Medium: vendor estimate</x:v>
      </x:c>
      <x:c r="W53" s="8" t="str">
        <x:v>discover-en</x:v>
      </x:c>
      <x:c r="X53" s="8"/>
      <x:c r="Y53" s="8" t="n">
        <x:v>46289.74017489584</x:v>
      </x:c>
      <x:c r="Z53" s="8" t="str">
        <x:v>No summed market demand. Meaningful query variants can overlap.</x:v>
      </x:c>
      <x:c r="AA53" s="12"/>
      <x:c r="AB53" s="10"/>
    </x:row>
    <x:row r="54" ht="48" customHeight="1">
      <x:c r="A54" s="9" t="str">
        <x:v>K050</x:v>
      </x:c>
      <x:c r="B54" s="9" t="str">
        <x:v>cheap car rental naxos</x:v>
      </x:c>
      <x:c r="C54" s="9" t="str">
        <x:v>cheap car rental naxos</x:v>
      </x:c>
      <x:c r="D54" s="9" t="str">
        <x:v>GB</x:v>
      </x:c>
      <x:c r="E54" s="9" t="str">
        <x:v>English</x:v>
      </x:c>
      <x:c r="F54" s="9" t="str">
        <x:v>Google / Ahrefs</x:v>
      </x:c>
      <x:c r="G54" s="9" t="str">
        <x:v>Commercial / transactional</x:v>
      </x:c>
      <x:c r="H54" s="9" t="str">
        <x:v>Booking evaluation</x:v>
      </x:c>
      <x:c r="I54" s="13" t="n">
        <x:v>20</x:v>
      </x:c>
      <x:c r="J54" s="13"/>
      <x:c r="K54" s="13"/>
      <x:c r="L54" s="15"/>
      <x:c r="M54" s="9"/>
      <x:c r="N54" s="9"/>
      <x:c r="O54" s="9"/>
      <x:c r="P54" s="9" t="str">
        <x:v>C-en-pricing</x:v>
      </x:c>
      <x:c r="Q54" s="11" t="str">
        <x:v>https://naxos-carrentals.com/en/pricing</x:v>
      </x:c>
      <x:c r="R54" s="11" t="str">
        <x:v>EXISTING</x:v>
      </x:c>
      <x:c r="S54" s="9" t="str">
        <x:v>OPTIMIZE</x:v>
      </x:c>
      <x:c r="T54" s="9" t="str">
        <x:v>OBSERVED</x:v>
      </x:c>
      <x:c r="U54" s="9" t="str">
        <x:v>VENDOR ESTIMATE</x:v>
      </x:c>
      <x:c r="V54" s="9" t="str">
        <x:v>Medium: vendor estimate</x:v>
      </x:c>
      <x:c r="W54" s="9" t="str">
        <x:v>discover-en</x:v>
      </x:c>
      <x:c r="X54" s="9"/>
      <x:c r="Y54" s="9" t="n">
        <x:v>46289.74017489584</x:v>
      </x:c>
      <x:c r="Z54" s="9" t="str">
        <x:v>No summed market demand. Meaningful query variants can overlap.</x:v>
      </x:c>
      <x:c r="AA54" s="13"/>
      <x:c r="AB54" s="11"/>
    </x:row>
    <x:row r="55" ht="48" customHeight="1">
      <x:c r="A55" s="8" t="str">
        <x:v>K051</x:v>
      </x:c>
      <x:c r="B55" s="8" t="str">
        <x:v>scooter rental naxos</x:v>
      </x:c>
      <x:c r="C55" s="8" t="str">
        <x:v>scooter rental naxos</x:v>
      </x:c>
      <x:c r="D55" s="8" t="str">
        <x:v>GB</x:v>
      </x:c>
      <x:c r="E55" s="8" t="str">
        <x:v>English</x:v>
      </x:c>
      <x:c r="F55" s="8" t="str">
        <x:v>Google / Ahrefs</x:v>
      </x:c>
      <x:c r="G55" s="8" t="str">
        <x:v>Informational decision</x:v>
      </x:c>
      <x:c r="H55" s="8" t="str">
        <x:v>Planning</x:v>
      </x:c>
      <x:c r="I55" s="12" t="n">
        <x:v>20</x:v>
      </x:c>
      <x:c r="J55" s="12"/>
      <x:c r="K55" s="12"/>
      <x:c r="L55" s="14"/>
      <x:c r="M55" s="8"/>
      <x:c r="N55" s="8"/>
      <x:c r="O55" s="8"/>
      <x:c r="P55" s="8" t="str">
        <x:v>C-en-scooter</x:v>
      </x:c>
      <x:c r="Q55" s="10" t="str">
        <x:v>https://naxos-carrentals.com/en/fleet/scooters</x:v>
      </x:c>
      <x:c r="R55" s="10" t="str">
        <x:v>EXISTING</x:v>
      </x:c>
      <x:c r="S55" s="8" t="str">
        <x:v>OPTIMIZE</x:v>
      </x:c>
      <x:c r="T55" s="8" t="str">
        <x:v>OBSERVED</x:v>
      </x:c>
      <x:c r="U55" s="8" t="str">
        <x:v>VENDOR ESTIMATE</x:v>
      </x:c>
      <x:c r="V55" s="8" t="str">
        <x:v>Medium: vendor estimate</x:v>
      </x:c>
      <x:c r="W55" s="8" t="str">
        <x:v>discover-en</x:v>
      </x:c>
      <x:c r="X55" s="8"/>
      <x:c r="Y55" s="8" t="n">
        <x:v>46289.74017489584</x:v>
      </x:c>
      <x:c r="Z55" s="8" t="str">
        <x:v>No summed market demand. Meaningful query variants can overlap.</x:v>
      </x:c>
      <x:c r="AA55" s="12"/>
      <x:c r="AB55" s="10"/>
    </x:row>
    <x:row r="56" ht="48" customHeight="1">
      <x:c r="A56" s="9" t="str">
        <x:v>K052</x:v>
      </x:c>
      <x:c r="B56" s="9" t="str">
        <x:v>naxos scooter rental</x:v>
      </x:c>
      <x:c r="C56" s="9" t="str">
        <x:v>naxos scooter rental</x:v>
      </x:c>
      <x:c r="D56" s="9" t="str">
        <x:v>GB</x:v>
      </x:c>
      <x:c r="E56" s="9" t="str">
        <x:v>English</x:v>
      </x:c>
      <x:c r="F56" s="9" t="str">
        <x:v>Google / Ahrefs</x:v>
      </x:c>
      <x:c r="G56" s="9" t="str">
        <x:v>Informational decision</x:v>
      </x:c>
      <x:c r="H56" s="9" t="str">
        <x:v>Planning</x:v>
      </x:c>
      <x:c r="I56" s="13" t="n">
        <x:v>20</x:v>
      </x:c>
      <x:c r="J56" s="13"/>
      <x:c r="K56" s="13"/>
      <x:c r="L56" s="15"/>
      <x:c r="M56" s="9"/>
      <x:c r="N56" s="9" t="str">
        <x:v>naxos scooter rental</x:v>
      </x:c>
      <x:c r="O56" s="9"/>
      <x:c r="P56" s="9" t="str">
        <x:v>C-en-scooter</x:v>
      </x:c>
      <x:c r="Q56" s="11" t="str">
        <x:v>https://naxos-carrentals.com/en/fleet/scooters</x:v>
      </x:c>
      <x:c r="R56" s="11" t="str">
        <x:v>EXISTING</x:v>
      </x:c>
      <x:c r="S56" s="9" t="str">
        <x:v>OPTIMIZE</x:v>
      </x:c>
      <x:c r="T56" s="9" t="str">
        <x:v>OBSERVED</x:v>
      </x:c>
      <x:c r="U56" s="9" t="str">
        <x:v>VENDOR ESTIMATE</x:v>
      </x:c>
      <x:c r="V56" s="9" t="str">
        <x:v>Medium: vendor estimate</x:v>
      </x:c>
      <x:c r="W56" s="9" t="str">
        <x:v>discover-en</x:v>
      </x:c>
      <x:c r="X56" s="9" t="n">
        <x:v>46246.68796296296</x:v>
      </x:c>
      <x:c r="Y56" s="9" t="n">
        <x:v>46289.74017489584</x:v>
      </x:c>
      <x:c r="Z56" s="9" t="str">
        <x:v>No summed market demand. Meaningful query variants can overlap.</x:v>
      </x:c>
      <x:c r="AA56" s="13"/>
      <x:c r="AB56" s="11"/>
    </x:row>
    <x:row r="57" ht="48" customHeight="1">
      <x:c r="A57" s="8" t="str">
        <x:v>K053</x:v>
      </x:c>
      <x:c r="B57" s="8" t="str">
        <x:v>car rental naxos greece</x:v>
      </x:c>
      <x:c r="C57" s="8" t="str">
        <x:v>car rental naxos greece</x:v>
      </x:c>
      <x:c r="D57" s="8" t="str">
        <x:v>GB</x:v>
      </x:c>
      <x:c r="E57" s="8" t="str">
        <x:v>English</x:v>
      </x:c>
      <x:c r="F57" s="8" t="str">
        <x:v>Google / Ahrefs</x:v>
      </x:c>
      <x:c r="G57" s="8" t="str">
        <x:v>Commercial / transactional</x:v>
      </x:c>
      <x:c r="H57" s="8" t="str">
        <x:v>Booking evaluation</x:v>
      </x:c>
      <x:c r="I57" s="12" t="n">
        <x:v>20</x:v>
      </x:c>
      <x:c r="J57" s="12"/>
      <x:c r="K57" s="12"/>
      <x:c r="L57" s="14"/>
      <x:c r="M57" s="8"/>
      <x:c r="N57" s="8" t="str">
        <x:v>car rental in naxos</x:v>
      </x:c>
      <x:c r="O57" s="8"/>
      <x:c r="P57" s="8" t="str">
        <x:v>C-en-core</x:v>
      </x:c>
      <x:c r="Q57" s="10" t="str">
        <x:v>https://naxos-carrentals.com/en</x:v>
      </x:c>
      <x:c r="R57" s="10" t="str">
        <x:v>EXISTING</x:v>
      </x:c>
      <x:c r="S57" s="8" t="str">
        <x:v>OPTIMIZE</x:v>
      </x:c>
      <x:c r="T57" s="8" t="str">
        <x:v>OBSERVED</x:v>
      </x:c>
      <x:c r="U57" s="8" t="str">
        <x:v>VENDOR ESTIMATE</x:v>
      </x:c>
      <x:c r="V57" s="8" t="str">
        <x:v>Medium: vendor estimate</x:v>
      </x:c>
      <x:c r="W57" s="8" t="str">
        <x:v>discover-en</x:v>
      </x:c>
      <x:c r="X57" s="8" t="n">
        <x:v>46277.00332175926</x:v>
      </x:c>
      <x:c r="Y57" s="8" t="n">
        <x:v>46289.74017489584</x:v>
      </x:c>
      <x:c r="Z57" s="8" t="str">
        <x:v>No summed market demand. Meaningful query variants can overlap.</x:v>
      </x:c>
      <x:c r="AA57" s="12"/>
      <x:c r="AB57" s="10"/>
    </x:row>
    <x:row r="58" ht="48" customHeight="1">
      <x:c r="A58" s="9" t="str">
        <x:v>K054</x:v>
      </x:c>
      <x:c r="B58" s="9" t="str">
        <x:v>rent car naxos</x:v>
      </x:c>
      <x:c r="C58" s="9" t="str">
        <x:v>rent car naxos</x:v>
      </x:c>
      <x:c r="D58" s="9" t="str">
        <x:v>GB</x:v>
      </x:c>
      <x:c r="E58" s="9" t="str">
        <x:v>English</x:v>
      </x:c>
      <x:c r="F58" s="9" t="str">
        <x:v>Google / Ahrefs</x:v>
      </x:c>
      <x:c r="G58" s="9" t="str">
        <x:v>Commercial / transactional</x:v>
      </x:c>
      <x:c r="H58" s="9" t="str">
        <x:v>Booking evaluation</x:v>
      </x:c>
      <x:c r="I58" s="13" t="n">
        <x:v>20</x:v>
      </x:c>
      <x:c r="J58" s="13"/>
      <x:c r="K58" s="13"/>
      <x:c r="L58" s="15"/>
      <x:c r="M58" s="9"/>
      <x:c r="N58" s="9"/>
      <x:c r="O58" s="9"/>
      <x:c r="P58" s="9" t="str">
        <x:v>C-en-core</x:v>
      </x:c>
      <x:c r="Q58" s="11" t="str">
        <x:v>https://naxos-carrentals.com/en</x:v>
      </x:c>
      <x:c r="R58" s="11" t="str">
        <x:v>EXISTING</x:v>
      </x:c>
      <x:c r="S58" s="9" t="str">
        <x:v>OPTIMIZE</x:v>
      </x:c>
      <x:c r="T58" s="9" t="str">
        <x:v>OBSERVED</x:v>
      </x:c>
      <x:c r="U58" s="9" t="str">
        <x:v>VENDOR ESTIMATE</x:v>
      </x:c>
      <x:c r="V58" s="9" t="str">
        <x:v>Medium: vendor estimate</x:v>
      </x:c>
      <x:c r="W58" s="9" t="str">
        <x:v>discover-en</x:v>
      </x:c>
      <x:c r="X58" s="9"/>
      <x:c r="Y58" s="9" t="n">
        <x:v>46289.74017489584</x:v>
      </x:c>
      <x:c r="Z58" s="9" t="str">
        <x:v>No summed market demand. Meaningful query variants can overlap.</x:v>
      </x:c>
      <x:c r="AA58" s="13"/>
      <x:c r="AB58" s="11"/>
    </x:row>
    <x:row r="59" ht="48" customHeight="1">
      <x:c r="A59" s="8" t="str">
        <x:v>K055</x:v>
      </x:c>
      <x:c r="B59" s="8" t="str">
        <x:v>best area to stay in naxos without a car</x:v>
      </x:c>
      <x:c r="C59" s="8" t="str">
        <x:v>best area to stay in naxos without a car</x:v>
      </x:c>
      <x:c r="D59" s="8" t="str">
        <x:v>GB</x:v>
      </x:c>
      <x:c r="E59" s="8" t="str">
        <x:v>English</x:v>
      </x:c>
      <x:c r="F59" s="8" t="str">
        <x:v>Google / Ahrefs</x:v>
      </x:c>
      <x:c r="G59" s="8" t="str">
        <x:v>Informational decision</x:v>
      </x:c>
      <x:c r="H59" s="8" t="str">
        <x:v>Planning</x:v>
      </x:c>
      <x:c r="I59" s="12" t="n">
        <x:v>20</x:v>
      </x:c>
      <x:c r="J59" s="12"/>
      <x:c r="K59" s="12"/>
      <x:c r="L59" s="14"/>
      <x:c r="M59" s="8"/>
      <x:c r="N59" s="8"/>
      <x:c r="O59" s="8"/>
      <x:c r="P59" s="8" t="str">
        <x:v>C-en-need-car</x:v>
      </x:c>
      <x:c r="Q59" s="10" t="str">
        <x:v>https://naxos-carrentals.com/en/guides/do-you-need-a-car-in-naxos</x:v>
      </x:c>
      <x:c r="R59" s="10" t="str">
        <x:v>EXISTING</x:v>
      </x:c>
      <x:c r="S59" s="8" t="str">
        <x:v>OPTIMIZE</x:v>
      </x:c>
      <x:c r="T59" s="8" t="str">
        <x:v>OBSERVED</x:v>
      </x:c>
      <x:c r="U59" s="8" t="str">
        <x:v>VENDOR ESTIMATE</x:v>
      </x:c>
      <x:c r="V59" s="8" t="str">
        <x:v>Medium: vendor estimate</x:v>
      </x:c>
      <x:c r="W59" s="8" t="str">
        <x:v>discover-en</x:v>
      </x:c>
      <x:c r="X59" s="8"/>
      <x:c r="Y59" s="8" t="n">
        <x:v>46289.74017489584</x:v>
      </x:c>
      <x:c r="Z59" s="8" t="str">
        <x:v>No summed market demand. Meaningful query variants can overlap.</x:v>
      </x:c>
      <x:c r="AA59" s="12"/>
      <x:c r="AB59" s="10"/>
    </x:row>
    <x:row r="60" ht="48" customHeight="1">
      <x:c r="A60" s="9" t="str">
        <x:v>K056</x:v>
      </x:c>
      <x:c r="B60" s="9" t="str">
        <x:v>naxos port car hire</x:v>
      </x:c>
      <x:c r="C60" s="9" t="str">
        <x:v>naxos port car hire</x:v>
      </x:c>
      <x:c r="D60" s="9" t="str">
        <x:v>GB</x:v>
      </x:c>
      <x:c r="E60" s="9" t="str">
        <x:v>English</x:v>
      </x:c>
      <x:c r="F60" s="9" t="str">
        <x:v>Google / Ahrefs</x:v>
      </x:c>
      <x:c r="G60" s="9" t="str">
        <x:v>Commercial / transactional</x:v>
      </x:c>
      <x:c r="H60" s="9" t="str">
        <x:v>Booking evaluation</x:v>
      </x:c>
      <x:c r="I60" s="13" t="n">
        <x:v>10</x:v>
      </x:c>
      <x:c r="J60" s="13"/>
      <x:c r="K60" s="13"/>
      <x:c r="L60" s="15"/>
      <x:c r="M60" s="9"/>
      <x:c r="N60" s="9"/>
      <x:c r="O60" s="9"/>
      <x:c r="P60" s="9" t="str">
        <x:v>C-en-port</x:v>
      </x:c>
      <x:c r="Q60" s="11" t="str">
        <x:v>https://naxos-carrentals.com/en/locations/port-pickup</x:v>
      </x:c>
      <x:c r="R60" s="11" t="str">
        <x:v>EXISTING</x:v>
      </x:c>
      <x:c r="S60" s="9" t="str">
        <x:v>OPTIMIZE</x:v>
      </x:c>
      <x:c r="T60" s="9" t="str">
        <x:v>OBSERVED</x:v>
      </x:c>
      <x:c r="U60" s="9" t="str">
        <x:v>VENDOR ESTIMATE</x:v>
      </x:c>
      <x:c r="V60" s="9" t="str">
        <x:v>Medium: vendor estimate</x:v>
      </x:c>
      <x:c r="W60" s="9" t="str">
        <x:v>discover-en</x:v>
      </x:c>
      <x:c r="X60" s="9"/>
      <x:c r="Y60" s="9" t="n">
        <x:v>46289.74017489584</x:v>
      </x:c>
      <x:c r="Z60" s="9" t="str">
        <x:v>No summed market demand. Meaningful query variants can overlap.</x:v>
      </x:c>
      <x:c r="AA60" s="13"/>
      <x:c r="AB60" s="11"/>
    </x:row>
    <x:row r="61" ht="48" customHeight="1">
      <x:c r="A61" s="8" t="str">
        <x:v>K057</x:v>
      </x:c>
      <x:c r="B61" s="8" t="str">
        <x:v>hire car naxos</x:v>
      </x:c>
      <x:c r="C61" s="8" t="str">
        <x:v>hire car naxos</x:v>
      </x:c>
      <x:c r="D61" s="8" t="str">
        <x:v>GB</x:v>
      </x:c>
      <x:c r="E61" s="8" t="str">
        <x:v>English</x:v>
      </x:c>
      <x:c r="F61" s="8" t="str">
        <x:v>Google / Ahrefs</x:v>
      </x:c>
      <x:c r="G61" s="8" t="str">
        <x:v>Commercial / transactional</x:v>
      </x:c>
      <x:c r="H61" s="8" t="str">
        <x:v>Booking evaluation</x:v>
      </x:c>
      <x:c r="I61" s="12" t="n">
        <x:v>10</x:v>
      </x:c>
      <x:c r="J61" s="12"/>
      <x:c r="K61" s="12"/>
      <x:c r="L61" s="14"/>
      <x:c r="M61" s="8"/>
      <x:c r="N61" s="8"/>
      <x:c r="O61" s="8"/>
      <x:c r="P61" s="8" t="str">
        <x:v>C-en-core</x:v>
      </x:c>
      <x:c r="Q61" s="10" t="str">
        <x:v>https://naxos-carrentals.com/en</x:v>
      </x:c>
      <x:c r="R61" s="10" t="str">
        <x:v>EXISTING</x:v>
      </x:c>
      <x:c r="S61" s="8" t="str">
        <x:v>OPTIMIZE</x:v>
      </x:c>
      <x:c r="T61" s="8" t="str">
        <x:v>OBSERVED</x:v>
      </x:c>
      <x:c r="U61" s="8" t="str">
        <x:v>VENDOR ESTIMATE</x:v>
      </x:c>
      <x:c r="V61" s="8" t="str">
        <x:v>Medium: vendor estimate</x:v>
      </x:c>
      <x:c r="W61" s="8" t="str">
        <x:v>discover-en</x:v>
      </x:c>
      <x:c r="X61" s="8"/>
      <x:c r="Y61" s="8" t="n">
        <x:v>46289.74017489584</x:v>
      </x:c>
      <x:c r="Z61" s="8" t="str">
        <x:v>No summed market demand. Meaningful query variants can overlap.</x:v>
      </x:c>
      <x:c r="AA61" s="12"/>
      <x:c r="AB61" s="10"/>
    </x:row>
    <x:row r="62" ht="48" customHeight="1">
      <x:c r="A62" s="9" t="str">
        <x:v>K058</x:v>
      </x:c>
      <x:c r="B62" s="9" t="str">
        <x:v>cheap naxos car hire</x:v>
      </x:c>
      <x:c r="C62" s="9" t="str">
        <x:v>cheap naxos car hire</x:v>
      </x:c>
      <x:c r="D62" s="9" t="str">
        <x:v>GB</x:v>
      </x:c>
      <x:c r="E62" s="9" t="str">
        <x:v>English</x:v>
      </x:c>
      <x:c r="F62" s="9" t="str">
        <x:v>Google / Ahrefs</x:v>
      </x:c>
      <x:c r="G62" s="9" t="str">
        <x:v>Commercial / transactional</x:v>
      </x:c>
      <x:c r="H62" s="9" t="str">
        <x:v>Booking evaluation</x:v>
      </x:c>
      <x:c r="I62" s="13" t="n">
        <x:v>10</x:v>
      </x:c>
      <x:c r="J62" s="13"/>
      <x:c r="K62" s="13"/>
      <x:c r="L62" s="15"/>
      <x:c r="M62" s="9"/>
      <x:c r="N62" s="9"/>
      <x:c r="O62" s="9"/>
      <x:c r="P62" s="9" t="str">
        <x:v>C-en-pricing</x:v>
      </x:c>
      <x:c r="Q62" s="11" t="str">
        <x:v>https://naxos-carrentals.com/en/pricing</x:v>
      </x:c>
      <x:c r="R62" s="11" t="str">
        <x:v>EXISTING</x:v>
      </x:c>
      <x:c r="S62" s="9" t="str">
        <x:v>OPTIMIZE</x:v>
      </x:c>
      <x:c r="T62" s="9" t="str">
        <x:v>OBSERVED</x:v>
      </x:c>
      <x:c r="U62" s="9" t="str">
        <x:v>VENDOR ESTIMATE</x:v>
      </x:c>
      <x:c r="V62" s="9" t="str">
        <x:v>Medium: vendor estimate</x:v>
      </x:c>
      <x:c r="W62" s="9" t="str">
        <x:v>discover-en</x:v>
      </x:c>
      <x:c r="X62" s="9"/>
      <x:c r="Y62" s="9" t="n">
        <x:v>46289.74017489584</x:v>
      </x:c>
      <x:c r="Z62" s="9" t="str">
        <x:v>No summed market demand. Meaningful query variants can overlap.</x:v>
      </x:c>
      <x:c r="AA62" s="13"/>
      <x:c r="AB62" s="11"/>
    </x:row>
    <x:row r="63" ht="48" customHeight="1">
      <x:c r="A63" s="8" t="str">
        <x:v>K059</x:v>
      </x:c>
      <x:c r="B63" s="8" t="str">
        <x:v>do you need a car for naxos</x:v>
      </x:c>
      <x:c r="C63" s="8" t="str">
        <x:v>do you need a car for naxos</x:v>
      </x:c>
      <x:c r="D63" s="8" t="str">
        <x:v>GB</x:v>
      </x:c>
      <x:c r="E63" s="8" t="str">
        <x:v>English</x:v>
      </x:c>
      <x:c r="F63" s="8" t="str">
        <x:v>Google / Ahrefs</x:v>
      </x:c>
      <x:c r="G63" s="8" t="str">
        <x:v>Informational decision</x:v>
      </x:c>
      <x:c r="H63" s="8" t="str">
        <x:v>Planning</x:v>
      </x:c>
      <x:c r="I63" s="12" t="n">
        <x:v>10</x:v>
      </x:c>
      <x:c r="J63" s="12"/>
      <x:c r="K63" s="12"/>
      <x:c r="L63" s="14"/>
      <x:c r="M63" s="8"/>
      <x:c r="N63" s="8"/>
      <x:c r="O63" s="8"/>
      <x:c r="P63" s="8" t="str">
        <x:v>C-en-need-car</x:v>
      </x:c>
      <x:c r="Q63" s="10" t="str">
        <x:v>https://naxos-carrentals.com/en/guides/do-you-need-a-car-in-naxos</x:v>
      </x:c>
      <x:c r="R63" s="10" t="str">
        <x:v>EXISTING</x:v>
      </x:c>
      <x:c r="S63" s="8" t="str">
        <x:v>OPTIMIZE</x:v>
      </x:c>
      <x:c r="T63" s="8" t="str">
        <x:v>OBSERVED</x:v>
      </x:c>
      <x:c r="U63" s="8" t="str">
        <x:v>VENDOR ESTIMATE</x:v>
      </x:c>
      <x:c r="V63" s="8" t="str">
        <x:v>Medium: vendor estimate</x:v>
      </x:c>
      <x:c r="W63" s="8" t="str">
        <x:v>discover-en</x:v>
      </x:c>
      <x:c r="X63" s="8"/>
      <x:c r="Y63" s="8" t="n">
        <x:v>46289.74017489584</x:v>
      </x:c>
      <x:c r="Z63" s="8" t="str">
        <x:v>No summed market demand. Meaningful query variants can overlap.</x:v>
      </x:c>
      <x:c r="AA63" s="12"/>
      <x:c r="AB63" s="10"/>
    </x:row>
    <x:row r="64" ht="48" customHeight="1">
      <x:c r="A64" s="9" t="str">
        <x:v>K060</x:v>
      </x:c>
      <x:c r="B64" s="9" t="str">
        <x:v>best car hire naxos port</x:v>
      </x:c>
      <x:c r="C64" s="9" t="str">
        <x:v>best car hire naxos port</x:v>
      </x:c>
      <x:c r="D64" s="9" t="str">
        <x:v>GB</x:v>
      </x:c>
      <x:c r="E64" s="9" t="str">
        <x:v>English</x:v>
      </x:c>
      <x:c r="F64" s="9" t="str">
        <x:v>Google / Ahrefs</x:v>
      </x:c>
      <x:c r="G64" s="9" t="str">
        <x:v>Commercial / transactional</x:v>
      </x:c>
      <x:c r="H64" s="9" t="str">
        <x:v>Booking evaluation</x:v>
      </x:c>
      <x:c r="I64" s="13" t="n">
        <x:v>10</x:v>
      </x:c>
      <x:c r="J64" s="13"/>
      <x:c r="K64" s="13"/>
      <x:c r="L64" s="15"/>
      <x:c r="M64" s="9"/>
      <x:c r="N64" s="9"/>
      <x:c r="O64" s="9"/>
      <x:c r="P64" s="9" t="str">
        <x:v>C-en-reviews</x:v>
      </x:c>
      <x:c r="Q64" s="11" t="str">
        <x:v>https://naxos-carrentals.com/en/reviews</x:v>
      </x:c>
      <x:c r="R64" s="11" t="str">
        <x:v>EXISTING</x:v>
      </x:c>
      <x:c r="S64" s="9" t="str">
        <x:v>OPTIMIZE</x:v>
      </x:c>
      <x:c r="T64" s="9" t="str">
        <x:v>OBSERVED</x:v>
      </x:c>
      <x:c r="U64" s="9" t="str">
        <x:v>VENDOR ESTIMATE</x:v>
      </x:c>
      <x:c r="V64" s="9" t="str">
        <x:v>Medium: vendor estimate</x:v>
      </x:c>
      <x:c r="W64" s="9" t="str">
        <x:v>discover-en</x:v>
      </x:c>
      <x:c r="X64" s="9"/>
      <x:c r="Y64" s="9" t="n">
        <x:v>46289.74017489584</x:v>
      </x:c>
      <x:c r="Z64" s="9" t="str">
        <x:v>No summed market demand. Meaningful query variants can overlap.</x:v>
      </x:c>
      <x:c r="AA64" s="13"/>
      <x:c r="AB64" s="11"/>
    </x:row>
    <x:row r="65" ht="48" customHeight="1">
      <x:c r="A65" s="8" t="str">
        <x:v>K061</x:v>
      </x:c>
      <x:c r="B65" s="8" t="str">
        <x:v>rent a car naxos airport</x:v>
      </x:c>
      <x:c r="C65" s="8" t="str">
        <x:v>rent a car naxos airport</x:v>
      </x:c>
      <x:c r="D65" s="8" t="str">
        <x:v>GB</x:v>
      </x:c>
      <x:c r="E65" s="8" t="str">
        <x:v>English</x:v>
      </x:c>
      <x:c r="F65" s="8" t="str">
        <x:v>Google / Ahrefs</x:v>
      </x:c>
      <x:c r="G65" s="8" t="str">
        <x:v>Commercial / transactional</x:v>
      </x:c>
      <x:c r="H65" s="8" t="str">
        <x:v>Booking evaluation</x:v>
      </x:c>
      <x:c r="I65" s="12" t="n">
        <x:v>10</x:v>
      </x:c>
      <x:c r="J65" s="12"/>
      <x:c r="K65" s="12"/>
      <x:c r="L65" s="14"/>
      <x:c r="M65" s="8"/>
      <x:c r="N65" s="8"/>
      <x:c r="O65" s="8"/>
      <x:c r="P65" s="8" t="str">
        <x:v>C-en-airport</x:v>
      </x:c>
      <x:c r="Q65" s="10" t="str">
        <x:v>https://naxos-carrentals.com/en/locations/airport-pickup</x:v>
      </x:c>
      <x:c r="R65" s="10" t="str">
        <x:v>EXISTING</x:v>
      </x:c>
      <x:c r="S65" s="8" t="str">
        <x:v>OPTIMIZE</x:v>
      </x:c>
      <x:c r="T65" s="8" t="str">
        <x:v>OBSERVED</x:v>
      </x:c>
      <x:c r="U65" s="8" t="str">
        <x:v>VENDOR ESTIMATE</x:v>
      </x:c>
      <x:c r="V65" s="8" t="str">
        <x:v>Medium: vendor estimate</x:v>
      </x:c>
      <x:c r="W65" s="8" t="str">
        <x:v>discover-en</x:v>
      </x:c>
      <x:c r="X65" s="8"/>
      <x:c r="Y65" s="8" t="n">
        <x:v>46289.74017489584</x:v>
      </x:c>
      <x:c r="Z65" s="8" t="str">
        <x:v>No summed market demand. Meaningful query variants can overlap.</x:v>
      </x:c>
      <x:c r="AA65" s="12"/>
      <x:c r="AB65" s="10"/>
    </x:row>
    <x:row r="66" ht="48" customHeight="1">
      <x:c r="A66" s="9" t="str">
        <x:v>K062</x:v>
      </x:c>
      <x:c r="B66" s="9" t="str">
        <x:v>naxos car rental prices</x:v>
      </x:c>
      <x:c r="C66" s="9" t="str">
        <x:v>naxos car rental prices</x:v>
      </x:c>
      <x:c r="D66" s="9" t="str">
        <x:v>GB</x:v>
      </x:c>
      <x:c r="E66" s="9" t="str">
        <x:v>English</x:v>
      </x:c>
      <x:c r="F66" s="9" t="str">
        <x:v>Google / Ahrefs</x:v>
      </x:c>
      <x:c r="G66" s="9" t="str">
        <x:v>Commercial / transactional</x:v>
      </x:c>
      <x:c r="H66" s="9" t="str">
        <x:v>Booking evaluation</x:v>
      </x:c>
      <x:c r="I66" s="13" t="n">
        <x:v>10</x:v>
      </x:c>
      <x:c r="J66" s="13"/>
      <x:c r="K66" s="13"/>
      <x:c r="L66" s="15"/>
      <x:c r="M66" s="9"/>
      <x:c r="N66" s="9"/>
      <x:c r="O66" s="9"/>
      <x:c r="P66" s="9" t="str">
        <x:v>C-en-pricing</x:v>
      </x:c>
      <x:c r="Q66" s="11" t="str">
        <x:v>https://naxos-carrentals.com/en/pricing</x:v>
      </x:c>
      <x:c r="R66" s="11" t="str">
        <x:v>EXISTING</x:v>
      </x:c>
      <x:c r="S66" s="9" t="str">
        <x:v>OPTIMIZE</x:v>
      </x:c>
      <x:c r="T66" s="9" t="str">
        <x:v>OBSERVED</x:v>
      </x:c>
      <x:c r="U66" s="9" t="str">
        <x:v>VENDOR ESTIMATE</x:v>
      </x:c>
      <x:c r="V66" s="9" t="str">
        <x:v>Medium: vendor estimate</x:v>
      </x:c>
      <x:c r="W66" s="9" t="str">
        <x:v>discover-en</x:v>
      </x:c>
      <x:c r="X66" s="9"/>
      <x:c r="Y66" s="9" t="n">
        <x:v>46289.74017489584</x:v>
      </x:c>
      <x:c r="Z66" s="9" t="str">
        <x:v>No summed market demand. Meaningful query variants can overlap.</x:v>
      </x:c>
      <x:c r="AA66" s="13"/>
      <x:c r="AB66" s="11"/>
    </x:row>
    <x:row r="67" ht="48" customHeight="1">
      <x:c r="A67" s="8" t="str">
        <x:v>K063</x:v>
      </x:c>
      <x:c r="B67" s="8" t="str">
        <x:v>naxos rental car</x:v>
      </x:c>
      <x:c r="C67" s="8" t="str">
        <x:v>naxos rental car</x:v>
      </x:c>
      <x:c r="D67" s="8" t="str">
        <x:v>GB</x:v>
      </x:c>
      <x:c r="E67" s="8" t="str">
        <x:v>English</x:v>
      </x:c>
      <x:c r="F67" s="8" t="str">
        <x:v>Google / Ahrefs</x:v>
      </x:c>
      <x:c r="G67" s="8" t="str">
        <x:v>Commercial / transactional</x:v>
      </x:c>
      <x:c r="H67" s="8" t="str">
        <x:v>Booking evaluation</x:v>
      </x:c>
      <x:c r="I67" s="12" t="n">
        <x:v>10</x:v>
      </x:c>
      <x:c r="J67" s="12"/>
      <x:c r="K67" s="12"/>
      <x:c r="L67" s="14"/>
      <x:c r="M67" s="8"/>
      <x:c r="N67" s="8"/>
      <x:c r="O67" s="8"/>
      <x:c r="P67" s="8" t="str">
        <x:v>C-en-core</x:v>
      </x:c>
      <x:c r="Q67" s="10" t="str">
        <x:v>https://naxos-carrentals.com/en</x:v>
      </x:c>
      <x:c r="R67" s="10" t="str">
        <x:v>EXISTING</x:v>
      </x:c>
      <x:c r="S67" s="8" t="str">
        <x:v>OPTIMIZE</x:v>
      </x:c>
      <x:c r="T67" s="8" t="str">
        <x:v>OBSERVED</x:v>
      </x:c>
      <x:c r="U67" s="8" t="str">
        <x:v>VENDOR ESTIMATE</x:v>
      </x:c>
      <x:c r="V67" s="8" t="str">
        <x:v>Medium: vendor estimate</x:v>
      </x:c>
      <x:c r="W67" s="8" t="str">
        <x:v>discover-en</x:v>
      </x:c>
      <x:c r="X67" s="8"/>
      <x:c r="Y67" s="8" t="n">
        <x:v>46289.74017489584</x:v>
      </x:c>
      <x:c r="Z67" s="8" t="str">
        <x:v>No summed market demand. Meaningful query variants can overlap.</x:v>
      </x:c>
      <x:c r="AA67" s="12"/>
      <x:c r="AB67" s="10"/>
    </x:row>
    <x:row r="68" ht="48" customHeight="1">
      <x:c r="A68" s="9" t="str">
        <x:v>K064</x:v>
      </x:c>
      <x:c r="B68" s="9" t="str">
        <x:v>location de voiture naxos</x:v>
      </x:c>
      <x:c r="C68" s="9" t="str">
        <x:v>location de voiture naxos</x:v>
      </x:c>
      <x:c r="D68" s="9" t="str">
        <x:v>FR</x:v>
      </x:c>
      <x:c r="E68" s="9" t="str">
        <x:v>French</x:v>
      </x:c>
      <x:c r="F68" s="9" t="str">
        <x:v>Google / Ahrefs</x:v>
      </x:c>
      <x:c r="G68" s="9" t="str">
        <x:v>Commercial / transactional</x:v>
      </x:c>
      <x:c r="H68" s="9" t="str">
        <x:v>Booking evaluation</x:v>
      </x:c>
      <x:c r="I68" s="13" t="n">
        <x:v>200</x:v>
      </x:c>
      <x:c r="J68" s="13"/>
      <x:c r="K68" s="13"/>
      <x:c r="L68" s="15"/>
      <x:c r="M68" s="9"/>
      <x:c r="N68" s="9" t="str">
        <x:v>location voiture naxos</x:v>
      </x:c>
      <x:c r="O68" s="9"/>
      <x:c r="P68" s="9" t="str">
        <x:v>C-fr-core</x:v>
      </x:c>
      <x:c r="Q68" s="11" t="str">
        <x:v>https://naxos-carrentals.com/fr</x:v>
      </x:c>
      <x:c r="R68" s="11" t="str">
        <x:v>EXISTING</x:v>
      </x:c>
      <x:c r="S68" s="9" t="str">
        <x:v>OPTIMIZE</x:v>
      </x:c>
      <x:c r="T68" s="9" t="str">
        <x:v>OBSERVED</x:v>
      </x:c>
      <x:c r="U68" s="9" t="str">
        <x:v>VENDOR ESTIMATE</x:v>
      </x:c>
      <x:c r="V68" s="9" t="str">
        <x:v>Medium: vendor estimate</x:v>
      </x:c>
      <x:c r="W68" s="9" t="str">
        <x:v>discover-fr</x:v>
      </x:c>
      <x:c r="X68" s="9" t="n">
        <x:v>46231.627175925925</x:v>
      </x:c>
      <x:c r="Y68" s="9" t="n">
        <x:v>46289.74017496528</x:v>
      </x:c>
      <x:c r="Z68" s="9" t="str">
        <x:v>No summed market demand. Meaningful query variants can overlap.</x:v>
      </x:c>
      <x:c r="AA68" s="13"/>
      <x:c r="AB68" s="11"/>
    </x:row>
    <x:row r="69" ht="48" customHeight="1">
      <x:c r="A69" s="8" t="str">
        <x:v>K065</x:v>
      </x:c>
      <x:c r="B69" s="8" t="str">
        <x:v>location voiture naxos aeroport</x:v>
      </x:c>
      <x:c r="C69" s="8" t="str">
        <x:v>location voiture naxos aeroport</x:v>
      </x:c>
      <x:c r="D69" s="8" t="str">
        <x:v>FR</x:v>
      </x:c>
      <x:c r="E69" s="8" t="str">
        <x:v>French</x:v>
      </x:c>
      <x:c r="F69" s="8" t="str">
        <x:v>Google / Ahrefs</x:v>
      </x:c>
      <x:c r="G69" s="8" t="str">
        <x:v>Commercial / transactional</x:v>
      </x:c>
      <x:c r="H69" s="8" t="str">
        <x:v>Booking evaluation</x:v>
      </x:c>
      <x:c r="I69" s="12" t="n">
        <x:v>150</x:v>
      </x:c>
      <x:c r="J69" s="12"/>
      <x:c r="K69" s="12"/>
      <x:c r="L69" s="14"/>
      <x:c r="M69" s="8"/>
      <x:c r="N69" s="8"/>
      <x:c r="O69" s="8"/>
      <x:c r="P69" s="8" t="str">
        <x:v>C-fr-airport</x:v>
      </x:c>
      <x:c r="Q69" s="10" t="str">
        <x:v>https://naxos-carrentals.com/fr/locations/airport-pickup</x:v>
      </x:c>
      <x:c r="R69" s="10" t="str">
        <x:v>EXISTING</x:v>
      </x:c>
      <x:c r="S69" s="8" t="str">
        <x:v>OPTIMIZE</x:v>
      </x:c>
      <x:c r="T69" s="8" t="str">
        <x:v>OBSERVED</x:v>
      </x:c>
      <x:c r="U69" s="8" t="str">
        <x:v>VENDOR ESTIMATE</x:v>
      </x:c>
      <x:c r="V69" s="8" t="str">
        <x:v>Medium: vendor estimate</x:v>
      </x:c>
      <x:c r="W69" s="8" t="str">
        <x:v>discover-fr</x:v>
      </x:c>
      <x:c r="X69" s="8"/>
      <x:c r="Y69" s="8" t="n">
        <x:v>46289.74017496528</x:v>
      </x:c>
      <x:c r="Z69" s="8" t="str">
        <x:v>No summed market demand. Meaningful query variants can overlap.</x:v>
      </x:c>
      <x:c r="AA69" s="12"/>
      <x:c r="AB69" s="10"/>
    </x:row>
    <x:row r="70" ht="48" customHeight="1">
      <x:c r="A70" s="9" t="str">
        <x:v>K066</x:v>
      </x:c>
      <x:c r="B70" s="9" t="str">
        <x:v>louer voiture naxos</x:v>
      </x:c>
      <x:c r="C70" s="9" t="str">
        <x:v>louer voiture naxos</x:v>
      </x:c>
      <x:c r="D70" s="9" t="str">
        <x:v>FR</x:v>
      </x:c>
      <x:c r="E70" s="9" t="str">
        <x:v>French</x:v>
      </x:c>
      <x:c r="F70" s="9" t="str">
        <x:v>Google / Ahrefs</x:v>
      </x:c>
      <x:c r="G70" s="9" t="str">
        <x:v>Commercial / transactional</x:v>
      </x:c>
      <x:c r="H70" s="9" t="str">
        <x:v>Booking evaluation</x:v>
      </x:c>
      <x:c r="I70" s="13" t="n">
        <x:v>80</x:v>
      </x:c>
      <x:c r="J70" s="13"/>
      <x:c r="K70" s="13"/>
      <x:c r="L70" s="15"/>
      <x:c r="M70" s="9"/>
      <x:c r="N70" s="9" t="str">
        <x:v>location voiture naxos</x:v>
      </x:c>
      <x:c r="O70" s="9"/>
      <x:c r="P70" s="9" t="str">
        <x:v>C-fr-core</x:v>
      </x:c>
      <x:c r="Q70" s="11" t="str">
        <x:v>https://naxos-carrentals.com/fr</x:v>
      </x:c>
      <x:c r="R70" s="11" t="str">
        <x:v>EXISTING</x:v>
      </x:c>
      <x:c r="S70" s="9" t="str">
        <x:v>OPTIMIZE</x:v>
      </x:c>
      <x:c r="T70" s="9" t="str">
        <x:v>OBSERVED</x:v>
      </x:c>
      <x:c r="U70" s="9" t="str">
        <x:v>VENDOR ESTIMATE</x:v>
      </x:c>
      <x:c r="V70" s="9" t="str">
        <x:v>Medium: vendor estimate</x:v>
      </x:c>
      <x:c r="W70" s="9" t="str">
        <x:v>discover-fr</x:v>
      </x:c>
      <x:c r="X70" s="9" t="n">
        <x:v>46285.873703703706</x:v>
      </x:c>
      <x:c r="Y70" s="9" t="n">
        <x:v>46289.74017496528</x:v>
      </x:c>
      <x:c r="Z70" s="9" t="str">
        <x:v>No summed market demand. Meaningful query variants can overlap.</x:v>
      </x:c>
      <x:c r="AA70" s="13"/>
      <x:c r="AB70" s="11"/>
    </x:row>
    <x:row r="71" ht="48" customHeight="1">
      <x:c r="A71" s="8" t="str">
        <x:v>K067</x:v>
      </x:c>
      <x:c r="B71" s="8" t="str">
        <x:v>naxos location voiture</x:v>
      </x:c>
      <x:c r="C71" s="8" t="str">
        <x:v>naxos location voiture</x:v>
      </x:c>
      <x:c r="D71" s="8" t="str">
        <x:v>FR</x:v>
      </x:c>
      <x:c r="E71" s="8" t="str">
        <x:v>French</x:v>
      </x:c>
      <x:c r="F71" s="8" t="str">
        <x:v>Google / Ahrefs</x:v>
      </x:c>
      <x:c r="G71" s="8" t="str">
        <x:v>Commercial / transactional</x:v>
      </x:c>
      <x:c r="H71" s="8" t="str">
        <x:v>Booking evaluation</x:v>
      </x:c>
      <x:c r="I71" s="12" t="n">
        <x:v>60</x:v>
      </x:c>
      <x:c r="J71" s="12"/>
      <x:c r="K71" s="12"/>
      <x:c r="L71" s="14"/>
      <x:c r="M71" s="8"/>
      <x:c r="N71" s="8" t="str">
        <x:v>location voiture naxos</x:v>
      </x:c>
      <x:c r="O71" s="8"/>
      <x:c r="P71" s="8" t="str">
        <x:v>C-fr-core</x:v>
      </x:c>
      <x:c r="Q71" s="10" t="str">
        <x:v>https://naxos-carrentals.com/fr</x:v>
      </x:c>
      <x:c r="R71" s="10" t="str">
        <x:v>EXISTING</x:v>
      </x:c>
      <x:c r="S71" s="8" t="str">
        <x:v>OPTIMIZE</x:v>
      </x:c>
      <x:c r="T71" s="8" t="str">
        <x:v>OBSERVED</x:v>
      </x:c>
      <x:c r="U71" s="8" t="str">
        <x:v>VENDOR ESTIMATE</x:v>
      </x:c>
      <x:c r="V71" s="8" t="str">
        <x:v>Medium: vendor estimate</x:v>
      </x:c>
      <x:c r="W71" s="8" t="str">
        <x:v>discover-fr</x:v>
      </x:c>
      <x:c r="X71" s="8" t="n">
        <x:v>46275.59638888889</x:v>
      </x:c>
      <x:c r="Y71" s="8" t="n">
        <x:v>46289.74017496528</x:v>
      </x:c>
      <x:c r="Z71" s="8" t="str">
        <x:v>No summed market demand. Meaningful query variants can overlap.</x:v>
      </x:c>
      <x:c r="AA71" s="12"/>
      <x:c r="AB71" s="10"/>
    </x:row>
    <x:row r="72" ht="48" customHeight="1">
      <x:c r="A72" s="9" t="str">
        <x:v>K068</x:v>
      </x:c>
      <x:c r="B72" s="9" t="str">
        <x:v>location de voiture à naxos</x:v>
      </x:c>
      <x:c r="C72" s="9" t="str">
        <x:v>location de voiture à naxos</x:v>
      </x:c>
      <x:c r="D72" s="9" t="str">
        <x:v>FR</x:v>
      </x:c>
      <x:c r="E72" s="9" t="str">
        <x:v>French</x:v>
      </x:c>
      <x:c r="F72" s="9" t="str">
        <x:v>Google / Ahrefs</x:v>
      </x:c>
      <x:c r="G72" s="9" t="str">
        <x:v>Commercial / transactional</x:v>
      </x:c>
      <x:c r="H72" s="9" t="str">
        <x:v>Booking evaluation</x:v>
      </x:c>
      <x:c r="I72" s="13" t="n">
        <x:v>50</x:v>
      </x:c>
      <x:c r="J72" s="13"/>
      <x:c r="K72" s="13"/>
      <x:c r="L72" s="15"/>
      <x:c r="M72" s="9"/>
      <x:c r="N72" s="9"/>
      <x:c r="O72" s="9"/>
      <x:c r="P72" s="9" t="str">
        <x:v>C-fr-core</x:v>
      </x:c>
      <x:c r="Q72" s="11" t="str">
        <x:v>https://naxos-carrentals.com/fr</x:v>
      </x:c>
      <x:c r="R72" s="11" t="str">
        <x:v>EXISTING</x:v>
      </x:c>
      <x:c r="S72" s="9" t="str">
        <x:v>OPTIMIZE</x:v>
      </x:c>
      <x:c r="T72" s="9" t="str">
        <x:v>OBSERVED</x:v>
      </x:c>
      <x:c r="U72" s="9" t="str">
        <x:v>VENDOR ESTIMATE</x:v>
      </x:c>
      <x:c r="V72" s="9" t="str">
        <x:v>Low: conflicting rows</x:v>
      </x:c>
      <x:c r="W72" s="9" t="str">
        <x:v>discover-fr, discover-fr</x:v>
      </x:c>
      <x:c r="X72" s="9"/>
      <x:c r="Y72" s="9" t="n">
        <x:v>46289.74017496528</x:v>
      </x:c>
      <x:c r="Z72" s="9" t="str">
        <x:v>Returned volumes 50 and 0. Retained first unless explicit overview enrichment. Do not aggregate variants.</x:v>
      </x:c>
      <x:c r="AA72" s="13"/>
      <x:c r="AB72" s="11"/>
    </x:row>
    <x:row r="73" ht="48" customHeight="1">
      <x:c r="A73" s="8" t="str">
        <x:v>K069</x:v>
      </x:c>
      <x:c r="B73" s="8" t="str">
        <x:v>location voiture port naxos</x:v>
      </x:c>
      <x:c r="C73" s="8" t="str">
        <x:v>location voiture port naxos</x:v>
      </x:c>
      <x:c r="D73" s="8" t="str">
        <x:v>FR</x:v>
      </x:c>
      <x:c r="E73" s="8" t="str">
        <x:v>French</x:v>
      </x:c>
      <x:c r="F73" s="8" t="str">
        <x:v>Google / Ahrefs</x:v>
      </x:c>
      <x:c r="G73" s="8" t="str">
        <x:v>Commercial / transactional</x:v>
      </x:c>
      <x:c r="H73" s="8" t="str">
        <x:v>Booking evaluation</x:v>
      </x:c>
      <x:c r="I73" s="12" t="n">
        <x:v>30</x:v>
      </x:c>
      <x:c r="J73" s="12"/>
      <x:c r="K73" s="12"/>
      <x:c r="L73" s="14"/>
      <x:c r="M73" s="8"/>
      <x:c r="N73" s="8" t="str">
        <x:v>location voiture naxos</x:v>
      </x:c>
      <x:c r="O73" s="8"/>
      <x:c r="P73" s="8" t="str">
        <x:v>C-fr-port</x:v>
      </x:c>
      <x:c r="Q73" s="10" t="str">
        <x:v>https://naxos-carrentals.com/fr/locations/port-pickup</x:v>
      </x:c>
      <x:c r="R73" s="10" t="str">
        <x:v>EXISTING</x:v>
      </x:c>
      <x:c r="S73" s="8" t="str">
        <x:v>OPTIMIZE</x:v>
      </x:c>
      <x:c r="T73" s="8" t="str">
        <x:v>OBSERVED</x:v>
      </x:c>
      <x:c r="U73" s="8" t="str">
        <x:v>VENDOR ESTIMATE</x:v>
      </x:c>
      <x:c r="V73" s="8" t="str">
        <x:v>Medium: vendor estimate</x:v>
      </x:c>
      <x:c r="W73" s="8" t="str">
        <x:v>discover-fr</x:v>
      </x:c>
      <x:c r="X73" s="8" t="n">
        <x:v>46247.39273148148</x:v>
      </x:c>
      <x:c r="Y73" s="8" t="n">
        <x:v>46289.74017496528</x:v>
      </x:c>
      <x:c r="Z73" s="8" t="str">
        <x:v>No summed market demand. Meaningful query variants can overlap.</x:v>
      </x:c>
      <x:c r="AA73" s="12"/>
      <x:c r="AB73" s="10"/>
    </x:row>
    <x:row r="74" ht="48" customHeight="1">
      <x:c r="A74" s="9" t="str">
        <x:v>K070</x:v>
      </x:c>
      <x:c r="B74" s="9" t="str">
        <x:v>naxos louer une voiture</x:v>
      </x:c>
      <x:c r="C74" s="9" t="str">
        <x:v>naxos louer une voiture</x:v>
      </x:c>
      <x:c r="D74" s="9" t="str">
        <x:v>FR</x:v>
      </x:c>
      <x:c r="E74" s="9" t="str">
        <x:v>French</x:v>
      </x:c>
      <x:c r="F74" s="9" t="str">
        <x:v>Google / Ahrefs</x:v>
      </x:c>
      <x:c r="G74" s="9" t="str">
        <x:v>Commercial / transactional</x:v>
      </x:c>
      <x:c r="H74" s="9" t="str">
        <x:v>Booking evaluation</x:v>
      </x:c>
      <x:c r="I74" s="13" t="n">
        <x:v>30</x:v>
      </x:c>
      <x:c r="J74" s="13"/>
      <x:c r="K74" s="13"/>
      <x:c r="L74" s="15"/>
      <x:c r="M74" s="9"/>
      <x:c r="N74" s="9"/>
      <x:c r="O74" s="9"/>
      <x:c r="P74" s="9" t="str">
        <x:v>C-fr-core</x:v>
      </x:c>
      <x:c r="Q74" s="11" t="str">
        <x:v>https://naxos-carrentals.com/fr</x:v>
      </x:c>
      <x:c r="R74" s="11" t="str">
        <x:v>EXISTING</x:v>
      </x:c>
      <x:c r="S74" s="9" t="str">
        <x:v>OPTIMIZE</x:v>
      </x:c>
      <x:c r="T74" s="9" t="str">
        <x:v>OBSERVED</x:v>
      </x:c>
      <x:c r="U74" s="9" t="str">
        <x:v>VENDOR ESTIMATE</x:v>
      </x:c>
      <x:c r="V74" s="9" t="str">
        <x:v>Medium: vendor estimate</x:v>
      </x:c>
      <x:c r="W74" s="9" t="str">
        <x:v>discover-fr</x:v>
      </x:c>
      <x:c r="X74" s="9"/>
      <x:c r="Y74" s="9" t="n">
        <x:v>46289.74017496528</x:v>
      </x:c>
      <x:c r="Z74" s="9" t="str">
        <x:v>No summed market demand. Meaningful query variants can overlap.</x:v>
      </x:c>
      <x:c r="AA74" s="13"/>
      <x:c r="AB74" s="11"/>
    </x:row>
    <x:row r="75" ht="48" customHeight="1">
      <x:c r="A75" s="8" t="str">
        <x:v>K071</x:v>
      </x:c>
      <x:c r="B75" s="8" t="str">
        <x:v>location de voiture naxos port</x:v>
      </x:c>
      <x:c r="C75" s="8" t="str">
        <x:v>location de voiture naxos port</x:v>
      </x:c>
      <x:c r="D75" s="8" t="str">
        <x:v>FR</x:v>
      </x:c>
      <x:c r="E75" s="8" t="str">
        <x:v>French</x:v>
      </x:c>
      <x:c r="F75" s="8" t="str">
        <x:v>Google / Ahrefs</x:v>
      </x:c>
      <x:c r="G75" s="8" t="str">
        <x:v>Commercial / transactional</x:v>
      </x:c>
      <x:c r="H75" s="8" t="str">
        <x:v>Booking evaluation</x:v>
      </x:c>
      <x:c r="I75" s="12" t="n">
        <x:v>30</x:v>
      </x:c>
      <x:c r="J75" s="12"/>
      <x:c r="K75" s="12"/>
      <x:c r="L75" s="14"/>
      <x:c r="M75" s="8"/>
      <x:c r="N75" s="8" t="str">
        <x:v>location voiture naxos</x:v>
      </x:c>
      <x:c r="O75" s="8"/>
      <x:c r="P75" s="8" t="str">
        <x:v>C-fr-port</x:v>
      </x:c>
      <x:c r="Q75" s="10" t="str">
        <x:v>https://naxos-carrentals.com/fr/locations/port-pickup</x:v>
      </x:c>
      <x:c r="R75" s="10" t="str">
        <x:v>EXISTING</x:v>
      </x:c>
      <x:c r="S75" s="8" t="str">
        <x:v>OPTIMIZE</x:v>
      </x:c>
      <x:c r="T75" s="8" t="str">
        <x:v>OBSERVED</x:v>
      </x:c>
      <x:c r="U75" s="8" t="str">
        <x:v>VENDOR ESTIMATE</x:v>
      </x:c>
      <x:c r="V75" s="8" t="str">
        <x:v>Medium: vendor estimate</x:v>
      </x:c>
      <x:c r="W75" s="8" t="str">
        <x:v>discover-fr</x:v>
      </x:c>
      <x:c r="X75" s="8" t="n">
        <x:v>46249.486493055556</x:v>
      </x:c>
      <x:c r="Y75" s="8" t="n">
        <x:v>46289.74017496528</x:v>
      </x:c>
      <x:c r="Z75" s="8" t="str">
        <x:v>No summed market demand. Meaningful query variants can overlap.</x:v>
      </x:c>
      <x:c r="AA75" s="12"/>
      <x:c r="AB75" s="10"/>
    </x:row>
    <x:row r="76" ht="48" customHeight="1">
      <x:c r="A76" s="9" t="str">
        <x:v>K072</x:v>
      </x:c>
      <x:c r="B76" s="9" t="str">
        <x:v>louer une voiture naxos</x:v>
      </x:c>
      <x:c r="C76" s="9" t="str">
        <x:v>louer une voiture naxos</x:v>
      </x:c>
      <x:c r="D76" s="9" t="str">
        <x:v>FR</x:v>
      </x:c>
      <x:c r="E76" s="9" t="str">
        <x:v>French</x:v>
      </x:c>
      <x:c r="F76" s="9" t="str">
        <x:v>Google / Ahrefs</x:v>
      </x:c>
      <x:c r="G76" s="9" t="str">
        <x:v>Commercial / transactional</x:v>
      </x:c>
      <x:c r="H76" s="9" t="str">
        <x:v>Booking evaluation</x:v>
      </x:c>
      <x:c r="I76" s="13" t="n">
        <x:v>30</x:v>
      </x:c>
      <x:c r="J76" s="13"/>
      <x:c r="K76" s="13"/>
      <x:c r="L76" s="15"/>
      <x:c r="M76" s="9"/>
      <x:c r="N76" s="9"/>
      <x:c r="O76" s="9"/>
      <x:c r="P76" s="9" t="str">
        <x:v>C-fr-core</x:v>
      </x:c>
      <x:c r="Q76" s="11" t="str">
        <x:v>https://naxos-carrentals.com/fr</x:v>
      </x:c>
      <x:c r="R76" s="11" t="str">
        <x:v>EXISTING</x:v>
      </x:c>
      <x:c r="S76" s="9" t="str">
        <x:v>OPTIMIZE</x:v>
      </x:c>
      <x:c r="T76" s="9" t="str">
        <x:v>OBSERVED</x:v>
      </x:c>
      <x:c r="U76" s="9" t="str">
        <x:v>VENDOR ESTIMATE</x:v>
      </x:c>
      <x:c r="V76" s="9" t="str">
        <x:v>Medium: vendor estimate</x:v>
      </x:c>
      <x:c r="W76" s="9" t="str">
        <x:v>discover-fr</x:v>
      </x:c>
      <x:c r="X76" s="9"/>
      <x:c r="Y76" s="9" t="n">
        <x:v>46289.74017496528</x:v>
      </x:c>
      <x:c r="Z76" s="9" t="str">
        <x:v>No summed market demand. Meaningful query variants can overlap.</x:v>
      </x:c>
      <x:c r="AA76" s="13"/>
      <x:c r="AB76" s="11"/>
    </x:row>
    <x:row r="77" ht="48" customHeight="1">
      <x:c r="A77" s="8" t="str">
        <x:v>K073</x:v>
      </x:c>
      <x:c r="B77" s="8" t="str">
        <x:v>voiture location naxos</x:v>
      </x:c>
      <x:c r="C77" s="8" t="str">
        <x:v>voiture location naxos</x:v>
      </x:c>
      <x:c r="D77" s="8" t="str">
        <x:v>FR</x:v>
      </x:c>
      <x:c r="E77" s="8" t="str">
        <x:v>French</x:v>
      </x:c>
      <x:c r="F77" s="8" t="str">
        <x:v>Google / Ahrefs</x:v>
      </x:c>
      <x:c r="G77" s="8" t="str">
        <x:v>Commercial / transactional</x:v>
      </x:c>
      <x:c r="H77" s="8" t="str">
        <x:v>Booking evaluation</x:v>
      </x:c>
      <x:c r="I77" s="12" t="n">
        <x:v>10</x:v>
      </x:c>
      <x:c r="J77" s="12"/>
      <x:c r="K77" s="12"/>
      <x:c r="L77" s="14"/>
      <x:c r="M77" s="8"/>
      <x:c r="N77" s="8"/>
      <x:c r="O77" s="8"/>
      <x:c r="P77" s="8" t="str">
        <x:v>C-fr-core</x:v>
      </x:c>
      <x:c r="Q77" s="10" t="str">
        <x:v>https://naxos-carrentals.com/fr</x:v>
      </x:c>
      <x:c r="R77" s="10" t="str">
        <x:v>EXISTING</x:v>
      </x:c>
      <x:c r="S77" s="8" t="str">
        <x:v>OPTIMIZE</x:v>
      </x:c>
      <x:c r="T77" s="8" t="str">
        <x:v>OBSERVED</x:v>
      </x:c>
      <x:c r="U77" s="8" t="str">
        <x:v>VENDOR ESTIMATE</x:v>
      </x:c>
      <x:c r="V77" s="8" t="str">
        <x:v>Medium: vendor estimate</x:v>
      </x:c>
      <x:c r="W77" s="8" t="str">
        <x:v>discover-fr</x:v>
      </x:c>
      <x:c r="X77" s="8"/>
      <x:c r="Y77" s="8" t="n">
        <x:v>46289.74017496528</x:v>
      </x:c>
      <x:c r="Z77" s="8" t="str">
        <x:v>No summed market demand. Meaningful query variants can overlap.</x:v>
      </x:c>
      <x:c r="AA77" s="12"/>
      <x:c r="AB77" s="10"/>
    </x:row>
    <x:row r="78" ht="48" customHeight="1">
      <x:c r="A78" s="9" t="str">
        <x:v>K074</x:v>
      </x:c>
      <x:c r="B78" s="9" t="str">
        <x:v>location voiture port de naxos</x:v>
      </x:c>
      <x:c r="C78" s="9" t="str">
        <x:v>location voiture port de naxos</x:v>
      </x:c>
      <x:c r="D78" s="9" t="str">
        <x:v>FR</x:v>
      </x:c>
      <x:c r="E78" s="9" t="str">
        <x:v>French</x:v>
      </x:c>
      <x:c r="F78" s="9" t="str">
        <x:v>Google / Ahrefs</x:v>
      </x:c>
      <x:c r="G78" s="9" t="str">
        <x:v>Commercial / transactional</x:v>
      </x:c>
      <x:c r="H78" s="9" t="str">
        <x:v>Booking evaluation</x:v>
      </x:c>
      <x:c r="I78" s="13" t="n">
        <x:v>10</x:v>
      </x:c>
      <x:c r="J78" s="13"/>
      <x:c r="K78" s="13"/>
      <x:c r="L78" s="15"/>
      <x:c r="M78" s="9"/>
      <x:c r="N78" s="9"/>
      <x:c r="O78" s="9"/>
      <x:c r="P78" s="9" t="str">
        <x:v>C-fr-port</x:v>
      </x:c>
      <x:c r="Q78" s="11" t="str">
        <x:v>https://naxos-carrentals.com/fr/locations/port-pickup</x:v>
      </x:c>
      <x:c r="R78" s="11" t="str">
        <x:v>EXISTING</x:v>
      </x:c>
      <x:c r="S78" s="9" t="str">
        <x:v>OPTIMIZE</x:v>
      </x:c>
      <x:c r="T78" s="9" t="str">
        <x:v>OBSERVED</x:v>
      </x:c>
      <x:c r="U78" s="9" t="str">
        <x:v>VENDOR ESTIMATE</x:v>
      </x:c>
      <x:c r="V78" s="9" t="str">
        <x:v>Medium: vendor estimate</x:v>
      </x:c>
      <x:c r="W78" s="9" t="str">
        <x:v>discover-fr</x:v>
      </x:c>
      <x:c r="X78" s="9"/>
      <x:c r="Y78" s="9" t="n">
        <x:v>46289.74017496528</x:v>
      </x:c>
      <x:c r="Z78" s="9" t="str">
        <x:v>No summed market demand. Meaningful query variants can overlap.</x:v>
      </x:c>
      <x:c r="AA78" s="13"/>
      <x:c r="AB78" s="11"/>
    </x:row>
    <x:row r="79" ht="48" customHeight="1">
      <x:c r="A79" s="8" t="str">
        <x:v>K075</x:v>
      </x:c>
      <x:c r="B79" s="8" t="str">
        <x:v>voiture naxos</x:v>
      </x:c>
      <x:c r="C79" s="8" t="str">
        <x:v>voiture naxos</x:v>
      </x:c>
      <x:c r="D79" s="8" t="str">
        <x:v>FR</x:v>
      </x:c>
      <x:c r="E79" s="8" t="str">
        <x:v>French</x:v>
      </x:c>
      <x:c r="F79" s="8" t="str">
        <x:v>Google / Ahrefs</x:v>
      </x:c>
      <x:c r="G79" s="8" t="str">
        <x:v>Commercial / transactional</x:v>
      </x:c>
      <x:c r="H79" s="8" t="str">
        <x:v>Booking evaluation</x:v>
      </x:c>
      <x:c r="I79" s="12" t="n">
        <x:v>10</x:v>
      </x:c>
      <x:c r="J79" s="12"/>
      <x:c r="K79" s="12"/>
      <x:c r="L79" s="14"/>
      <x:c r="M79" s="8"/>
      <x:c r="N79" s="8"/>
      <x:c r="O79" s="8"/>
      <x:c r="P79" s="8" t="str">
        <x:v>C-fr-core</x:v>
      </x:c>
      <x:c r="Q79" s="10" t="str">
        <x:v>https://naxos-carrentals.com/fr</x:v>
      </x:c>
      <x:c r="R79" s="10" t="str">
        <x:v>EXISTING</x:v>
      </x:c>
      <x:c r="S79" s="8" t="str">
        <x:v>OPTIMIZE</x:v>
      </x:c>
      <x:c r="T79" s="8" t="str">
        <x:v>OBSERVED</x:v>
      </x:c>
      <x:c r="U79" s="8" t="str">
        <x:v>VENDOR ESTIMATE</x:v>
      </x:c>
      <x:c r="V79" s="8" t="str">
        <x:v>Medium: vendor estimate</x:v>
      </x:c>
      <x:c r="W79" s="8" t="str">
        <x:v>discover-fr</x:v>
      </x:c>
      <x:c r="X79" s="8"/>
      <x:c r="Y79" s="8" t="n">
        <x:v>46289.74017496528</x:v>
      </x:c>
      <x:c r="Z79" s="8" t="str">
        <x:v>No summed market demand. Meaningful query variants can overlap.</x:v>
      </x:c>
      <x:c r="AA79" s="12"/>
      <x:c r="AB79" s="10"/>
    </x:row>
    <x:row r="80" ht="48" customHeight="1">
      <x:c r="A80" s="9" t="str">
        <x:v>K076</x:v>
      </x:c>
      <x:c r="B80" s="9" t="str">
        <x:v>naxos location de voiture</x:v>
      </x:c>
      <x:c r="C80" s="9" t="str">
        <x:v>naxos location de voiture</x:v>
      </x:c>
      <x:c r="D80" s="9" t="str">
        <x:v>FR</x:v>
      </x:c>
      <x:c r="E80" s="9" t="str">
        <x:v>French</x:v>
      </x:c>
      <x:c r="F80" s="9" t="str">
        <x:v>Google / Ahrefs</x:v>
      </x:c>
      <x:c r="G80" s="9" t="str">
        <x:v>Commercial / transactional</x:v>
      </x:c>
      <x:c r="H80" s="9" t="str">
        <x:v>Booking evaluation</x:v>
      </x:c>
      <x:c r="I80" s="13" t="n">
        <x:v>10</x:v>
      </x:c>
      <x:c r="J80" s="13"/>
      <x:c r="K80" s="13"/>
      <x:c r="L80" s="15"/>
      <x:c r="M80" s="9"/>
      <x:c r="N80" s="9"/>
      <x:c r="O80" s="9"/>
      <x:c r="P80" s="9" t="str">
        <x:v>C-fr-core</x:v>
      </x:c>
      <x:c r="Q80" s="11" t="str">
        <x:v>https://naxos-carrentals.com/fr</x:v>
      </x:c>
      <x:c r="R80" s="11" t="str">
        <x:v>EXISTING</x:v>
      </x:c>
      <x:c r="S80" s="9" t="str">
        <x:v>OPTIMIZE</x:v>
      </x:c>
      <x:c r="T80" s="9" t="str">
        <x:v>OBSERVED</x:v>
      </x:c>
      <x:c r="U80" s="9" t="str">
        <x:v>VENDOR ESTIMATE</x:v>
      </x:c>
      <x:c r="V80" s="9" t="str">
        <x:v>Medium: vendor estimate</x:v>
      </x:c>
      <x:c r="W80" s="9" t="str">
        <x:v>discover-fr</x:v>
      </x:c>
      <x:c r="X80" s="9"/>
      <x:c r="Y80" s="9" t="n">
        <x:v>46289.74017496528</x:v>
      </x:c>
      <x:c r="Z80" s="9" t="str">
        <x:v>No summed market demand. Meaningful query variants can overlap.</x:v>
      </x:c>
      <x:c r="AA80" s="13"/>
      <x:c r="AB80" s="11"/>
    </x:row>
    <x:row r="81" ht="48" customHeight="1">
      <x:c r="A81" s="8" t="str">
        <x:v>K077</x:v>
      </x:c>
      <x:c r="B81" s="8" t="str">
        <x:v>faut il louer une voiture à naxos</x:v>
      </x:c>
      <x:c r="C81" s="8" t="str">
        <x:v>faut il louer une voiture à naxos</x:v>
      </x:c>
      <x:c r="D81" s="8" t="str">
        <x:v>FR</x:v>
      </x:c>
      <x:c r="E81" s="8" t="str">
        <x:v>French</x:v>
      </x:c>
      <x:c r="F81" s="8" t="str">
        <x:v>Google / Ahrefs</x:v>
      </x:c>
      <x:c r="G81" s="8" t="str">
        <x:v>Informational decision</x:v>
      </x:c>
      <x:c r="H81" s="8" t="str">
        <x:v>Planning</x:v>
      </x:c>
      <x:c r="I81" s="12" t="n">
        <x:v>10</x:v>
      </x:c>
      <x:c r="J81" s="12"/>
      <x:c r="K81" s="12"/>
      <x:c r="L81" s="14"/>
      <x:c r="M81" s="8"/>
      <x:c r="N81" s="8" t="str">
        <x:v>faut il louer une voiture à naxos</x:v>
      </x:c>
      <x:c r="O81" s="8"/>
      <x:c r="P81" s="8" t="str">
        <x:v>C-fr-need-car</x:v>
      </x:c>
      <x:c r="Q81" s="10" t="str">
        <x:v>https://naxos-carrentals.com/fr/guides/do-you-need-a-car-in-naxos</x:v>
      </x:c>
      <x:c r="R81" s="10" t="str">
        <x:v>EXISTING</x:v>
      </x:c>
      <x:c r="S81" s="8" t="str">
        <x:v>OPTIMIZE</x:v>
      </x:c>
      <x:c r="T81" s="8" t="str">
        <x:v>OBSERVED</x:v>
      </x:c>
      <x:c r="U81" s="8" t="str">
        <x:v>VENDOR ESTIMATE</x:v>
      </x:c>
      <x:c r="V81" s="8" t="str">
        <x:v>Medium: vendor estimate</x:v>
      </x:c>
      <x:c r="W81" s="8" t="str">
        <x:v>discover-fr</x:v>
      </x:c>
      <x:c r="X81" s="8" t="n">
        <x:v>46258.28028935185</x:v>
      </x:c>
      <x:c r="Y81" s="8" t="n">
        <x:v>46289.74017496528</x:v>
      </x:c>
      <x:c r="Z81" s="8" t="str">
        <x:v>No summed market demand. Meaningful query variants can overlap.</x:v>
      </x:c>
      <x:c r="AA81" s="12"/>
      <x:c r="AB81" s="10"/>
    </x:row>
    <x:row r="82" ht="48" customHeight="1">
      <x:c r="A82" s="9" t="str">
        <x:v>K078</x:v>
      </x:c>
      <x:c r="B82" s="9" t="str">
        <x:v>location voiture naxos greece</x:v>
      </x:c>
      <x:c r="C82" s="9" t="str">
        <x:v>location voiture naxos greece</x:v>
      </x:c>
      <x:c r="D82" s="9" t="str">
        <x:v>FR</x:v>
      </x:c>
      <x:c r="E82" s="9" t="str">
        <x:v>French</x:v>
      </x:c>
      <x:c r="F82" s="9" t="str">
        <x:v>Google / Ahrefs</x:v>
      </x:c>
      <x:c r="G82" s="9" t="str">
        <x:v>Commercial / transactional</x:v>
      </x:c>
      <x:c r="H82" s="9" t="str">
        <x:v>Booking evaluation</x:v>
      </x:c>
      <x:c r="I82" s="13" t="n">
        <x:v>10</x:v>
      </x:c>
      <x:c r="J82" s="13"/>
      <x:c r="K82" s="13"/>
      <x:c r="L82" s="15"/>
      <x:c r="M82" s="9"/>
      <x:c r="N82" s="9"/>
      <x:c r="O82" s="9"/>
      <x:c r="P82" s="9" t="str">
        <x:v>C-fr-core</x:v>
      </x:c>
      <x:c r="Q82" s="11" t="str">
        <x:v>https://naxos-carrentals.com/fr</x:v>
      </x:c>
      <x:c r="R82" s="11" t="str">
        <x:v>EXISTING</x:v>
      </x:c>
      <x:c r="S82" s="9" t="str">
        <x:v>OPTIMIZE</x:v>
      </x:c>
      <x:c r="T82" s="9" t="str">
        <x:v>OBSERVED</x:v>
      </x:c>
      <x:c r="U82" s="9" t="str">
        <x:v>VENDOR ESTIMATE</x:v>
      </x:c>
      <x:c r="V82" s="9" t="str">
        <x:v>Medium: vendor estimate</x:v>
      </x:c>
      <x:c r="W82" s="9" t="str">
        <x:v>discover-fr</x:v>
      </x:c>
      <x:c r="X82" s="9"/>
      <x:c r="Y82" s="9" t="n">
        <x:v>46289.74017496528</x:v>
      </x:c>
      <x:c r="Z82" s="9" t="str">
        <x:v>No summed market demand. Meaningful query variants can overlap.</x:v>
      </x:c>
      <x:c r="AA82" s="13"/>
      <x:c r="AB82" s="11"/>
    </x:row>
    <x:row r="83" ht="48" customHeight="1">
      <x:c r="A83" s="8" t="str">
        <x:v>K079</x:v>
      </x:c>
      <x:c r="B83" s="8" t="str">
        <x:v>location naxos voiture</x:v>
      </x:c>
      <x:c r="C83" s="8" t="str">
        <x:v>location naxos voiture</x:v>
      </x:c>
      <x:c r="D83" s="8" t="str">
        <x:v>FR</x:v>
      </x:c>
      <x:c r="E83" s="8" t="str">
        <x:v>French</x:v>
      </x:c>
      <x:c r="F83" s="8" t="str">
        <x:v>Google / Ahrefs</x:v>
      </x:c>
      <x:c r="G83" s="8" t="str">
        <x:v>Commercial / transactional</x:v>
      </x:c>
      <x:c r="H83" s="8" t="str">
        <x:v>Booking evaluation</x:v>
      </x:c>
      <x:c r="I83" s="12" t="n">
        <x:v>10</x:v>
      </x:c>
      <x:c r="J83" s="12"/>
      <x:c r="K83" s="12"/>
      <x:c r="L83" s="14"/>
      <x:c r="M83" s="8"/>
      <x:c r="N83" s="8"/>
      <x:c r="O83" s="8"/>
      <x:c r="P83" s="8" t="str">
        <x:v>C-fr-core</x:v>
      </x:c>
      <x:c r="Q83" s="10" t="str">
        <x:v>https://naxos-carrentals.com/fr</x:v>
      </x:c>
      <x:c r="R83" s="10" t="str">
        <x:v>EXISTING</x:v>
      </x:c>
      <x:c r="S83" s="8" t="str">
        <x:v>OPTIMIZE</x:v>
      </x:c>
      <x:c r="T83" s="8" t="str">
        <x:v>OBSERVED</x:v>
      </x:c>
      <x:c r="U83" s="8" t="str">
        <x:v>VENDOR ESTIMATE</x:v>
      </x:c>
      <x:c r="V83" s="8" t="str">
        <x:v>Medium: vendor estimate</x:v>
      </x:c>
      <x:c r="W83" s="8" t="str">
        <x:v>discover-fr</x:v>
      </x:c>
      <x:c r="X83" s="8"/>
      <x:c r="Y83" s="8" t="n">
        <x:v>46289.74017496528</x:v>
      </x:c>
      <x:c r="Z83" s="8" t="str">
        <x:v>No summed market demand. Meaningful query variants can overlap.</x:v>
      </x:c>
      <x:c r="AA83" s="12"/>
      <x:c r="AB83" s="10"/>
    </x:row>
    <x:row r="84" ht="48" customHeight="1">
      <x:c r="A84" s="9" t="str">
        <x:v>K080</x:v>
      </x:c>
      <x:c r="B84" s="9" t="str">
        <x:v>naxos sans voiture</x:v>
      </x:c>
      <x:c r="C84" s="9" t="str">
        <x:v>naxos sans voiture</x:v>
      </x:c>
      <x:c r="D84" s="9" t="str">
        <x:v>FR</x:v>
      </x:c>
      <x:c r="E84" s="9" t="str">
        <x:v>French</x:v>
      </x:c>
      <x:c r="F84" s="9" t="str">
        <x:v>Google / Ahrefs</x:v>
      </x:c>
      <x:c r="G84" s="9" t="str">
        <x:v>Informational decision</x:v>
      </x:c>
      <x:c r="H84" s="9" t="str">
        <x:v>Planning</x:v>
      </x:c>
      <x:c r="I84" s="13" t="n">
        <x:v>10</x:v>
      </x:c>
      <x:c r="J84" s="13"/>
      <x:c r="K84" s="13"/>
      <x:c r="L84" s="15"/>
      <x:c r="M84" s="9"/>
      <x:c r="N84" s="9"/>
      <x:c r="O84" s="9"/>
      <x:c r="P84" s="9" t="str">
        <x:v>C-fr-need-car</x:v>
      </x:c>
      <x:c r="Q84" s="11" t="str">
        <x:v>https://naxos-carrentals.com/fr/guides/do-you-need-a-car-in-naxos</x:v>
      </x:c>
      <x:c r="R84" s="11" t="str">
        <x:v>EXISTING</x:v>
      </x:c>
      <x:c r="S84" s="9" t="str">
        <x:v>OPTIMIZE</x:v>
      </x:c>
      <x:c r="T84" s="9" t="str">
        <x:v>OBSERVED</x:v>
      </x:c>
      <x:c r="U84" s="9" t="str">
        <x:v>VENDOR ESTIMATE</x:v>
      </x:c>
      <x:c r="V84" s="9" t="str">
        <x:v>Medium: vendor estimate</x:v>
      </x:c>
      <x:c r="W84" s="9" t="str">
        <x:v>discover-fr</x:v>
      </x:c>
      <x:c r="X84" s="9"/>
      <x:c r="Y84" s="9" t="n">
        <x:v>46289.74017496528</x:v>
      </x:c>
      <x:c r="Z84" s="9" t="str">
        <x:v>No summed market demand. Meaningful query variants can overlap.</x:v>
      </x:c>
      <x:c r="AA84" s="13"/>
      <x:c r="AB84" s="11"/>
    </x:row>
    <x:row r="85" ht="48" customHeight="1">
      <x:c r="A85" s="8" t="str">
        <x:v>K081</x:v>
      </x:c>
      <x:c r="B85" s="8" t="str">
        <x:v>visiter naxos sans voiture</x:v>
      </x:c>
      <x:c r="C85" s="8" t="str">
        <x:v>visiter naxos sans voiture</x:v>
      </x:c>
      <x:c r="D85" s="8" t="str">
        <x:v>FR</x:v>
      </x:c>
      <x:c r="E85" s="8" t="str">
        <x:v>French</x:v>
      </x:c>
      <x:c r="F85" s="8" t="str">
        <x:v>Google / Ahrefs</x:v>
      </x:c>
      <x:c r="G85" s="8" t="str">
        <x:v>Informational decision</x:v>
      </x:c>
      <x:c r="H85" s="8" t="str">
        <x:v>Planning</x:v>
      </x:c>
      <x:c r="I85" s="12" t="n">
        <x:v>10</x:v>
      </x:c>
      <x:c r="J85" s="12"/>
      <x:c r="K85" s="12"/>
      <x:c r="L85" s="14"/>
      <x:c r="M85" s="8"/>
      <x:c r="N85" s="8"/>
      <x:c r="O85" s="8"/>
      <x:c r="P85" s="8" t="str">
        <x:v>C-fr-need-car</x:v>
      </x:c>
      <x:c r="Q85" s="10" t="str">
        <x:v>https://naxos-carrentals.com/fr/guides/do-you-need-a-car-in-naxos</x:v>
      </x:c>
      <x:c r="R85" s="10" t="str">
        <x:v>EXISTING</x:v>
      </x:c>
      <x:c r="S85" s="8" t="str">
        <x:v>OPTIMIZE</x:v>
      </x:c>
      <x:c r="T85" s="8" t="str">
        <x:v>OBSERVED</x:v>
      </x:c>
      <x:c r="U85" s="8" t="str">
        <x:v>VENDOR ESTIMATE</x:v>
      </x:c>
      <x:c r="V85" s="8" t="str">
        <x:v>Medium: vendor estimate</x:v>
      </x:c>
      <x:c r="W85" s="8" t="str">
        <x:v>discover-fr</x:v>
      </x:c>
      <x:c r="X85" s="8"/>
      <x:c r="Y85" s="8" t="n">
        <x:v>46289.74017496528</x:v>
      </x:c>
      <x:c r="Z85" s="8" t="str">
        <x:v>No summed market demand. Meaningful query variants can overlap.</x:v>
      </x:c>
      <x:c r="AA85" s="12"/>
      <x:c r="AB85" s="10"/>
    </x:row>
    <x:row r="86" ht="48" customHeight="1">
      <x:c r="A86" s="9" t="str">
        <x:v>K082</x:v>
      </x:c>
      <x:c r="B86" s="9" t="str">
        <x:v>naxos voiture</x:v>
      </x:c>
      <x:c r="C86" s="9" t="str">
        <x:v>naxos voiture</x:v>
      </x:c>
      <x:c r="D86" s="9" t="str">
        <x:v>FR</x:v>
      </x:c>
      <x:c r="E86" s="9" t="str">
        <x:v>French</x:v>
      </x:c>
      <x:c r="F86" s="9" t="str">
        <x:v>Google / Ahrefs</x:v>
      </x:c>
      <x:c r="G86" s="9" t="str">
        <x:v>Commercial / transactional</x:v>
      </x:c>
      <x:c r="H86" s="9" t="str">
        <x:v>Booking evaluation</x:v>
      </x:c>
      <x:c r="I86" s="13" t="n">
        <x:v>0</x:v>
      </x:c>
      <x:c r="J86" s="13"/>
      <x:c r="K86" s="13"/>
      <x:c r="L86" s="15"/>
      <x:c r="M86" s="9"/>
      <x:c r="N86" s="9"/>
      <x:c r="O86" s="9"/>
      <x:c r="P86" s="9" t="str">
        <x:v>C-fr-core</x:v>
      </x:c>
      <x:c r="Q86" s="11" t="str">
        <x:v>https://naxos-carrentals.com/fr</x:v>
      </x:c>
      <x:c r="R86" s="11" t="str">
        <x:v>EXISTING</x:v>
      </x:c>
      <x:c r="S86" s="9" t="str">
        <x:v>OPTIMIZE</x:v>
      </x:c>
      <x:c r="T86" s="9" t="str">
        <x:v>OBSERVED</x:v>
      </x:c>
      <x:c r="U86" s="9" t="str">
        <x:v>VENDOR ESTIMATE</x:v>
      </x:c>
      <x:c r="V86" s="9" t="str">
        <x:v>Medium: vendor estimate</x:v>
      </x:c>
      <x:c r="W86" s="9" t="str">
        <x:v>discover-fr</x:v>
      </x:c>
      <x:c r="X86" s="9"/>
      <x:c r="Y86" s="9" t="n">
        <x:v>46289.74017496528</x:v>
      </x:c>
      <x:c r="Z86" s="9" t="str">
        <x:v>No summed market demand. Meaningful query variants can overlap.</x:v>
      </x:c>
      <x:c r="AA86" s="13"/>
      <x:c r="AB86" s="11"/>
    </x:row>
    <x:row r="87" ht="48" customHeight="1">
      <x:c r="A87" s="8" t="str">
        <x:v>K083</x:v>
      </x:c>
      <x:c r="B87" s="8" t="str">
        <x:v>comment louer une voiture a naxos</x:v>
      </x:c>
      <x:c r="C87" s="8" t="str">
        <x:v>comment louer une voiture a naxos</x:v>
      </x:c>
      <x:c r="D87" s="8" t="str">
        <x:v>FR</x:v>
      </x:c>
      <x:c r="E87" s="8" t="str">
        <x:v>French</x:v>
      </x:c>
      <x:c r="F87" s="8" t="str">
        <x:v>Google / Ahrefs</x:v>
      </x:c>
      <x:c r="G87" s="8" t="str">
        <x:v>Commercial / transactional</x:v>
      </x:c>
      <x:c r="H87" s="8" t="str">
        <x:v>Booking evaluation</x:v>
      </x:c>
      <x:c r="I87" s="12" t="n">
        <x:v>0</x:v>
      </x:c>
      <x:c r="J87" s="12"/>
      <x:c r="K87" s="12"/>
      <x:c r="L87" s="14"/>
      <x:c r="M87" s="8"/>
      <x:c r="N87" s="8"/>
      <x:c r="O87" s="8"/>
      <x:c r="P87" s="8" t="str">
        <x:v>C-fr-core</x:v>
      </x:c>
      <x:c r="Q87" s="10" t="str">
        <x:v>https://naxos-carrentals.com/fr</x:v>
      </x:c>
      <x:c r="R87" s="10" t="str">
        <x:v>EXISTING</x:v>
      </x:c>
      <x:c r="S87" s="8" t="str">
        <x:v>OPTIMIZE</x:v>
      </x:c>
      <x:c r="T87" s="8" t="str">
        <x:v>OBSERVED</x:v>
      </x:c>
      <x:c r="U87" s="8" t="str">
        <x:v>VENDOR ESTIMATE</x:v>
      </x:c>
      <x:c r="V87" s="8" t="str">
        <x:v>Medium: vendor estimate</x:v>
      </x:c>
      <x:c r="W87" s="8" t="str">
        <x:v>discover-fr</x:v>
      </x:c>
      <x:c r="X87" s="8"/>
      <x:c r="Y87" s="8" t="n">
        <x:v>46289.74017496528</x:v>
      </x:c>
      <x:c r="Z87" s="8" t="str">
        <x:v>No summed market demand. Meaningful query variants can overlap.</x:v>
      </x:c>
      <x:c r="AA87" s="12"/>
      <x:c r="AB87" s="10"/>
    </x:row>
    <x:row r="88" ht="48" customHeight="1">
      <x:c r="A88" s="9" t="str">
        <x:v>K084</x:v>
      </x:c>
      <x:c r="B88" s="9" t="str">
        <x:v>location voiture a naxos</x:v>
      </x:c>
      <x:c r="C88" s="9" t="str">
        <x:v>location voiture a naxos</x:v>
      </x:c>
      <x:c r="D88" s="9" t="str">
        <x:v>FR</x:v>
      </x:c>
      <x:c r="E88" s="9" t="str">
        <x:v>French</x:v>
      </x:c>
      <x:c r="F88" s="9" t="str">
        <x:v>Google / Ahrefs</x:v>
      </x:c>
      <x:c r="G88" s="9" t="str">
        <x:v>Commercial / transactional</x:v>
      </x:c>
      <x:c r="H88" s="9" t="str">
        <x:v>Booking evaluation</x:v>
      </x:c>
      <x:c r="I88" s="13" t="n">
        <x:v>0</x:v>
      </x:c>
      <x:c r="J88" s="13"/>
      <x:c r="K88" s="13"/>
      <x:c r="L88" s="15"/>
      <x:c r="M88" s="9"/>
      <x:c r="N88" s="9"/>
      <x:c r="O88" s="9"/>
      <x:c r="P88" s="9" t="str">
        <x:v>C-fr-core</x:v>
      </x:c>
      <x:c r="Q88" s="11" t="str">
        <x:v>https://naxos-carrentals.com/fr</x:v>
      </x:c>
      <x:c r="R88" s="11" t="str">
        <x:v>EXISTING</x:v>
      </x:c>
      <x:c r="S88" s="9" t="str">
        <x:v>OPTIMIZE</x:v>
      </x:c>
      <x:c r="T88" s="9" t="str">
        <x:v>OBSERVED</x:v>
      </x:c>
      <x:c r="U88" s="9" t="str">
        <x:v>VENDOR ESTIMATE</x:v>
      </x:c>
      <x:c r="V88" s="9" t="str">
        <x:v>Medium: vendor estimate</x:v>
      </x:c>
      <x:c r="W88" s="9" t="str">
        <x:v>discover-fr</x:v>
      </x:c>
      <x:c r="X88" s="9"/>
      <x:c r="Y88" s="9" t="n">
        <x:v>46289.74017496528</x:v>
      </x:c>
      <x:c r="Z88" s="9" t="str">
        <x:v>No summed market demand. Meaningful query variants can overlap.</x:v>
      </x:c>
      <x:c r="AA88" s="13"/>
      <x:c r="AB88" s="11"/>
    </x:row>
    <x:row r="89" ht="48" customHeight="1">
      <x:c r="A89" s="8" t="str">
        <x:v>K085</x:v>
      </x:c>
      <x:c r="B89" s="8" t="str">
        <x:v>location voiture naxos pas cher</x:v>
      </x:c>
      <x:c r="C89" s="8" t="str">
        <x:v>location voiture naxos pas cher</x:v>
      </x:c>
      <x:c r="D89" s="8" t="str">
        <x:v>FR</x:v>
      </x:c>
      <x:c r="E89" s="8" t="str">
        <x:v>French</x:v>
      </x:c>
      <x:c r="F89" s="8" t="str">
        <x:v>Google / Ahrefs</x:v>
      </x:c>
      <x:c r="G89" s="8" t="str">
        <x:v>Commercial / transactional</x:v>
      </x:c>
      <x:c r="H89" s="8" t="str">
        <x:v>Booking evaluation</x:v>
      </x:c>
      <x:c r="I89" s="12" t="n">
        <x:v>0</x:v>
      </x:c>
      <x:c r="J89" s="12"/>
      <x:c r="K89" s="12"/>
      <x:c r="L89" s="14"/>
      <x:c r="M89" s="8"/>
      <x:c r="N89" s="8"/>
      <x:c r="O89" s="8"/>
      <x:c r="P89" s="8" t="str">
        <x:v>C-fr-pricing</x:v>
      </x:c>
      <x:c r="Q89" s="10" t="str">
        <x:v>https://naxos-carrentals.com/fr/pricing</x:v>
      </x:c>
      <x:c r="R89" s="10" t="str">
        <x:v>EXISTING</x:v>
      </x:c>
      <x:c r="S89" s="8" t="str">
        <x:v>OPTIMIZE</x:v>
      </x:c>
      <x:c r="T89" s="8" t="str">
        <x:v>OBSERVED</x:v>
      </x:c>
      <x:c r="U89" s="8" t="str">
        <x:v>VENDOR ESTIMATE</x:v>
      </x:c>
      <x:c r="V89" s="8" t="str">
        <x:v>Medium: vendor estimate</x:v>
      </x:c>
      <x:c r="W89" s="8" t="str">
        <x:v>discover-fr</x:v>
      </x:c>
      <x:c r="X89" s="8"/>
      <x:c r="Y89" s="8" t="n">
        <x:v>46289.74017496528</x:v>
      </x:c>
      <x:c r="Z89" s="8" t="str">
        <x:v>No summed market demand. Meaningful query variants can overlap.</x:v>
      </x:c>
      <x:c r="AA89" s="12"/>
      <x:c r="AB89" s="10"/>
    </x:row>
    <x:row r="90" ht="48" customHeight="1">
      <x:c r="A90" s="9" t="str">
        <x:v>K086</x:v>
      </x:c>
      <x:c r="B90" s="9" t="str">
        <x:v>ou loger a naxos sans voiture</x:v>
      </x:c>
      <x:c r="C90" s="9" t="str">
        <x:v>ou loger a naxos sans voiture</x:v>
      </x:c>
      <x:c r="D90" s="9" t="str">
        <x:v>FR</x:v>
      </x:c>
      <x:c r="E90" s="9" t="str">
        <x:v>French</x:v>
      </x:c>
      <x:c r="F90" s="9" t="str">
        <x:v>Google / Ahrefs</x:v>
      </x:c>
      <x:c r="G90" s="9" t="str">
        <x:v>Informational decision</x:v>
      </x:c>
      <x:c r="H90" s="9" t="str">
        <x:v>Planning</x:v>
      </x:c>
      <x:c r="I90" s="13" t="n">
        <x:v>0</x:v>
      </x:c>
      <x:c r="J90" s="13"/>
      <x:c r="K90" s="13"/>
      <x:c r="L90" s="15"/>
      <x:c r="M90" s="9"/>
      <x:c r="N90" s="9"/>
      <x:c r="O90" s="9"/>
      <x:c r="P90" s="9" t="str">
        <x:v>C-fr-need-car</x:v>
      </x:c>
      <x:c r="Q90" s="11" t="str">
        <x:v>https://naxos-carrentals.com/fr/guides/do-you-need-a-car-in-naxos</x:v>
      </x:c>
      <x:c r="R90" s="11" t="str">
        <x:v>EXISTING</x:v>
      </x:c>
      <x:c r="S90" s="9" t="str">
        <x:v>OPTIMIZE</x:v>
      </x:c>
      <x:c r="T90" s="9" t="str">
        <x:v>OBSERVED</x:v>
      </x:c>
      <x:c r="U90" s="9" t="str">
        <x:v>VENDOR ESTIMATE</x:v>
      </x:c>
      <x:c r="V90" s="9" t="str">
        <x:v>Medium: vendor estimate</x:v>
      </x:c>
      <x:c r="W90" s="9" t="str">
        <x:v>discover-fr</x:v>
      </x:c>
      <x:c r="X90" s="9"/>
      <x:c r="Y90" s="9" t="n">
        <x:v>46289.74017496528</x:v>
      </x:c>
      <x:c r="Z90" s="9" t="str">
        <x:v>No summed market demand. Meaningful query variants can overlap.</x:v>
      </x:c>
      <x:c r="AA90" s="13"/>
      <x:c r="AB90" s="11"/>
    </x:row>
    <x:row r="91" ht="48" customHeight="1">
      <x:c r="A91" s="8" t="str">
        <x:v>K087</x:v>
      </x:c>
      <x:c r="B91" s="8" t="str">
        <x:v>location voiture naxos particulier</x:v>
      </x:c>
      <x:c r="C91" s="8" t="str">
        <x:v>location voiture naxos particulier</x:v>
      </x:c>
      <x:c r="D91" s="8" t="str">
        <x:v>FR</x:v>
      </x:c>
      <x:c r="E91" s="8" t="str">
        <x:v>French</x:v>
      </x:c>
      <x:c r="F91" s="8" t="str">
        <x:v>Google / Ahrefs</x:v>
      </x:c>
      <x:c r="G91" s="8" t="str">
        <x:v>Commercial / transactional</x:v>
      </x:c>
      <x:c r="H91" s="8" t="str">
        <x:v>Booking evaluation</x:v>
      </x:c>
      <x:c r="I91" s="12" t="n">
        <x:v>0</x:v>
      </x:c>
      <x:c r="J91" s="12"/>
      <x:c r="K91" s="12"/>
      <x:c r="L91" s="14"/>
      <x:c r="M91" s="8"/>
      <x:c r="N91" s="8"/>
      <x:c r="O91" s="8"/>
      <x:c r="P91" s="8" t="str">
        <x:v>C-fr-private</x:v>
      </x:c>
      <x:c r="Q91" s="10" t="str">
        <x:v>https://naxos-carrentals.com/fr/terms</x:v>
      </x:c>
      <x:c r="R91" s="10" t="str">
        <x:v>EXISTING</x:v>
      </x:c>
      <x:c r="S91" s="8" t="str">
        <x:v>DEPRIORITIZE</x:v>
      </x:c>
      <x:c r="T91" s="8" t="str">
        <x:v>OBSERVED</x:v>
      </x:c>
      <x:c r="U91" s="8" t="str">
        <x:v>VENDOR ESTIMATE</x:v>
      </x:c>
      <x:c r="V91" s="8" t="str">
        <x:v>Medium: vendor estimate</x:v>
      </x:c>
      <x:c r="W91" s="8" t="str">
        <x:v>discover-fr</x:v>
      </x:c>
      <x:c r="X91" s="8"/>
      <x:c r="Y91" s="8" t="n">
        <x:v>46289.74017496528</x:v>
      </x:c>
      <x:c r="Z91" s="8" t="str">
        <x:v>No summed market demand. Meaningful query variants can overlap.</x:v>
      </x:c>
      <x:c r="AA91" s="12"/>
      <x:c r="AB91" s="10"/>
    </x:row>
    <x:row r="92" ht="48" customHeight="1">
      <x:c r="A92" s="9" t="str">
        <x:v>K088</x:v>
      </x:c>
      <x:c r="B92" s="9" t="str">
        <x:v>location voiture naxos chora</x:v>
      </x:c>
      <x:c r="C92" s="9" t="str">
        <x:v>location voiture naxos chora</x:v>
      </x:c>
      <x:c r="D92" s="9" t="str">
        <x:v>FR</x:v>
      </x:c>
      <x:c r="E92" s="9" t="str">
        <x:v>French</x:v>
      </x:c>
      <x:c r="F92" s="9" t="str">
        <x:v>Google / Ahrefs</x:v>
      </x:c>
      <x:c r="G92" s="9" t="str">
        <x:v>Commercial / transactional</x:v>
      </x:c>
      <x:c r="H92" s="9" t="str">
        <x:v>Booking evaluation</x:v>
      </x:c>
      <x:c r="I92" s="13" t="n">
        <x:v>0</x:v>
      </x:c>
      <x:c r="J92" s="13"/>
      <x:c r="K92" s="13"/>
      <x:c r="L92" s="15"/>
      <x:c r="M92" s="9"/>
      <x:c r="N92" s="9"/>
      <x:c r="O92" s="9"/>
      <x:c r="P92" s="9" t="str">
        <x:v>C-fr-town</x:v>
      </x:c>
      <x:c r="Q92" s="11" t="str">
        <x:v>https://naxos-carrentals.com/fr/locations/naxos-town</x:v>
      </x:c>
      <x:c r="R92" s="11" t="str">
        <x:v>EXISTING</x:v>
      </x:c>
      <x:c r="S92" s="9" t="str">
        <x:v>OPTIMIZE</x:v>
      </x:c>
      <x:c r="T92" s="9" t="str">
        <x:v>OBSERVED</x:v>
      </x:c>
      <x:c r="U92" s="9" t="str">
        <x:v>VENDOR ESTIMATE</x:v>
      </x:c>
      <x:c r="V92" s="9" t="str">
        <x:v>Medium: vendor estimate</x:v>
      </x:c>
      <x:c r="W92" s="9" t="str">
        <x:v>discover-fr</x:v>
      </x:c>
      <x:c r="X92" s="9"/>
      <x:c r="Y92" s="9" t="n">
        <x:v>46289.74017496528</x:v>
      </x:c>
      <x:c r="Z92" s="9" t="str">
        <x:v>No summed market demand. Meaningful query variants can overlap.</x:v>
      </x:c>
      <x:c r="AA92" s="13"/>
      <x:c r="AB92" s="11"/>
    </x:row>
    <x:row r="93" ht="48" customHeight="1">
      <x:c r="A93" s="8" t="str">
        <x:v>K089</x:v>
      </x:c>
      <x:c r="B93" s="8" t="str">
        <x:v>location voiture à naxos</x:v>
      </x:c>
      <x:c r="C93" s="8" t="str">
        <x:v>location voiture à naxos</x:v>
      </x:c>
      <x:c r="D93" s="8" t="str">
        <x:v>FR</x:v>
      </x:c>
      <x:c r="E93" s="8" t="str">
        <x:v>French</x:v>
      </x:c>
      <x:c r="F93" s="8" t="str">
        <x:v>Google / Ahrefs</x:v>
      </x:c>
      <x:c r="G93" s="8" t="str">
        <x:v>Commercial / transactional</x:v>
      </x:c>
      <x:c r="H93" s="8" t="str">
        <x:v>Booking evaluation</x:v>
      </x:c>
      <x:c r="I93" s="12" t="n">
        <x:v>0</x:v>
      </x:c>
      <x:c r="J93" s="12"/>
      <x:c r="K93" s="12"/>
      <x:c r="L93" s="14"/>
      <x:c r="M93" s="8"/>
      <x:c r="N93" s="8"/>
      <x:c r="O93" s="8"/>
      <x:c r="P93" s="8" t="str">
        <x:v>C-fr-core</x:v>
      </x:c>
      <x:c r="Q93" s="10" t="str">
        <x:v>https://naxos-carrentals.com/fr</x:v>
      </x:c>
      <x:c r="R93" s="10" t="str">
        <x:v>EXISTING</x:v>
      </x:c>
      <x:c r="S93" s="8" t="str">
        <x:v>OPTIMIZE</x:v>
      </x:c>
      <x:c r="T93" s="8" t="str">
        <x:v>OBSERVED</x:v>
      </x:c>
      <x:c r="U93" s="8" t="str">
        <x:v>VENDOR ESTIMATE</x:v>
      </x:c>
      <x:c r="V93" s="8" t="str">
        <x:v>Medium: vendor estimate</x:v>
      </x:c>
      <x:c r="W93" s="8" t="str">
        <x:v>discover-fr</x:v>
      </x:c>
      <x:c r="X93" s="8"/>
      <x:c r="Y93" s="8" t="n">
        <x:v>46289.74017496528</x:v>
      </x:c>
      <x:c r="Z93" s="8" t="str">
        <x:v>No summed market demand. Meaningful query variants can overlap.</x:v>
      </x:c>
      <x:c r="AA93" s="12"/>
      <x:c r="AB93" s="10"/>
    </x:row>
    <x:row r="94" ht="48" customHeight="1">
      <x:c r="A94" s="9" t="str">
        <x:v>K090</x:v>
      </x:c>
      <x:c r="B94" s="9" t="str">
        <x:v>naxos en voiture</x:v>
      </x:c>
      <x:c r="C94" s="9" t="str">
        <x:v>naxos en voiture</x:v>
      </x:c>
      <x:c r="D94" s="9" t="str">
        <x:v>FR</x:v>
      </x:c>
      <x:c r="E94" s="9" t="str">
        <x:v>French</x:v>
      </x:c>
      <x:c r="F94" s="9" t="str">
        <x:v>Google / Ahrefs</x:v>
      </x:c>
      <x:c r="G94" s="9" t="str">
        <x:v>Informational decision</x:v>
      </x:c>
      <x:c r="H94" s="9" t="str">
        <x:v>Planning</x:v>
      </x:c>
      <x:c r="I94" s="13" t="n">
        <x:v>0</x:v>
      </x:c>
      <x:c r="J94" s="13"/>
      <x:c r="K94" s="13"/>
      <x:c r="L94" s="15"/>
      <x:c r="M94" s="9"/>
      <x:c r="N94" s="9"/>
      <x:c r="O94" s="9"/>
      <x:c r="P94" s="9" t="str">
        <x:v>C-fr-driving</x:v>
      </x:c>
      <x:c r="Q94" s="11" t="str">
        <x:v>https://naxos-carrentals.com/fr/guides/driving-in-naxos</x:v>
      </x:c>
      <x:c r="R94" s="11" t="str">
        <x:v>EXISTING</x:v>
      </x:c>
      <x:c r="S94" s="9" t="str">
        <x:v>OPTIMIZE</x:v>
      </x:c>
      <x:c r="T94" s="9" t="str">
        <x:v>OBSERVED</x:v>
      </x:c>
      <x:c r="U94" s="9" t="str">
        <x:v>VENDOR ESTIMATE</x:v>
      </x:c>
      <x:c r="V94" s="9" t="str">
        <x:v>Medium: vendor estimate</x:v>
      </x:c>
      <x:c r="W94" s="9" t="str">
        <x:v>discover-fr</x:v>
      </x:c>
      <x:c r="X94" s="9"/>
      <x:c r="Y94" s="9" t="n">
        <x:v>46289.74017496528</x:v>
      </x:c>
      <x:c r="Z94" s="9" t="str">
        <x:v>No summed market demand. Meaningful query variants can overlap.</x:v>
      </x:c>
      <x:c r="AA94" s="13"/>
      <x:c r="AB94" s="11"/>
    </x:row>
    <x:row r="95" ht="48" customHeight="1">
      <x:c r="A95" s="8" t="str">
        <x:v>K091</x:v>
      </x:c>
      <x:c r="B95" s="8" t="str">
        <x:v>location voiture naxos agios prokopios</x:v>
      </x:c>
      <x:c r="C95" s="8" t="str">
        <x:v>location voiture naxos agios prokopios</x:v>
      </x:c>
      <x:c r="D95" s="8" t="str">
        <x:v>FR</x:v>
      </x:c>
      <x:c r="E95" s="8" t="str">
        <x:v>French</x:v>
      </x:c>
      <x:c r="F95" s="8" t="str">
        <x:v>Google / Ahrefs</x:v>
      </x:c>
      <x:c r="G95" s="8" t="str">
        <x:v>Commercial / transactional</x:v>
      </x:c>
      <x:c r="H95" s="8" t="str">
        <x:v>Booking evaluation</x:v>
      </x:c>
      <x:c r="I95" s="12" t="n">
        <x:v>0</x:v>
      </x:c>
      <x:c r="J95" s="12"/>
      <x:c r="K95" s="12"/>
      <x:c r="L95" s="14"/>
      <x:c r="M95" s="8"/>
      <x:c r="N95" s="8"/>
      <x:c r="O95" s="8"/>
      <x:c r="P95" s="8" t="str">
        <x:v>C-fr-prokopios</x:v>
      </x:c>
      <x:c r="Q95" s="10" t="str">
        <x:v>https://naxos-carrentals.com/fr/locations/agios-prokopios</x:v>
      </x:c>
      <x:c r="R95" s="10" t="str">
        <x:v>EXISTING</x:v>
      </x:c>
      <x:c r="S95" s="8" t="str">
        <x:v>OPTIMIZE</x:v>
      </x:c>
      <x:c r="T95" s="8" t="str">
        <x:v>OBSERVED</x:v>
      </x:c>
      <x:c r="U95" s="8" t="str">
        <x:v>VENDOR ESTIMATE</x:v>
      </x:c>
      <x:c r="V95" s="8" t="str">
        <x:v>Medium: vendor estimate</x:v>
      </x:c>
      <x:c r="W95" s="8" t="str">
        <x:v>discover-fr</x:v>
      </x:c>
      <x:c r="X95" s="8"/>
      <x:c r="Y95" s="8" t="n">
        <x:v>46289.74017496528</x:v>
      </x:c>
      <x:c r="Z95" s="8" t="str">
        <x:v>No summed market demand. Meaningful query variants can overlap.</x:v>
      </x:c>
      <x:c r="AA95" s="12"/>
      <x:c r="AB95" s="10"/>
    </x:row>
    <x:row r="96" ht="48" customHeight="1">
      <x:c r="A96" s="9" t="str">
        <x:v>K092</x:v>
      </x:c>
      <x:c r="B96" s="9" t="str">
        <x:v>location de voiture naxos grece</x:v>
      </x:c>
      <x:c r="C96" s="9" t="str">
        <x:v>location de voiture naxos grece</x:v>
      </x:c>
      <x:c r="D96" s="9" t="str">
        <x:v>FR</x:v>
      </x:c>
      <x:c r="E96" s="9" t="str">
        <x:v>French</x:v>
      </x:c>
      <x:c r="F96" s="9" t="str">
        <x:v>Google / Ahrefs</x:v>
      </x:c>
      <x:c r="G96" s="9" t="str">
        <x:v>Commercial / transactional</x:v>
      </x:c>
      <x:c r="H96" s="9" t="str">
        <x:v>Booking evaluation</x:v>
      </x:c>
      <x:c r="I96" s="13" t="n">
        <x:v>0</x:v>
      </x:c>
      <x:c r="J96" s="13"/>
      <x:c r="K96" s="13"/>
      <x:c r="L96" s="15"/>
      <x:c r="M96" s="9"/>
      <x:c r="N96" s="9"/>
      <x:c r="O96" s="9"/>
      <x:c r="P96" s="9" t="str">
        <x:v>C-fr-core</x:v>
      </x:c>
      <x:c r="Q96" s="11" t="str">
        <x:v>https://naxos-carrentals.com/fr</x:v>
      </x:c>
      <x:c r="R96" s="11" t="str">
        <x:v>EXISTING</x:v>
      </x:c>
      <x:c r="S96" s="9" t="str">
        <x:v>OPTIMIZE</x:v>
      </x:c>
      <x:c r="T96" s="9" t="str">
        <x:v>OBSERVED</x:v>
      </x:c>
      <x:c r="U96" s="9" t="str">
        <x:v>VENDOR ESTIMATE</x:v>
      </x:c>
      <x:c r="V96" s="9" t="str">
        <x:v>Medium: vendor estimate</x:v>
      </x:c>
      <x:c r="W96" s="9" t="str">
        <x:v>discover-fr</x:v>
      </x:c>
      <x:c r="X96" s="9"/>
      <x:c r="Y96" s="9" t="n">
        <x:v>46289.74017496528</x:v>
      </x:c>
      <x:c r="Z96" s="9" t="str">
        <x:v>No summed market demand. Meaningful query variants can overlap.</x:v>
      </x:c>
      <x:c r="AA96" s="13"/>
      <x:c r="AB96" s="11"/>
    </x:row>
    <x:row r="97" ht="48" customHeight="1">
      <x:c r="A97" s="8" t="str">
        <x:v>K093</x:v>
      </x:c>
      <x:c r="B97" s="8" t="str">
        <x:v>louer une voiture au port de naxos</x:v>
      </x:c>
      <x:c r="C97" s="8" t="str">
        <x:v>louer une voiture au port de naxos</x:v>
      </x:c>
      <x:c r="D97" s="8" t="str">
        <x:v>FR</x:v>
      </x:c>
      <x:c r="E97" s="8" t="str">
        <x:v>French</x:v>
      </x:c>
      <x:c r="F97" s="8" t="str">
        <x:v>Google / Ahrefs</x:v>
      </x:c>
      <x:c r="G97" s="8" t="str">
        <x:v>Commercial / transactional</x:v>
      </x:c>
      <x:c r="H97" s="8" t="str">
        <x:v>Booking evaluation</x:v>
      </x:c>
      <x:c r="I97" s="12" t="n">
        <x:v>0</x:v>
      </x:c>
      <x:c r="J97" s="12"/>
      <x:c r="K97" s="12"/>
      <x:c r="L97" s="14"/>
      <x:c r="M97" s="8"/>
      <x:c r="N97" s="8"/>
      <x:c r="O97" s="8"/>
      <x:c r="P97" s="8" t="str">
        <x:v>C-fr-port</x:v>
      </x:c>
      <x:c r="Q97" s="10" t="str">
        <x:v>https://naxos-carrentals.com/fr/locations/port-pickup</x:v>
      </x:c>
      <x:c r="R97" s="10" t="str">
        <x:v>EXISTING</x:v>
      </x:c>
      <x:c r="S97" s="8" t="str">
        <x:v>OPTIMIZE</x:v>
      </x:c>
      <x:c r="T97" s="8" t="str">
        <x:v>OBSERVED</x:v>
      </x:c>
      <x:c r="U97" s="8" t="str">
        <x:v>VENDOR ESTIMATE</x:v>
      </x:c>
      <x:c r="V97" s="8" t="str">
        <x:v>Medium: vendor estimate</x:v>
      </x:c>
      <x:c r="W97" s="8" t="str">
        <x:v>discover-fr</x:v>
      </x:c>
      <x:c r="X97" s="8"/>
      <x:c r="Y97" s="8" t="n">
        <x:v>46289.74017496528</x:v>
      </x:c>
      <x:c r="Z97" s="8" t="str">
        <x:v>No summed market demand. Meaningful query variants can overlap.</x:v>
      </x:c>
      <x:c r="AA97" s="12"/>
      <x:c r="AB97" s="10"/>
    </x:row>
    <x:row r="98" ht="48" customHeight="1">
      <x:c r="A98" s="9" t="str">
        <x:v>K094</x:v>
      </x:c>
      <x:c r="B98" s="9" t="str">
        <x:v>que faire a naxos sans voiture</x:v>
      </x:c>
      <x:c r="C98" s="9" t="str">
        <x:v>que faire a naxos sans voiture</x:v>
      </x:c>
      <x:c r="D98" s="9" t="str">
        <x:v>FR</x:v>
      </x:c>
      <x:c r="E98" s="9" t="str">
        <x:v>French</x:v>
      </x:c>
      <x:c r="F98" s="9" t="str">
        <x:v>Google / Ahrefs</x:v>
      </x:c>
      <x:c r="G98" s="9" t="str">
        <x:v>Informational decision</x:v>
      </x:c>
      <x:c r="H98" s="9" t="str">
        <x:v>Planning</x:v>
      </x:c>
      <x:c r="I98" s="13" t="n">
        <x:v>0</x:v>
      </x:c>
      <x:c r="J98" s="13"/>
      <x:c r="K98" s="13"/>
      <x:c r="L98" s="15"/>
      <x:c r="M98" s="9"/>
      <x:c r="N98" s="9"/>
      <x:c r="O98" s="9"/>
      <x:c r="P98" s="9" t="str">
        <x:v>C-fr-need-car</x:v>
      </x:c>
      <x:c r="Q98" s="11" t="str">
        <x:v>https://naxos-carrentals.com/fr/guides/do-you-need-a-car-in-naxos</x:v>
      </x:c>
      <x:c r="R98" s="11" t="str">
        <x:v>EXISTING</x:v>
      </x:c>
      <x:c r="S98" s="9" t="str">
        <x:v>OPTIMIZE</x:v>
      </x:c>
      <x:c r="T98" s="9" t="str">
        <x:v>OBSERVED</x:v>
      </x:c>
      <x:c r="U98" s="9" t="str">
        <x:v>VENDOR ESTIMATE</x:v>
      </x:c>
      <x:c r="V98" s="9" t="str">
        <x:v>Medium: vendor estimate</x:v>
      </x:c>
      <x:c r="W98" s="9" t="str">
        <x:v>discover-fr</x:v>
      </x:c>
      <x:c r="X98" s="9"/>
      <x:c r="Y98" s="9" t="n">
        <x:v>46289.74017496528</x:v>
      </x:c>
      <x:c r="Z98" s="9" t="str">
        <x:v>No summed market demand. Meaningful query variants can overlap.</x:v>
      </x:c>
      <x:c r="AA98" s="13"/>
      <x:c r="AB98" s="11"/>
    </x:row>
    <x:row r="99" ht="48" customHeight="1">
      <x:c r="A99" s="8" t="str">
        <x:v>K095</x:v>
      </x:c>
      <x:c r="B99" s="8" t="str">
        <x:v>location voiture naxos routard</x:v>
      </x:c>
      <x:c r="C99" s="8" t="str">
        <x:v>location voiture naxos routard</x:v>
      </x:c>
      <x:c r="D99" s="8" t="str">
        <x:v>FR</x:v>
      </x:c>
      <x:c r="E99" s="8" t="str">
        <x:v>French</x:v>
      </x:c>
      <x:c r="F99" s="8" t="str">
        <x:v>Google / Ahrefs</x:v>
      </x:c>
      <x:c r="G99" s="8" t="str">
        <x:v>Commercial / transactional</x:v>
      </x:c>
      <x:c r="H99" s="8" t="str">
        <x:v>Booking evaluation</x:v>
      </x:c>
      <x:c r="I99" s="12" t="n">
        <x:v>0</x:v>
      </x:c>
      <x:c r="J99" s="12"/>
      <x:c r="K99" s="12"/>
      <x:c r="L99" s="14"/>
      <x:c r="M99" s="8"/>
      <x:c r="N99" s="8"/>
      <x:c r="O99" s="8"/>
      <x:c r="P99" s="8" t="str">
        <x:v>C-fr-reviews</x:v>
      </x:c>
      <x:c r="Q99" s="10" t="str">
        <x:v>https://naxos-carrentals.com/fr/reviews</x:v>
      </x:c>
      <x:c r="R99" s="10" t="str">
        <x:v>EXISTING</x:v>
      </x:c>
      <x:c r="S99" s="8" t="str">
        <x:v>OPTIMIZE</x:v>
      </x:c>
      <x:c r="T99" s="8" t="str">
        <x:v>OBSERVED</x:v>
      </x:c>
      <x:c r="U99" s="8" t="str">
        <x:v>VENDOR ESTIMATE</x:v>
      </x:c>
      <x:c r="V99" s="8" t="str">
        <x:v>Medium: vendor estimate</x:v>
      </x:c>
      <x:c r="W99" s="8" t="str">
        <x:v>discover-fr</x:v>
      </x:c>
      <x:c r="X99" s="8"/>
      <x:c r="Y99" s="8" t="n">
        <x:v>46289.74017496528</x:v>
      </x:c>
      <x:c r="Z99" s="8" t="str">
        <x:v>No summed market demand. Meaningful query variants can overlap.</x:v>
      </x:c>
      <x:c r="AA99" s="12"/>
      <x:c r="AB99" s="10"/>
    </x:row>
    <x:row r="100" ht="48" customHeight="1">
      <x:c r="A100" s="9" t="str">
        <x:v>K096</x:v>
      </x:c>
      <x:c r="B100" s="9" t="str">
        <x:v>prix location voiture naxos</x:v>
      </x:c>
      <x:c r="C100" s="9" t="str">
        <x:v>prix location voiture naxos</x:v>
      </x:c>
      <x:c r="D100" s="9" t="str">
        <x:v>FR</x:v>
      </x:c>
      <x:c r="E100" s="9" t="str">
        <x:v>French</x:v>
      </x:c>
      <x:c r="F100" s="9" t="str">
        <x:v>Google / Ahrefs</x:v>
      </x:c>
      <x:c r="G100" s="9" t="str">
        <x:v>Commercial / transactional</x:v>
      </x:c>
      <x:c r="H100" s="9" t="str">
        <x:v>Booking evaluation</x:v>
      </x:c>
      <x:c r="I100" s="13" t="n">
        <x:v>0</x:v>
      </x:c>
      <x:c r="J100" s="13"/>
      <x:c r="K100" s="13"/>
      <x:c r="L100" s="15"/>
      <x:c r="M100" s="9"/>
      <x:c r="N100" s="9"/>
      <x:c r="O100" s="9"/>
      <x:c r="P100" s="9" t="str">
        <x:v>C-fr-pricing</x:v>
      </x:c>
      <x:c r="Q100" s="11" t="str">
        <x:v>https://naxos-carrentals.com/fr/pricing</x:v>
      </x:c>
      <x:c r="R100" s="11" t="str">
        <x:v>EXISTING</x:v>
      </x:c>
      <x:c r="S100" s="9" t="str">
        <x:v>OPTIMIZE</x:v>
      </x:c>
      <x:c r="T100" s="9" t="str">
        <x:v>OBSERVED</x:v>
      </x:c>
      <x:c r="U100" s="9" t="str">
        <x:v>VENDOR ESTIMATE</x:v>
      </x:c>
      <x:c r="V100" s="9" t="str">
        <x:v>Medium: vendor estimate</x:v>
      </x:c>
      <x:c r="W100" s="9" t="str">
        <x:v>discover-fr</x:v>
      </x:c>
      <x:c r="X100" s="9"/>
      <x:c r="Y100" s="9" t="n">
        <x:v>46289.74017496528</x:v>
      </x:c>
      <x:c r="Z100" s="9" t="str">
        <x:v>No summed market demand. Meaningful query variants can overlap.</x:v>
      </x:c>
      <x:c r="AA100" s="13"/>
      <x:c r="AB100" s="11"/>
    </x:row>
    <x:row r="101" ht="48" customHeight="1">
      <x:c r="A101" s="8" t="str">
        <x:v>K097</x:v>
      </x:c>
      <x:c r="B101" s="8" t="str">
        <x:v>location voiture naxos avis</x:v>
      </x:c>
      <x:c r="C101" s="8" t="str">
        <x:v>location voiture naxos avis</x:v>
      </x:c>
      <x:c r="D101" s="8" t="str">
        <x:v>FR</x:v>
      </x:c>
      <x:c r="E101" s="8" t="str">
        <x:v>French</x:v>
      </x:c>
      <x:c r="F101" s="8" t="str">
        <x:v>Google / Ahrefs</x:v>
      </x:c>
      <x:c r="G101" s="8" t="str">
        <x:v>Commercial / transactional</x:v>
      </x:c>
      <x:c r="H101" s="8" t="str">
        <x:v>Booking evaluation</x:v>
      </x:c>
      <x:c r="I101" s="12" t="n">
        <x:v>0</x:v>
      </x:c>
      <x:c r="J101" s="12"/>
      <x:c r="K101" s="12"/>
      <x:c r="L101" s="14"/>
      <x:c r="M101" s="8"/>
      <x:c r="N101" s="8"/>
      <x:c r="O101" s="8"/>
      <x:c r="P101" s="8" t="str">
        <x:v>C-fr-reviews</x:v>
      </x:c>
      <x:c r="Q101" s="10" t="str">
        <x:v>https://naxos-carrentals.com/fr/reviews</x:v>
      </x:c>
      <x:c r="R101" s="10" t="str">
        <x:v>EXISTING</x:v>
      </x:c>
      <x:c r="S101" s="8" t="str">
        <x:v>OPTIMIZE</x:v>
      </x:c>
      <x:c r="T101" s="8" t="str">
        <x:v>OBSERVED</x:v>
      </x:c>
      <x:c r="U101" s="8" t="str">
        <x:v>VENDOR ESTIMATE</x:v>
      </x:c>
      <x:c r="V101" s="8" t="str">
        <x:v>Medium: vendor estimate</x:v>
      </x:c>
      <x:c r="W101" s="8" t="str">
        <x:v>discover-fr</x:v>
      </x:c>
      <x:c r="X101" s="8"/>
      <x:c r="Y101" s="8" t="n">
        <x:v>46289.74017496528</x:v>
      </x:c>
      <x:c r="Z101" s="8" t="str">
        <x:v>No summed market demand. Meaningful query variants can overlap.</x:v>
      </x:c>
      <x:c r="AA101" s="12"/>
      <x:c r="AB101" s="10"/>
    </x:row>
    <x:row r="102" ht="48" customHeight="1">
      <x:c r="A102" s="9" t="str">
        <x:v>K098</x:v>
      </x:c>
      <x:c r="B102" s="9" t="str">
        <x:v>louer une voiture a naxos</x:v>
      </x:c>
      <x:c r="C102" s="9" t="str">
        <x:v>louer une voiture a naxos</x:v>
      </x:c>
      <x:c r="D102" s="9" t="str">
        <x:v>FR</x:v>
      </x:c>
      <x:c r="E102" s="9" t="str">
        <x:v>French</x:v>
      </x:c>
      <x:c r="F102" s="9" t="str">
        <x:v>Google / Ahrefs</x:v>
      </x:c>
      <x:c r="G102" s="9" t="str">
        <x:v>Commercial / transactional</x:v>
      </x:c>
      <x:c r="H102" s="9" t="str">
        <x:v>Booking evaluation</x:v>
      </x:c>
      <x:c r="I102" s="13" t="n">
        <x:v>0</x:v>
      </x:c>
      <x:c r="J102" s="13"/>
      <x:c r="K102" s="13"/>
      <x:c r="L102" s="15"/>
      <x:c r="M102" s="9"/>
      <x:c r="N102" s="9"/>
      <x:c r="O102" s="9"/>
      <x:c r="P102" s="9" t="str">
        <x:v>C-fr-core</x:v>
      </x:c>
      <x:c r="Q102" s="11" t="str">
        <x:v>https://naxos-carrentals.com/fr</x:v>
      </x:c>
      <x:c r="R102" s="11" t="str">
        <x:v>EXISTING</x:v>
      </x:c>
      <x:c r="S102" s="9" t="str">
        <x:v>OPTIMIZE</x:v>
      </x:c>
      <x:c r="T102" s="9" t="str">
        <x:v>OBSERVED</x:v>
      </x:c>
      <x:c r="U102" s="9" t="str">
        <x:v>VENDOR ESTIMATE</x:v>
      </x:c>
      <x:c r="V102" s="9" t="str">
        <x:v>Medium: vendor estimate</x:v>
      </x:c>
      <x:c r="W102" s="9" t="str">
        <x:v>discover-fr</x:v>
      </x:c>
      <x:c r="X102" s="9"/>
      <x:c r="Y102" s="9" t="n">
        <x:v>46289.74017496528</x:v>
      </x:c>
      <x:c r="Z102" s="9" t="str">
        <x:v>No summed market demand. Meaningful query variants can overlap.</x:v>
      </x:c>
      <x:c r="AA102" s="13"/>
      <x:c r="AB102" s="11"/>
    </x:row>
    <x:row r="103" ht="48" customHeight="1">
      <x:c r="A103" s="8" t="str">
        <x:v>K099</x:v>
      </x:c>
      <x:c r="B103" s="8" t="str">
        <x:v>louer voiture ile de naxos</x:v>
      </x:c>
      <x:c r="C103" s="8" t="str">
        <x:v>louer voiture ile de naxos</x:v>
      </x:c>
      <x:c r="D103" s="8" t="str">
        <x:v>FR</x:v>
      </x:c>
      <x:c r="E103" s="8" t="str">
        <x:v>French</x:v>
      </x:c>
      <x:c r="F103" s="8" t="str">
        <x:v>Google / Ahrefs</x:v>
      </x:c>
      <x:c r="G103" s="8" t="str">
        <x:v>Commercial / transactional</x:v>
      </x:c>
      <x:c r="H103" s="8" t="str">
        <x:v>Booking evaluation</x:v>
      </x:c>
      <x:c r="I103" s="12" t="n">
        <x:v>0</x:v>
      </x:c>
      <x:c r="J103" s="12"/>
      <x:c r="K103" s="12"/>
      <x:c r="L103" s="14"/>
      <x:c r="M103" s="8"/>
      <x:c r="N103" s="8"/>
      <x:c r="O103" s="8"/>
      <x:c r="P103" s="8" t="str">
        <x:v>C-fr-core</x:v>
      </x:c>
      <x:c r="Q103" s="10" t="str">
        <x:v>https://naxos-carrentals.com/fr</x:v>
      </x:c>
      <x:c r="R103" s="10" t="str">
        <x:v>EXISTING</x:v>
      </x:c>
      <x:c r="S103" s="8" t="str">
        <x:v>OPTIMIZE</x:v>
      </x:c>
      <x:c r="T103" s="8" t="str">
        <x:v>OBSERVED</x:v>
      </x:c>
      <x:c r="U103" s="8" t="str">
        <x:v>VENDOR ESTIMATE</x:v>
      </x:c>
      <x:c r="V103" s="8" t="str">
        <x:v>Medium: vendor estimate</x:v>
      </x:c>
      <x:c r="W103" s="8" t="str">
        <x:v>discover-fr</x:v>
      </x:c>
      <x:c r="X103" s="8"/>
      <x:c r="Y103" s="8" t="n">
        <x:v>46289.74017496528</x:v>
      </x:c>
      <x:c r="Z103" s="8" t="str">
        <x:v>No summed market demand. Meaningful query variants can overlap.</x:v>
      </x:c>
      <x:c r="AA103" s="12"/>
      <x:c r="AB103" s="10"/>
    </x:row>
    <x:row r="104" ht="48" customHeight="1">
      <x:c r="A104" s="9" t="str">
        <x:v>K100</x:v>
      </x:c>
      <x:c r="B104" s="9" t="str">
        <x:v>louer une voiture à naxos</x:v>
      </x:c>
      <x:c r="C104" s="9" t="str">
        <x:v>louer une voiture à naxos</x:v>
      </x:c>
      <x:c r="D104" s="9" t="str">
        <x:v>FR</x:v>
      </x:c>
      <x:c r="E104" s="9" t="str">
        <x:v>French</x:v>
      </x:c>
      <x:c r="F104" s="9" t="str">
        <x:v>Google / Ahrefs</x:v>
      </x:c>
      <x:c r="G104" s="9" t="str">
        <x:v>Commercial / transactional</x:v>
      </x:c>
      <x:c r="H104" s="9" t="str">
        <x:v>Booking evaluation</x:v>
      </x:c>
      <x:c r="I104" s="13" t="n">
        <x:v>0</x:v>
      </x:c>
      <x:c r="J104" s="13"/>
      <x:c r="K104" s="13"/>
      <x:c r="L104" s="15"/>
      <x:c r="M104" s="9"/>
      <x:c r="N104" s="9"/>
      <x:c r="O104" s="9"/>
      <x:c r="P104" s="9" t="str">
        <x:v>C-fr-core</x:v>
      </x:c>
      <x:c r="Q104" s="11" t="str">
        <x:v>https://naxos-carrentals.com/fr</x:v>
      </x:c>
      <x:c r="R104" s="11" t="str">
        <x:v>EXISTING</x:v>
      </x:c>
      <x:c r="S104" s="9" t="str">
        <x:v>OPTIMIZE</x:v>
      </x:c>
      <x:c r="T104" s="9" t="str">
        <x:v>OBSERVED</x:v>
      </x:c>
      <x:c r="U104" s="9" t="str">
        <x:v>VENDOR ESTIMATE</x:v>
      </x:c>
      <x:c r="V104" s="9" t="str">
        <x:v>Medium: vendor estimate</x:v>
      </x:c>
      <x:c r="W104" s="9" t="str">
        <x:v>discover-fr</x:v>
      </x:c>
      <x:c r="X104" s="9"/>
      <x:c r="Y104" s="9" t="n">
        <x:v>46289.74017496528</x:v>
      </x:c>
      <x:c r="Z104" s="9" t="str">
        <x:v>No summed market demand. Meaningful query variants can overlap.</x:v>
      </x:c>
      <x:c r="AA104" s="13"/>
      <x:c r="AB104" s="11"/>
    </x:row>
    <x:row r="105" ht="48" customHeight="1">
      <x:c r="A105" s="8" t="str">
        <x:v>K101</x:v>
      </x:c>
      <x:c r="B105" s="8" t="str">
        <x:v>location voiture pas cher naxos</x:v>
      </x:c>
      <x:c r="C105" s="8" t="str">
        <x:v>location voiture pas cher naxos</x:v>
      </x:c>
      <x:c r="D105" s="8" t="str">
        <x:v>FR</x:v>
      </x:c>
      <x:c r="E105" s="8" t="str">
        <x:v>French</x:v>
      </x:c>
      <x:c r="F105" s="8" t="str">
        <x:v>Google / Ahrefs</x:v>
      </x:c>
      <x:c r="G105" s="8" t="str">
        <x:v>Commercial / transactional</x:v>
      </x:c>
      <x:c r="H105" s="8" t="str">
        <x:v>Booking evaluation</x:v>
      </x:c>
      <x:c r="I105" s="12" t="n">
        <x:v>0</x:v>
      </x:c>
      <x:c r="J105" s="12"/>
      <x:c r="K105" s="12"/>
      <x:c r="L105" s="14"/>
      <x:c r="M105" s="8"/>
      <x:c r="N105" s="8"/>
      <x:c r="O105" s="8"/>
      <x:c r="P105" s="8" t="str">
        <x:v>C-fr-pricing</x:v>
      </x:c>
      <x:c r="Q105" s="10" t="str">
        <x:v>https://naxos-carrentals.com/fr/pricing</x:v>
      </x:c>
      <x:c r="R105" s="10" t="str">
        <x:v>EXISTING</x:v>
      </x:c>
      <x:c r="S105" s="8" t="str">
        <x:v>OPTIMIZE</x:v>
      </x:c>
      <x:c r="T105" s="8" t="str">
        <x:v>OBSERVED</x:v>
      </x:c>
      <x:c r="U105" s="8" t="str">
        <x:v>VENDOR ESTIMATE</x:v>
      </x:c>
      <x:c r="V105" s="8" t="str">
        <x:v>Medium: vendor estimate</x:v>
      </x:c>
      <x:c r="W105" s="8" t="str">
        <x:v>discover-fr</x:v>
      </x:c>
      <x:c r="X105" s="8"/>
      <x:c r="Y105" s="8" t="n">
        <x:v>46289.74017496528</x:v>
      </x:c>
      <x:c r="Z105" s="8" t="str">
        <x:v>No summed market demand. Meaningful query variants can overlap.</x:v>
      </x:c>
      <x:c r="AA105" s="12"/>
      <x:c r="AB105" s="10"/>
    </x:row>
    <x:row r="106" ht="48" customHeight="1">
      <x:c r="A106" s="9" t="str">
        <x:v>K102</x:v>
      </x:c>
      <x:c r="B106" s="9" t="str">
        <x:v>naxos noleggio auto</x:v>
      </x:c>
      <x:c r="C106" s="9" t="str">
        <x:v>naxos noleggio auto</x:v>
      </x:c>
      <x:c r="D106" s="9" t="str">
        <x:v>IT</x:v>
      </x:c>
      <x:c r="E106" s="9" t="str">
        <x:v>Italian</x:v>
      </x:c>
      <x:c r="F106" s="9" t="str">
        <x:v>Google / Ahrefs</x:v>
      </x:c>
      <x:c r="G106" s="9" t="str">
        <x:v>Commercial / transactional</x:v>
      </x:c>
      <x:c r="H106" s="9" t="str">
        <x:v>Booking evaluation</x:v>
      </x:c>
      <x:c r="I106" s="13" t="n">
        <x:v>80</x:v>
      </x:c>
      <x:c r="J106" s="13"/>
      <x:c r="K106" s="13"/>
      <x:c r="L106" s="15"/>
      <x:c r="M106" s="9"/>
      <x:c r="N106" s="9" t="str">
        <x:v>noleggio auto naxos</x:v>
      </x:c>
      <x:c r="O106" s="9"/>
      <x:c r="P106" s="9" t="str">
        <x:v>C-it-core</x:v>
      </x:c>
      <x:c r="Q106" s="11" t="str">
        <x:v>https://naxos-carrentals.com/it</x:v>
      </x:c>
      <x:c r="R106" s="11" t="str">
        <x:v>EXISTING</x:v>
      </x:c>
      <x:c r="S106" s="9" t="str">
        <x:v>OPTIMIZE</x:v>
      </x:c>
      <x:c r="T106" s="9" t="str">
        <x:v>OBSERVED</x:v>
      </x:c>
      <x:c r="U106" s="9" t="str">
        <x:v>VENDOR ESTIMATE</x:v>
      </x:c>
      <x:c r="V106" s="9" t="str">
        <x:v>Medium: vendor estimate</x:v>
      </x:c>
      <x:c r="W106" s="9" t="str">
        <x:v>discover-it</x:v>
      </x:c>
      <x:c r="X106" s="9" t="n">
        <x:v>46252.039722222224</x:v>
      </x:c>
      <x:c r="Y106" s="9" t="n">
        <x:v>46289.74017527778</x:v>
      </x:c>
      <x:c r="Z106" s="9" t="str">
        <x:v>No summed market demand. Meaningful query variants can overlap.</x:v>
      </x:c>
      <x:c r="AA106" s="13"/>
      <x:c r="AB106" s="11"/>
    </x:row>
    <x:row r="107" ht="48" customHeight="1">
      <x:c r="A107" s="8" t="str">
        <x:v>K103</x:v>
      </x:c>
      <x:c r="B107" s="8" t="str">
        <x:v>noleggio auto porto di naxos</x:v>
      </x:c>
      <x:c r="C107" s="8" t="str">
        <x:v>noleggio auto porto di naxos</x:v>
      </x:c>
      <x:c r="D107" s="8" t="str">
        <x:v>IT</x:v>
      </x:c>
      <x:c r="E107" s="8" t="str">
        <x:v>Italian</x:v>
      </x:c>
      <x:c r="F107" s="8" t="str">
        <x:v>Google / Ahrefs</x:v>
      </x:c>
      <x:c r="G107" s="8" t="str">
        <x:v>Commercial / transactional</x:v>
      </x:c>
      <x:c r="H107" s="8" t="str">
        <x:v>Booking evaluation</x:v>
      </x:c>
      <x:c r="I107" s="12" t="n">
        <x:v>70</x:v>
      </x:c>
      <x:c r="J107" s="12"/>
      <x:c r="K107" s="12"/>
      <x:c r="L107" s="14"/>
      <x:c r="M107" s="8"/>
      <x:c r="N107" s="8"/>
      <x:c r="O107" s="8"/>
      <x:c r="P107" s="8" t="str">
        <x:v>C-it-port</x:v>
      </x:c>
      <x:c r="Q107" s="10" t="str">
        <x:v>https://naxos-carrentals.com/it/locations/port-pickup</x:v>
      </x:c>
      <x:c r="R107" s="10" t="str">
        <x:v>EXISTING</x:v>
      </x:c>
      <x:c r="S107" s="8" t="str">
        <x:v>OPTIMIZE</x:v>
      </x:c>
      <x:c r="T107" s="8" t="str">
        <x:v>OBSERVED</x:v>
      </x:c>
      <x:c r="U107" s="8" t="str">
        <x:v>VENDOR ESTIMATE</x:v>
      </x:c>
      <x:c r="V107" s="8" t="str">
        <x:v>Medium: vendor estimate</x:v>
      </x:c>
      <x:c r="W107" s="8" t="str">
        <x:v>discover-it</x:v>
      </x:c>
      <x:c r="X107" s="8"/>
      <x:c r="Y107" s="8" t="n">
        <x:v>46289.74017527778</x:v>
      </x:c>
      <x:c r="Z107" s="8" t="str">
        <x:v>No summed market demand. Meaningful query variants can overlap.</x:v>
      </x:c>
      <x:c r="AA107" s="12"/>
      <x:c r="AB107" s="10"/>
    </x:row>
    <x:row r="108" ht="48" customHeight="1">
      <x:c r="A108" s="9" t="str">
        <x:v>K104</x:v>
      </x:c>
      <x:c r="B108" s="9" t="str">
        <x:v>noleggio auto a naxos</x:v>
      </x:c>
      <x:c r="C108" s="9" t="str">
        <x:v>noleggio auto a naxos</x:v>
      </x:c>
      <x:c r="D108" s="9" t="str">
        <x:v>IT</x:v>
      </x:c>
      <x:c r="E108" s="9" t="str">
        <x:v>Italian</x:v>
      </x:c>
      <x:c r="F108" s="9" t="str">
        <x:v>Google / Ahrefs</x:v>
      </x:c>
      <x:c r="G108" s="9" t="str">
        <x:v>Commercial / transactional</x:v>
      </x:c>
      <x:c r="H108" s="9" t="str">
        <x:v>Booking evaluation</x:v>
      </x:c>
      <x:c r="I108" s="13" t="n">
        <x:v>60</x:v>
      </x:c>
      <x:c r="J108" s="13"/>
      <x:c r="K108" s="13"/>
      <x:c r="L108" s="15"/>
      <x:c r="M108" s="9"/>
      <x:c r="N108" s="9" t="str">
        <x:v>noleggio auto naxos</x:v>
      </x:c>
      <x:c r="O108" s="9"/>
      <x:c r="P108" s="9" t="str">
        <x:v>C-it-core</x:v>
      </x:c>
      <x:c r="Q108" s="11" t="str">
        <x:v>https://naxos-carrentals.com/it</x:v>
      </x:c>
      <x:c r="R108" s="11" t="str">
        <x:v>EXISTING</x:v>
      </x:c>
      <x:c r="S108" s="9" t="str">
        <x:v>OPTIMIZE</x:v>
      </x:c>
      <x:c r="T108" s="9" t="str">
        <x:v>OBSERVED</x:v>
      </x:c>
      <x:c r="U108" s="9" t="str">
        <x:v>VENDOR ESTIMATE</x:v>
      </x:c>
      <x:c r="V108" s="9" t="str">
        <x:v>Medium: vendor estimate</x:v>
      </x:c>
      <x:c r="W108" s="9" t="str">
        <x:v>discover-it</x:v>
      </x:c>
      <x:c r="X108" s="9" t="n">
        <x:v>46257.33002314815</x:v>
      </x:c>
      <x:c r="Y108" s="9" t="n">
        <x:v>46289.74017527778</x:v>
      </x:c>
      <x:c r="Z108" s="9" t="str">
        <x:v>No summed market demand. Meaningful query variants can overlap.</x:v>
      </x:c>
      <x:c r="AA108" s="13"/>
      <x:c r="AB108" s="11"/>
    </x:row>
    <x:row r="109" ht="48" customHeight="1">
      <x:c r="A109" s="8" t="str">
        <x:v>K105</x:v>
      </x:c>
      <x:c r="B109" s="8" t="str">
        <x:v>noleggio auto naxos consigli</x:v>
      </x:c>
      <x:c r="C109" s="8" t="str">
        <x:v>noleggio auto naxos consigli</x:v>
      </x:c>
      <x:c r="D109" s="8" t="str">
        <x:v>IT</x:v>
      </x:c>
      <x:c r="E109" s="8" t="str">
        <x:v>Italian</x:v>
      </x:c>
      <x:c r="F109" s="8" t="str">
        <x:v>Google / Ahrefs</x:v>
      </x:c>
      <x:c r="G109" s="8" t="str">
        <x:v>Commercial / transactional</x:v>
      </x:c>
      <x:c r="H109" s="8" t="str">
        <x:v>Booking evaluation</x:v>
      </x:c>
      <x:c r="I109" s="12" t="n">
        <x:v>40</x:v>
      </x:c>
      <x:c r="J109" s="12"/>
      <x:c r="K109" s="12"/>
      <x:c r="L109" s="14"/>
      <x:c r="M109" s="8"/>
      <x:c r="N109" s="8"/>
      <x:c r="O109" s="8"/>
      <x:c r="P109" s="8" t="str">
        <x:v>C-it-reviews</x:v>
      </x:c>
      <x:c r="Q109" s="10" t="str">
        <x:v>https://naxos-carrentals.com/it/reviews</x:v>
      </x:c>
      <x:c r="R109" s="10" t="str">
        <x:v>EXISTING</x:v>
      </x:c>
      <x:c r="S109" s="8" t="str">
        <x:v>OPTIMIZE</x:v>
      </x:c>
      <x:c r="T109" s="8" t="str">
        <x:v>OBSERVED</x:v>
      </x:c>
      <x:c r="U109" s="8" t="str">
        <x:v>VENDOR ESTIMATE</x:v>
      </x:c>
      <x:c r="V109" s="8" t="str">
        <x:v>Medium: vendor estimate</x:v>
      </x:c>
      <x:c r="W109" s="8" t="str">
        <x:v>discover-it</x:v>
      </x:c>
      <x:c r="X109" s="8"/>
      <x:c r="Y109" s="8" t="n">
        <x:v>46289.74017527778</x:v>
      </x:c>
      <x:c r="Z109" s="8" t="str">
        <x:v>No summed market demand. Meaningful query variants can overlap.</x:v>
      </x:c>
      <x:c r="AA109" s="12"/>
      <x:c r="AB109" s="10"/>
    </x:row>
    <x:row r="110" ht="48" customHeight="1">
      <x:c r="A110" s="9" t="str">
        <x:v>K106</x:v>
      </x:c>
      <x:c r="B110" s="9" t="str">
        <x:v>affitto auto naxos</x:v>
      </x:c>
      <x:c r="C110" s="9" t="str">
        <x:v>affitto auto naxos</x:v>
      </x:c>
      <x:c r="D110" s="9" t="str">
        <x:v>IT</x:v>
      </x:c>
      <x:c r="E110" s="9" t="str">
        <x:v>Italian</x:v>
      </x:c>
      <x:c r="F110" s="9" t="str">
        <x:v>Google / Ahrefs</x:v>
      </x:c>
      <x:c r="G110" s="9" t="str">
        <x:v>Commercial / transactional</x:v>
      </x:c>
      <x:c r="H110" s="9" t="str">
        <x:v>Booking evaluation</x:v>
      </x:c>
      <x:c r="I110" s="13" t="n">
        <x:v>40</x:v>
      </x:c>
      <x:c r="J110" s="13"/>
      <x:c r="K110" s="13"/>
      <x:c r="L110" s="15"/>
      <x:c r="M110" s="9"/>
      <x:c r="N110" s="9"/>
      <x:c r="O110" s="9"/>
      <x:c r="P110" s="9" t="str">
        <x:v>C-it-core</x:v>
      </x:c>
      <x:c r="Q110" s="11" t="str">
        <x:v>https://naxos-carrentals.com/it</x:v>
      </x:c>
      <x:c r="R110" s="11" t="str">
        <x:v>EXISTING</x:v>
      </x:c>
      <x:c r="S110" s="9" t="str">
        <x:v>OPTIMIZE</x:v>
      </x:c>
      <x:c r="T110" s="9" t="str">
        <x:v>OBSERVED</x:v>
      </x:c>
      <x:c r="U110" s="9" t="str">
        <x:v>VENDOR ESTIMATE</x:v>
      </x:c>
      <x:c r="V110" s="9" t="str">
        <x:v>Medium: vendor estimate</x:v>
      </x:c>
      <x:c r="W110" s="9" t="str">
        <x:v>discover-it</x:v>
      </x:c>
      <x:c r="X110" s="9"/>
      <x:c r="Y110" s="9" t="n">
        <x:v>46289.74017527778</x:v>
      </x:c>
      <x:c r="Z110" s="9" t="str">
        <x:v>No summed market demand. Meaningful query variants can overlap.</x:v>
      </x:c>
      <x:c r="AA110" s="13"/>
      <x:c r="AB110" s="11"/>
    </x:row>
    <x:row r="111" ht="48" customHeight="1">
      <x:c r="A111" s="8" t="str">
        <x:v>K107</x:v>
      </x:c>
      <x:c r="B111" s="8" t="str">
        <x:v>noleggio auto porto naxos</x:v>
      </x:c>
      <x:c r="C111" s="8" t="str">
        <x:v>noleggio auto porto naxos</x:v>
      </x:c>
      <x:c r="D111" s="8" t="str">
        <x:v>IT</x:v>
      </x:c>
      <x:c r="E111" s="8" t="str">
        <x:v>Italian</x:v>
      </x:c>
      <x:c r="F111" s="8" t="str">
        <x:v>Google / Ahrefs</x:v>
      </x:c>
      <x:c r="G111" s="8" t="str">
        <x:v>Commercial / transactional</x:v>
      </x:c>
      <x:c r="H111" s="8" t="str">
        <x:v>Booking evaluation</x:v>
      </x:c>
      <x:c r="I111" s="12" t="n">
        <x:v>20</x:v>
      </x:c>
      <x:c r="J111" s="12"/>
      <x:c r="K111" s="12"/>
      <x:c r="L111" s="14"/>
      <x:c r="M111" s="8"/>
      <x:c r="N111" s="8"/>
      <x:c r="O111" s="8"/>
      <x:c r="P111" s="8" t="str">
        <x:v>C-it-port</x:v>
      </x:c>
      <x:c r="Q111" s="10" t="str">
        <x:v>https://naxos-carrentals.com/it/locations/port-pickup</x:v>
      </x:c>
      <x:c r="R111" s="10" t="str">
        <x:v>EXISTING</x:v>
      </x:c>
      <x:c r="S111" s="8" t="str">
        <x:v>OPTIMIZE</x:v>
      </x:c>
      <x:c r="T111" s="8" t="str">
        <x:v>OBSERVED</x:v>
      </x:c>
      <x:c r="U111" s="8" t="str">
        <x:v>VENDOR ESTIMATE</x:v>
      </x:c>
      <x:c r="V111" s="8" t="str">
        <x:v>Medium: vendor estimate</x:v>
      </x:c>
      <x:c r="W111" s="8" t="str">
        <x:v>discover-it</x:v>
      </x:c>
      <x:c r="X111" s="8"/>
      <x:c r="Y111" s="8" t="n">
        <x:v>46289.74017527778</x:v>
      </x:c>
      <x:c r="Z111" s="8" t="str">
        <x:v>No summed market demand. Meaningful query variants can overlap.</x:v>
      </x:c>
      <x:c r="AA111" s="12"/>
      <x:c r="AB111" s="10"/>
    </x:row>
    <x:row r="112" ht="48" customHeight="1">
      <x:c r="A112" s="9" t="str">
        <x:v>K108</x:v>
      </x:c>
      <x:c r="B112" s="9" t="str">
        <x:v>noleggio auto a naxos grecia</x:v>
      </x:c>
      <x:c r="C112" s="9" t="str">
        <x:v>noleggio auto a naxos grecia</x:v>
      </x:c>
      <x:c r="D112" s="9" t="str">
        <x:v>IT</x:v>
      </x:c>
      <x:c r="E112" s="9" t="str">
        <x:v>Italian</x:v>
      </x:c>
      <x:c r="F112" s="9" t="str">
        <x:v>Google / Ahrefs</x:v>
      </x:c>
      <x:c r="G112" s="9" t="str">
        <x:v>Commercial / transactional</x:v>
      </x:c>
      <x:c r="H112" s="9" t="str">
        <x:v>Booking evaluation</x:v>
      </x:c>
      <x:c r="I112" s="13" t="n">
        <x:v>20</x:v>
      </x:c>
      <x:c r="J112" s="13"/>
      <x:c r="K112" s="13"/>
      <x:c r="L112" s="15"/>
      <x:c r="M112" s="9"/>
      <x:c r="N112" s="9"/>
      <x:c r="O112" s="9"/>
      <x:c r="P112" s="9" t="str">
        <x:v>C-it-core</x:v>
      </x:c>
      <x:c r="Q112" s="11" t="str">
        <x:v>https://naxos-carrentals.com/it</x:v>
      </x:c>
      <x:c r="R112" s="11" t="str">
        <x:v>EXISTING</x:v>
      </x:c>
      <x:c r="S112" s="9" t="str">
        <x:v>OPTIMIZE</x:v>
      </x:c>
      <x:c r="T112" s="9" t="str">
        <x:v>OBSERVED</x:v>
      </x:c>
      <x:c r="U112" s="9" t="str">
        <x:v>VENDOR ESTIMATE</x:v>
      </x:c>
      <x:c r="V112" s="9" t="str">
        <x:v>Medium: vendor estimate</x:v>
      </x:c>
      <x:c r="W112" s="9" t="str">
        <x:v>discover-it</x:v>
      </x:c>
      <x:c r="X112" s="9"/>
      <x:c r="Y112" s="9" t="n">
        <x:v>46289.74017527778</x:v>
      </x:c>
      <x:c r="Z112" s="9" t="str">
        <x:v>No summed market demand. Meaningful query variants can overlap.</x:v>
      </x:c>
      <x:c r="AA112" s="13"/>
      <x:c r="AB112" s="11"/>
    </x:row>
    <x:row r="113" ht="48" customHeight="1">
      <x:c r="A113" s="8" t="str">
        <x:v>K109</x:v>
      </x:c>
      <x:c r="B113" s="8" t="str">
        <x:v>auto noleggio naxos</x:v>
      </x:c>
      <x:c r="C113" s="8" t="str">
        <x:v>auto noleggio naxos</x:v>
      </x:c>
      <x:c r="D113" s="8" t="str">
        <x:v>IT</x:v>
      </x:c>
      <x:c r="E113" s="8" t="str">
        <x:v>Italian</x:v>
      </x:c>
      <x:c r="F113" s="8" t="str">
        <x:v>Google / Ahrefs</x:v>
      </x:c>
      <x:c r="G113" s="8" t="str">
        <x:v>Commercial / transactional</x:v>
      </x:c>
      <x:c r="H113" s="8" t="str">
        <x:v>Booking evaluation</x:v>
      </x:c>
      <x:c r="I113" s="12" t="n">
        <x:v>20</x:v>
      </x:c>
      <x:c r="J113" s="12"/>
      <x:c r="K113" s="12"/>
      <x:c r="L113" s="14"/>
      <x:c r="M113" s="8"/>
      <x:c r="N113" s="8"/>
      <x:c r="O113" s="8"/>
      <x:c r="P113" s="8" t="str">
        <x:v>C-it-core</x:v>
      </x:c>
      <x:c r="Q113" s="10" t="str">
        <x:v>https://naxos-carrentals.com/it</x:v>
      </x:c>
      <x:c r="R113" s="10" t="str">
        <x:v>EXISTING</x:v>
      </x:c>
      <x:c r="S113" s="8" t="str">
        <x:v>OPTIMIZE</x:v>
      </x:c>
      <x:c r="T113" s="8" t="str">
        <x:v>OBSERVED</x:v>
      </x:c>
      <x:c r="U113" s="8" t="str">
        <x:v>VENDOR ESTIMATE</x:v>
      </x:c>
      <x:c r="V113" s="8" t="str">
        <x:v>Medium: vendor estimate</x:v>
      </x:c>
      <x:c r="W113" s="8" t="str">
        <x:v>discover-it</x:v>
      </x:c>
      <x:c r="X113" s="8"/>
      <x:c r="Y113" s="8" t="n">
        <x:v>46289.74017527778</x:v>
      </x:c>
      <x:c r="Z113" s="8" t="str">
        <x:v>No summed market demand. Meaningful query variants can overlap.</x:v>
      </x:c>
      <x:c r="AA113" s="12"/>
      <x:c r="AB113" s="10"/>
    </x:row>
    <x:row r="114" ht="48" customHeight="1">
      <x:c r="A114" s="9" t="str">
        <x:v>K110</x:v>
      </x:c>
      <x:c r="B114" s="9" t="str">
        <x:v>noleggio auto naxos grecia</x:v>
      </x:c>
      <x:c r="C114" s="9" t="str">
        <x:v>noleggio auto naxos grecia</x:v>
      </x:c>
      <x:c r="D114" s="9" t="str">
        <x:v>IT</x:v>
      </x:c>
      <x:c r="E114" s="9" t="str">
        <x:v>Italian</x:v>
      </x:c>
      <x:c r="F114" s="9" t="str">
        <x:v>Google / Ahrefs</x:v>
      </x:c>
      <x:c r="G114" s="9" t="str">
        <x:v>Commercial / transactional</x:v>
      </x:c>
      <x:c r="H114" s="9" t="str">
        <x:v>Booking evaluation</x:v>
      </x:c>
      <x:c r="I114" s="13" t="n">
        <x:v>20</x:v>
      </x:c>
      <x:c r="J114" s="13"/>
      <x:c r="K114" s="13"/>
      <x:c r="L114" s="15"/>
      <x:c r="M114" s="9"/>
      <x:c r="N114" s="9" t="str">
        <x:v>noleggio auto naxos</x:v>
      </x:c>
      <x:c r="O114" s="9"/>
      <x:c r="P114" s="9" t="str">
        <x:v>C-it-core</x:v>
      </x:c>
      <x:c r="Q114" s="11" t="str">
        <x:v>https://naxos-carrentals.com/it</x:v>
      </x:c>
      <x:c r="R114" s="11" t="str">
        <x:v>EXISTING</x:v>
      </x:c>
      <x:c r="S114" s="9" t="str">
        <x:v>OPTIMIZE</x:v>
      </x:c>
      <x:c r="T114" s="9" t="str">
        <x:v>OBSERVED</x:v>
      </x:c>
      <x:c r="U114" s="9" t="str">
        <x:v>VENDOR ESTIMATE</x:v>
      </x:c>
      <x:c r="V114" s="9" t="str">
        <x:v>Medium: vendor estimate</x:v>
      </x:c>
      <x:c r="W114" s="9" t="str">
        <x:v>discover-it</x:v>
      </x:c>
      <x:c r="X114" s="9" t="n">
        <x:v>46247.930300925924</x:v>
      </x:c>
      <x:c r="Y114" s="9" t="n">
        <x:v>46289.74017527778</x:v>
      </x:c>
      <x:c r="Z114" s="9" t="str">
        <x:v>No summed market demand. Meaningful query variants can overlap.</x:v>
      </x:c>
      <x:c r="AA114" s="13"/>
      <x:c r="AB114" s="11"/>
    </x:row>
    <x:row r="115" ht="48" customHeight="1">
      <x:c r="A115" s="8" t="str">
        <x:v>K111</x:v>
      </x:c>
      <x:c r="B115" s="8" t="str">
        <x:v>auto naxos</x:v>
      </x:c>
      <x:c r="C115" s="8" t="str">
        <x:v>auto naxos</x:v>
      </x:c>
      <x:c r="D115" s="8" t="str">
        <x:v>IT</x:v>
      </x:c>
      <x:c r="E115" s="8" t="str">
        <x:v>Italian</x:v>
      </x:c>
      <x:c r="F115" s="8" t="str">
        <x:v>Google / Ahrefs</x:v>
      </x:c>
      <x:c r="G115" s="8" t="str">
        <x:v>Commercial / transactional</x:v>
      </x:c>
      <x:c r="H115" s="8" t="str">
        <x:v>Booking evaluation</x:v>
      </x:c>
      <x:c r="I115" s="12" t="n">
        <x:v>10</x:v>
      </x:c>
      <x:c r="J115" s="12"/>
      <x:c r="K115" s="12"/>
      <x:c r="L115" s="14"/>
      <x:c r="M115" s="8"/>
      <x:c r="N115" s="8"/>
      <x:c r="O115" s="8"/>
      <x:c r="P115" s="8" t="str">
        <x:v>C-it-core</x:v>
      </x:c>
      <x:c r="Q115" s="10" t="str">
        <x:v>https://naxos-carrentals.com/it</x:v>
      </x:c>
      <x:c r="R115" s="10" t="str">
        <x:v>EXISTING</x:v>
      </x:c>
      <x:c r="S115" s="8" t="str">
        <x:v>OPTIMIZE</x:v>
      </x:c>
      <x:c r="T115" s="8" t="str">
        <x:v>OBSERVED</x:v>
      </x:c>
      <x:c r="U115" s="8" t="str">
        <x:v>VENDOR ESTIMATE</x:v>
      </x:c>
      <x:c r="V115" s="8" t="str">
        <x:v>Medium: vendor estimate</x:v>
      </x:c>
      <x:c r="W115" s="8" t="str">
        <x:v>discover-it</x:v>
      </x:c>
      <x:c r="X115" s="8"/>
      <x:c r="Y115" s="8" t="n">
        <x:v>46289.74017527778</x:v>
      </x:c>
      <x:c r="Z115" s="8" t="str">
        <x:v>No summed market demand. Meaningful query variants can overlap.</x:v>
      </x:c>
      <x:c r="AA115" s="12"/>
      <x:c r="AB115" s="10"/>
    </x:row>
    <x:row r="116" ht="48" customHeight="1">
      <x:c r="A116" s="9" t="str">
        <x:v>K112</x:v>
      </x:c>
      <x:c r="B116" s="9" t="str">
        <x:v>miglior noleggio auto naxos</x:v>
      </x:c>
      <x:c r="C116" s="9" t="str">
        <x:v>miglior noleggio auto naxos</x:v>
      </x:c>
      <x:c r="D116" s="9" t="str">
        <x:v>IT</x:v>
      </x:c>
      <x:c r="E116" s="9" t="str">
        <x:v>Italian</x:v>
      </x:c>
      <x:c r="F116" s="9" t="str">
        <x:v>Google / Ahrefs</x:v>
      </x:c>
      <x:c r="G116" s="9" t="str">
        <x:v>Commercial / transactional</x:v>
      </x:c>
      <x:c r="H116" s="9" t="str">
        <x:v>Booking evaluation</x:v>
      </x:c>
      <x:c r="I116" s="13" t="n">
        <x:v>10</x:v>
      </x:c>
      <x:c r="J116" s="13"/>
      <x:c r="K116" s="13"/>
      <x:c r="L116" s="15"/>
      <x:c r="M116" s="9"/>
      <x:c r="N116" s="9"/>
      <x:c r="O116" s="9"/>
      <x:c r="P116" s="9" t="str">
        <x:v>C-it-reviews</x:v>
      </x:c>
      <x:c r="Q116" s="11" t="str">
        <x:v>https://naxos-carrentals.com/it/reviews</x:v>
      </x:c>
      <x:c r="R116" s="11" t="str">
        <x:v>EXISTING</x:v>
      </x:c>
      <x:c r="S116" s="9" t="str">
        <x:v>OPTIMIZE</x:v>
      </x:c>
      <x:c r="T116" s="9" t="str">
        <x:v>OBSERVED</x:v>
      </x:c>
      <x:c r="U116" s="9" t="str">
        <x:v>VENDOR ESTIMATE</x:v>
      </x:c>
      <x:c r="V116" s="9" t="str">
        <x:v>Medium: vendor estimate</x:v>
      </x:c>
      <x:c r="W116" s="9" t="str">
        <x:v>discover-it</x:v>
      </x:c>
      <x:c r="X116" s="9"/>
      <x:c r="Y116" s="9" t="n">
        <x:v>46289.74017527778</x:v>
      </x:c>
      <x:c r="Z116" s="9" t="str">
        <x:v>No summed market demand. Meaningful query variants can overlap.</x:v>
      </x:c>
      <x:c r="AA116" s="13"/>
      <x:c r="AB116" s="11"/>
    </x:row>
    <x:row r="117" ht="48" customHeight="1">
      <x:c r="A117" s="8" t="str">
        <x:v>K113</x:v>
      </x:c>
      <x:c r="B117" s="8" t="str">
        <x:v>noleggio auto naxos economico</x:v>
      </x:c>
      <x:c r="C117" s="8" t="str">
        <x:v>noleggio auto naxos economico</x:v>
      </x:c>
      <x:c r="D117" s="8" t="str">
        <x:v>IT</x:v>
      </x:c>
      <x:c r="E117" s="8" t="str">
        <x:v>Italian</x:v>
      </x:c>
      <x:c r="F117" s="8" t="str">
        <x:v>Google / Ahrefs</x:v>
      </x:c>
      <x:c r="G117" s="8" t="str">
        <x:v>Commercial / transactional</x:v>
      </x:c>
      <x:c r="H117" s="8" t="str">
        <x:v>Booking evaluation</x:v>
      </x:c>
      <x:c r="I117" s="12" t="n">
        <x:v>10</x:v>
      </x:c>
      <x:c r="J117" s="12"/>
      <x:c r="K117" s="12"/>
      <x:c r="L117" s="14"/>
      <x:c r="M117" s="8"/>
      <x:c r="N117" s="8"/>
      <x:c r="O117" s="8"/>
      <x:c r="P117" s="8" t="str">
        <x:v>C-it-pricing</x:v>
      </x:c>
      <x:c r="Q117" s="10" t="str">
        <x:v>https://naxos-carrentals.com/it/pricing</x:v>
      </x:c>
      <x:c r="R117" s="10" t="str">
        <x:v>EXISTING</x:v>
      </x:c>
      <x:c r="S117" s="8" t="str">
        <x:v>OPTIMIZE</x:v>
      </x:c>
      <x:c r="T117" s="8" t="str">
        <x:v>OBSERVED</x:v>
      </x:c>
      <x:c r="U117" s="8" t="str">
        <x:v>VENDOR ESTIMATE</x:v>
      </x:c>
      <x:c r="V117" s="8" t="str">
        <x:v>Medium: vendor estimate</x:v>
      </x:c>
      <x:c r="W117" s="8" t="str">
        <x:v>discover-it</x:v>
      </x:c>
      <x:c r="X117" s="8"/>
      <x:c r="Y117" s="8" t="n">
        <x:v>46289.74017527778</x:v>
      </x:c>
      <x:c r="Z117" s="8" t="str">
        <x:v>No summed market demand. Meaningful query variants can overlap.</x:v>
      </x:c>
      <x:c r="AA117" s="12"/>
      <x:c r="AB117" s="10"/>
    </x:row>
    <x:row r="118" ht="48" customHeight="1">
      <x:c r="A118" s="9" t="str">
        <x:v>K114</x:v>
      </x:c>
      <x:c r="B118" s="9" t="str">
        <x:v>naxos noleggio auto o scooter</x:v>
      </x:c>
      <x:c r="C118" s="9" t="str">
        <x:v>naxos noleggio auto o scooter</x:v>
      </x:c>
      <x:c r="D118" s="9" t="str">
        <x:v>IT</x:v>
      </x:c>
      <x:c r="E118" s="9" t="str">
        <x:v>Italian</x:v>
      </x:c>
      <x:c r="F118" s="9" t="str">
        <x:v>Google / Ahrefs</x:v>
      </x:c>
      <x:c r="G118" s="9" t="str">
        <x:v>Informational decision</x:v>
      </x:c>
      <x:c r="H118" s="9" t="str">
        <x:v>Planning</x:v>
      </x:c>
      <x:c r="I118" s="13" t="n">
        <x:v>0</x:v>
      </x:c>
      <x:c r="J118" s="13"/>
      <x:c r="K118" s="13"/>
      <x:c r="L118" s="15"/>
      <x:c r="M118" s="9"/>
      <x:c r="N118" s="9"/>
      <x:c r="O118" s="9"/>
      <x:c r="P118" s="9" t="str">
        <x:v>C-it-scooter</x:v>
      </x:c>
      <x:c r="Q118" s="11" t="str">
        <x:v>https://naxos-carrentals.com/it/fleet/scooters</x:v>
      </x:c>
      <x:c r="R118" s="11" t="str">
        <x:v>EXISTING</x:v>
      </x:c>
      <x:c r="S118" s="9" t="str">
        <x:v>OPTIMIZE</x:v>
      </x:c>
      <x:c r="T118" s="9" t="str">
        <x:v>OBSERVED</x:v>
      </x:c>
      <x:c r="U118" s="9" t="str">
        <x:v>VENDOR ESTIMATE</x:v>
      </x:c>
      <x:c r="V118" s="9" t="str">
        <x:v>Medium: vendor estimate</x:v>
      </x:c>
      <x:c r="W118" s="9" t="str">
        <x:v>discover-it</x:v>
      </x:c>
      <x:c r="X118" s="9"/>
      <x:c r="Y118" s="9" t="n">
        <x:v>46289.74017527778</x:v>
      </x:c>
      <x:c r="Z118" s="9" t="str">
        <x:v>No summed market demand. Meaningful query variants can overlap.</x:v>
      </x:c>
      <x:c r="AA118" s="13"/>
      <x:c r="AB118" s="11"/>
    </x:row>
    <x:row r="119" ht="48" customHeight="1">
      <x:c r="A119" s="8" t="str">
        <x:v>K115</x:v>
      </x:c>
      <x:c r="B119" s="8" t="str">
        <x:v>naxos auto o scooter</x:v>
      </x:c>
      <x:c r="C119" s="8" t="str">
        <x:v>naxos auto o scooter</x:v>
      </x:c>
      <x:c r="D119" s="8" t="str">
        <x:v>IT</x:v>
      </x:c>
      <x:c r="E119" s="8" t="str">
        <x:v>Italian</x:v>
      </x:c>
      <x:c r="F119" s="8" t="str">
        <x:v>Google / Ahrefs</x:v>
      </x:c>
      <x:c r="G119" s="8" t="str">
        <x:v>Informational decision</x:v>
      </x:c>
      <x:c r="H119" s="8" t="str">
        <x:v>Planning</x:v>
      </x:c>
      <x:c r="I119" s="12" t="n">
        <x:v>0</x:v>
      </x:c>
      <x:c r="J119" s="12"/>
      <x:c r="K119" s="12"/>
      <x:c r="L119" s="14"/>
      <x:c r="M119" s="8"/>
      <x:c r="N119" s="8"/>
      <x:c r="O119" s="8"/>
      <x:c r="P119" s="8" t="str">
        <x:v>C-it-scooter</x:v>
      </x:c>
      <x:c r="Q119" s="10" t="str">
        <x:v>https://naxos-carrentals.com/it/fleet/scooters</x:v>
      </x:c>
      <x:c r="R119" s="10" t="str">
        <x:v>EXISTING</x:v>
      </x:c>
      <x:c r="S119" s="8" t="str">
        <x:v>OPTIMIZE</x:v>
      </x:c>
      <x:c r="T119" s="8" t="str">
        <x:v>OBSERVED</x:v>
      </x:c>
      <x:c r="U119" s="8" t="str">
        <x:v>VENDOR ESTIMATE</x:v>
      </x:c>
      <x:c r="V119" s="8" t="str">
        <x:v>Medium: vendor estimate</x:v>
      </x:c>
      <x:c r="W119" s="8" t="str">
        <x:v>discover-it</x:v>
      </x:c>
      <x:c r="X119" s="8"/>
      <x:c r="Y119" s="8" t="n">
        <x:v>46289.74017527778</x:v>
      </x:c>
      <x:c r="Z119" s="8" t="str">
        <x:v>No summed market demand. Meaningful query variants can overlap.</x:v>
      </x:c>
      <x:c r="AA119" s="12"/>
      <x:c r="AB119" s="10"/>
    </x:row>
    <x:row r="120" ht="48" customHeight="1">
      <x:c r="A120" s="9" t="str">
        <x:v>K116</x:v>
      </x:c>
      <x:c r="B120" s="9" t="str">
        <x:v>nolegggio auto naxos</x:v>
      </x:c>
      <x:c r="C120" s="9" t="str">
        <x:v>nolegggio auto naxos</x:v>
      </x:c>
      <x:c r="D120" s="9" t="str">
        <x:v>IT</x:v>
      </x:c>
      <x:c r="E120" s="9" t="str">
        <x:v>Italian</x:v>
      </x:c>
      <x:c r="F120" s="9" t="str">
        <x:v>Google / Ahrefs</x:v>
      </x:c>
      <x:c r="G120" s="9" t="str">
        <x:v>Commercial / transactional</x:v>
      </x:c>
      <x:c r="H120" s="9" t="str">
        <x:v>Booking evaluation</x:v>
      </x:c>
      <x:c r="I120" s="13" t="n">
        <x:v>0</x:v>
      </x:c>
      <x:c r="J120" s="13"/>
      <x:c r="K120" s="13"/>
      <x:c r="L120" s="15"/>
      <x:c r="M120" s="9"/>
      <x:c r="N120" s="9"/>
      <x:c r="O120" s="9"/>
      <x:c r="P120" s="9" t="str">
        <x:v>C-it-core</x:v>
      </x:c>
      <x:c r="Q120" s="11" t="str">
        <x:v>https://naxos-carrentals.com/it</x:v>
      </x:c>
      <x:c r="R120" s="11" t="str">
        <x:v>EXISTING</x:v>
      </x:c>
      <x:c r="S120" s="9" t="str">
        <x:v>OPTIMIZE</x:v>
      </x:c>
      <x:c r="T120" s="9" t="str">
        <x:v>OBSERVED</x:v>
      </x:c>
      <x:c r="U120" s="9" t="str">
        <x:v>VENDOR ESTIMATE</x:v>
      </x:c>
      <x:c r="V120" s="9" t="str">
        <x:v>Medium: vendor estimate</x:v>
      </x:c>
      <x:c r="W120" s="9" t="str">
        <x:v>discover-it</x:v>
      </x:c>
      <x:c r="X120" s="9"/>
      <x:c r="Y120" s="9" t="n">
        <x:v>46289.74017527778</x:v>
      </x:c>
      <x:c r="Z120" s="9" t="str">
        <x:v>No summed market demand. Meaningful query variants can overlap.</x:v>
      </x:c>
      <x:c r="AA120" s="13"/>
      <x:c r="AB120" s="11"/>
    </x:row>
    <x:row r="121" ht="48" customHeight="1">
      <x:c r="A121" s="8" t="str">
        <x:v>K117</x:v>
      </x:c>
      <x:c r="B121" s="8" t="str">
        <x:v>noleggio auto naxos low cost</x:v>
      </x:c>
      <x:c r="C121" s="8" t="str">
        <x:v>noleggio auto naxos low cost</x:v>
      </x:c>
      <x:c r="D121" s="8" t="str">
        <x:v>IT</x:v>
      </x:c>
      <x:c r="E121" s="8" t="str">
        <x:v>Italian</x:v>
      </x:c>
      <x:c r="F121" s="8" t="str">
        <x:v>Google / Ahrefs</x:v>
      </x:c>
      <x:c r="G121" s="8" t="str">
        <x:v>Commercial / transactional</x:v>
      </x:c>
      <x:c r="H121" s="8" t="str">
        <x:v>Booking evaluation</x:v>
      </x:c>
      <x:c r="I121" s="12" t="n">
        <x:v>0</x:v>
      </x:c>
      <x:c r="J121" s="12"/>
      <x:c r="K121" s="12"/>
      <x:c r="L121" s="14"/>
      <x:c r="M121" s="8"/>
      <x:c r="N121" s="8"/>
      <x:c r="O121" s="8"/>
      <x:c r="P121" s="8" t="str">
        <x:v>C-it-pricing</x:v>
      </x:c>
      <x:c r="Q121" s="10" t="str">
        <x:v>https://naxos-carrentals.com/it/pricing</x:v>
      </x:c>
      <x:c r="R121" s="10" t="str">
        <x:v>EXISTING</x:v>
      </x:c>
      <x:c r="S121" s="8" t="str">
        <x:v>OPTIMIZE</x:v>
      </x:c>
      <x:c r="T121" s="8" t="str">
        <x:v>OBSERVED</x:v>
      </x:c>
      <x:c r="U121" s="8" t="str">
        <x:v>VENDOR ESTIMATE</x:v>
      </x:c>
      <x:c r="V121" s="8" t="str">
        <x:v>Medium: vendor estimate</x:v>
      </x:c>
      <x:c r="W121" s="8" t="str">
        <x:v>discover-it</x:v>
      </x:c>
      <x:c r="X121" s="8"/>
      <x:c r="Y121" s="8" t="n">
        <x:v>46289.74017527778</x:v>
      </x:c>
      <x:c r="Z121" s="8" t="str">
        <x:v>No summed market demand. Meaningful query variants can overlap.</x:v>
      </x:c>
      <x:c r="AA121" s="12"/>
      <x:c r="AB121" s="10"/>
    </x:row>
    <x:row r="122" ht="48" customHeight="1">
      <x:c r="A122" s="9" t="str">
        <x:v>K118</x:v>
      </x:c>
      <x:c r="B122" s="9" t="str">
        <x:v>noleggio auto naxos prezzi</x:v>
      </x:c>
      <x:c r="C122" s="9" t="str">
        <x:v>noleggio auto naxos prezzi</x:v>
      </x:c>
      <x:c r="D122" s="9" t="str">
        <x:v>IT</x:v>
      </x:c>
      <x:c r="E122" s="9" t="str">
        <x:v>Italian</x:v>
      </x:c>
      <x:c r="F122" s="9" t="str">
        <x:v>Google / Ahrefs</x:v>
      </x:c>
      <x:c r="G122" s="9" t="str">
        <x:v>Commercial / transactional</x:v>
      </x:c>
      <x:c r="H122" s="9" t="str">
        <x:v>Booking evaluation</x:v>
      </x:c>
      <x:c r="I122" s="13" t="n">
        <x:v>0</x:v>
      </x:c>
      <x:c r="J122" s="13"/>
      <x:c r="K122" s="13"/>
      <x:c r="L122" s="15"/>
      <x:c r="M122" s="9"/>
      <x:c r="N122" s="9"/>
      <x:c r="O122" s="9"/>
      <x:c r="P122" s="9" t="str">
        <x:v>C-it-pricing</x:v>
      </x:c>
      <x:c r="Q122" s="11" t="str">
        <x:v>https://naxos-carrentals.com/it/pricing</x:v>
      </x:c>
      <x:c r="R122" s="11" t="str">
        <x:v>EXISTING</x:v>
      </x:c>
      <x:c r="S122" s="9" t="str">
        <x:v>OPTIMIZE</x:v>
      </x:c>
      <x:c r="T122" s="9" t="str">
        <x:v>OBSERVED</x:v>
      </x:c>
      <x:c r="U122" s="9" t="str">
        <x:v>VENDOR ESTIMATE</x:v>
      </x:c>
      <x:c r="V122" s="9" t="str">
        <x:v>Medium: vendor estimate</x:v>
      </x:c>
      <x:c r="W122" s="9" t="str">
        <x:v>discover-it</x:v>
      </x:c>
      <x:c r="X122" s="9"/>
      <x:c r="Y122" s="9" t="n">
        <x:v>46289.74017527778</x:v>
      </x:c>
      <x:c r="Z122" s="9" t="str">
        <x:v>No summed market demand. Meaningful query variants can overlap.</x:v>
      </x:c>
      <x:c r="AA122" s="13"/>
      <x:c r="AB122" s="11"/>
    </x:row>
    <x:row r="123" ht="48" customHeight="1">
      <x:c r="A123" s="8" t="str">
        <x:v>K119</x:v>
      </x:c>
      <x:c r="B123" s="8" t="str">
        <x:v>naxos scooter o auto</x:v>
      </x:c>
      <x:c r="C123" s="8" t="str">
        <x:v>naxos scooter o auto</x:v>
      </x:c>
      <x:c r="D123" s="8" t="str">
        <x:v>IT</x:v>
      </x:c>
      <x:c r="E123" s="8" t="str">
        <x:v>Italian</x:v>
      </x:c>
      <x:c r="F123" s="8" t="str">
        <x:v>Google / Ahrefs</x:v>
      </x:c>
      <x:c r="G123" s="8" t="str">
        <x:v>Informational decision</x:v>
      </x:c>
      <x:c r="H123" s="8" t="str">
        <x:v>Planning</x:v>
      </x:c>
      <x:c r="I123" s="12" t="n">
        <x:v>0</x:v>
      </x:c>
      <x:c r="J123" s="12"/>
      <x:c r="K123" s="12"/>
      <x:c r="L123" s="14"/>
      <x:c r="M123" s="8"/>
      <x:c r="N123" s="8"/>
      <x:c r="O123" s="8"/>
      <x:c r="P123" s="8" t="str">
        <x:v>C-it-scooter</x:v>
      </x:c>
      <x:c r="Q123" s="10" t="str">
        <x:v>https://naxos-carrentals.com/it/fleet/scooters</x:v>
      </x:c>
      <x:c r="R123" s="10" t="str">
        <x:v>EXISTING</x:v>
      </x:c>
      <x:c r="S123" s="8" t="str">
        <x:v>OPTIMIZE</x:v>
      </x:c>
      <x:c r="T123" s="8" t="str">
        <x:v>OBSERVED</x:v>
      </x:c>
      <x:c r="U123" s="8" t="str">
        <x:v>VENDOR ESTIMATE</x:v>
      </x:c>
      <x:c r="V123" s="8" t="str">
        <x:v>Medium: vendor estimate</x:v>
      </x:c>
      <x:c r="W123" s="8" t="str">
        <x:v>discover-it</x:v>
      </x:c>
      <x:c r="X123" s="8"/>
      <x:c r="Y123" s="8" t="n">
        <x:v>46289.74017527778</x:v>
      </x:c>
      <x:c r="Z123" s="8" t="str">
        <x:v>No summed market demand. Meaningful query variants can overlap.</x:v>
      </x:c>
      <x:c r="AA123" s="12"/>
      <x:c r="AB123" s="10"/>
    </x:row>
    <x:row r="124" ht="48" customHeight="1">
      <x:c r="A124" s="9" t="str">
        <x:v>K120</x:v>
      </x:c>
      <x:c r="B124" s="9" t="str">
        <x:v>naxos affitto auto</x:v>
      </x:c>
      <x:c r="C124" s="9" t="str">
        <x:v>naxos affitto auto</x:v>
      </x:c>
      <x:c r="D124" s="9" t="str">
        <x:v>IT</x:v>
      </x:c>
      <x:c r="E124" s="9" t="str">
        <x:v>Italian</x:v>
      </x:c>
      <x:c r="F124" s="9" t="str">
        <x:v>Google / Ahrefs</x:v>
      </x:c>
      <x:c r="G124" s="9" t="str">
        <x:v>Commercial / transactional</x:v>
      </x:c>
      <x:c r="H124" s="9" t="str">
        <x:v>Booking evaluation</x:v>
      </x:c>
      <x:c r="I124" s="13" t="n">
        <x:v>0</x:v>
      </x:c>
      <x:c r="J124" s="13"/>
      <x:c r="K124" s="13"/>
      <x:c r="L124" s="15"/>
      <x:c r="M124" s="9"/>
      <x:c r="N124" s="9"/>
      <x:c r="O124" s="9"/>
      <x:c r="P124" s="9" t="str">
        <x:v>C-it-core</x:v>
      </x:c>
      <x:c r="Q124" s="11" t="str">
        <x:v>https://naxos-carrentals.com/it</x:v>
      </x:c>
      <x:c r="R124" s="11" t="str">
        <x:v>EXISTING</x:v>
      </x:c>
      <x:c r="S124" s="9" t="str">
        <x:v>OPTIMIZE</x:v>
      </x:c>
      <x:c r="T124" s="9" t="str">
        <x:v>OBSERVED</x:v>
      </x:c>
      <x:c r="U124" s="9" t="str">
        <x:v>VENDOR ESTIMATE</x:v>
      </x:c>
      <x:c r="V124" s="9" t="str">
        <x:v>Medium: vendor estimate</x:v>
      </x:c>
      <x:c r="W124" s="9" t="str">
        <x:v>discover-it</x:v>
      </x:c>
      <x:c r="X124" s="9"/>
      <x:c r="Y124" s="9" t="n">
        <x:v>46289.74017527778</x:v>
      </x:c>
      <x:c r="Z124" s="9" t="str">
        <x:v>No summed market demand. Meaningful query variants can overlap.</x:v>
      </x:c>
      <x:c r="AA124" s="13"/>
      <x:c r="AB124" s="11"/>
    </x:row>
    <x:row r="125" ht="48" customHeight="1">
      <x:c r="A125" s="8" t="str">
        <x:v>K121</x:v>
      </x:c>
      <x:c r="B125" s="8" t="str">
        <x:v>noleggio auto naxos - forum</x:v>
      </x:c>
      <x:c r="C125" s="8" t="str">
        <x:v>noleggio auto naxos - forum</x:v>
      </x:c>
      <x:c r="D125" s="8" t="str">
        <x:v>IT</x:v>
      </x:c>
      <x:c r="E125" s="8" t="str">
        <x:v>Italian</x:v>
      </x:c>
      <x:c r="F125" s="8" t="str">
        <x:v>Google / Ahrefs</x:v>
      </x:c>
      <x:c r="G125" s="8" t="str">
        <x:v>Commercial / transactional</x:v>
      </x:c>
      <x:c r="H125" s="8" t="str">
        <x:v>Booking evaluation</x:v>
      </x:c>
      <x:c r="I125" s="12" t="n">
        <x:v>0</x:v>
      </x:c>
      <x:c r="J125" s="12"/>
      <x:c r="K125" s="12"/>
      <x:c r="L125" s="14"/>
      <x:c r="M125" s="8"/>
      <x:c r="N125" s="8"/>
      <x:c r="O125" s="8"/>
      <x:c r="P125" s="8" t="str">
        <x:v>C-it-reviews</x:v>
      </x:c>
      <x:c r="Q125" s="10" t="str">
        <x:v>https://naxos-carrentals.com/it/reviews</x:v>
      </x:c>
      <x:c r="R125" s="10" t="str">
        <x:v>EXISTING</x:v>
      </x:c>
      <x:c r="S125" s="8" t="str">
        <x:v>OPTIMIZE</x:v>
      </x:c>
      <x:c r="T125" s="8" t="str">
        <x:v>OBSERVED</x:v>
      </x:c>
      <x:c r="U125" s="8" t="str">
        <x:v>VENDOR ESTIMATE</x:v>
      </x:c>
      <x:c r="V125" s="8" t="str">
        <x:v>Medium: vendor estimate</x:v>
      </x:c>
      <x:c r="W125" s="8" t="str">
        <x:v>discover-it</x:v>
      </x:c>
      <x:c r="X125" s="8"/>
      <x:c r="Y125" s="8" t="n">
        <x:v>46289.74017527778</x:v>
      </x:c>
      <x:c r="Z125" s="8" t="str">
        <x:v>No summed market demand. Meaningful query variants can overlap.</x:v>
      </x:c>
      <x:c r="AA125" s="12"/>
      <x:c r="AB125" s="10"/>
    </x:row>
    <x:row r="126" ht="48" customHeight="1">
      <x:c r="A126" s="9" t="str">
        <x:v>K122</x:v>
      </x:c>
      <x:c r="B126" s="9" t="str">
        <x:v>auto a noleggio economiche a naxos</x:v>
      </x:c>
      <x:c r="C126" s="9" t="str">
        <x:v>auto a noleggio economiche a naxos</x:v>
      </x:c>
      <x:c r="D126" s="9" t="str">
        <x:v>IT</x:v>
      </x:c>
      <x:c r="E126" s="9" t="str">
        <x:v>Italian</x:v>
      </x:c>
      <x:c r="F126" s="9" t="str">
        <x:v>Google / Ahrefs</x:v>
      </x:c>
      <x:c r="G126" s="9" t="str">
        <x:v>Commercial / transactional</x:v>
      </x:c>
      <x:c r="H126" s="9" t="str">
        <x:v>Booking evaluation</x:v>
      </x:c>
      <x:c r="I126" s="13" t="n">
        <x:v>0</x:v>
      </x:c>
      <x:c r="J126" s="13"/>
      <x:c r="K126" s="13"/>
      <x:c r="L126" s="15"/>
      <x:c r="M126" s="9"/>
      <x:c r="N126" s="9"/>
      <x:c r="O126" s="9"/>
      <x:c r="P126" s="9" t="str">
        <x:v>C-it-pricing</x:v>
      </x:c>
      <x:c r="Q126" s="11" t="str">
        <x:v>https://naxos-carrentals.com/it/pricing</x:v>
      </x:c>
      <x:c r="R126" s="11" t="str">
        <x:v>EXISTING</x:v>
      </x:c>
      <x:c r="S126" s="9" t="str">
        <x:v>OPTIMIZE</x:v>
      </x:c>
      <x:c r="T126" s="9" t="str">
        <x:v>OBSERVED</x:v>
      </x:c>
      <x:c r="U126" s="9" t="str">
        <x:v>VENDOR ESTIMATE</x:v>
      </x:c>
      <x:c r="V126" s="9" t="str">
        <x:v>Medium: vendor estimate</x:v>
      </x:c>
      <x:c r="W126" s="9" t="str">
        <x:v>discover-it</x:v>
      </x:c>
      <x:c r="X126" s="9"/>
      <x:c r="Y126" s="9" t="n">
        <x:v>46289.74017527778</x:v>
      </x:c>
      <x:c r="Z126" s="9" t="str">
        <x:v>No summed market demand. Meaningful query variants can overlap.</x:v>
      </x:c>
      <x:c r="AA126" s="13"/>
      <x:c r="AB126" s="11"/>
    </x:row>
    <x:row r="127" ht="48" customHeight="1">
      <x:c r="A127" s="8" t="str">
        <x:v>K123</x:v>
      </x:c>
      <x:c r="B127" s="8" t="str">
        <x:v>naxos noleggio auto porto</x:v>
      </x:c>
      <x:c r="C127" s="8" t="str">
        <x:v>naxos noleggio auto porto</x:v>
      </x:c>
      <x:c r="D127" s="8" t="str">
        <x:v>IT</x:v>
      </x:c>
      <x:c r="E127" s="8" t="str">
        <x:v>Italian</x:v>
      </x:c>
      <x:c r="F127" s="8" t="str">
        <x:v>Google / Ahrefs</x:v>
      </x:c>
      <x:c r="G127" s="8" t="str">
        <x:v>Commercial / transactional</x:v>
      </x:c>
      <x:c r="H127" s="8" t="str">
        <x:v>Booking evaluation</x:v>
      </x:c>
      <x:c r="I127" s="12" t="n">
        <x:v>0</x:v>
      </x:c>
      <x:c r="J127" s="12"/>
      <x:c r="K127" s="12"/>
      <x:c r="L127" s="14"/>
      <x:c r="M127" s="8"/>
      <x:c r="N127" s="8"/>
      <x:c r="O127" s="8"/>
      <x:c r="P127" s="8" t="str">
        <x:v>C-it-port</x:v>
      </x:c>
      <x:c r="Q127" s="10" t="str">
        <x:v>https://naxos-carrentals.com/it/locations/port-pickup</x:v>
      </x:c>
      <x:c r="R127" s="10" t="str">
        <x:v>EXISTING</x:v>
      </x:c>
      <x:c r="S127" s="8" t="str">
        <x:v>OPTIMIZE</x:v>
      </x:c>
      <x:c r="T127" s="8" t="str">
        <x:v>OBSERVED</x:v>
      </x:c>
      <x:c r="U127" s="8" t="str">
        <x:v>VENDOR ESTIMATE</x:v>
      </x:c>
      <x:c r="V127" s="8" t="str">
        <x:v>Medium: vendor estimate</x:v>
      </x:c>
      <x:c r="W127" s="8" t="str">
        <x:v>discover-it</x:v>
      </x:c>
      <x:c r="X127" s="8"/>
      <x:c r="Y127" s="8" t="n">
        <x:v>46289.74017527778</x:v>
      </x:c>
      <x:c r="Z127" s="8" t="str">
        <x:v>No summed market demand. Meaningful query variants can overlap.</x:v>
      </x:c>
      <x:c r="AA127" s="12"/>
      <x:c r="AB127" s="10"/>
    </x:row>
    <x:row r="128" ht="48" customHeight="1">
      <x:c r="A128" s="9" t="str">
        <x:v>K124</x:v>
      </x:c>
      <x:c r="B128" s="9" t="str">
        <x:v>naxos motorino o auto</x:v>
      </x:c>
      <x:c r="C128" s="9" t="str">
        <x:v>naxos motorino o auto</x:v>
      </x:c>
      <x:c r="D128" s="9" t="str">
        <x:v>IT</x:v>
      </x:c>
      <x:c r="E128" s="9" t="str">
        <x:v>Italian</x:v>
      </x:c>
      <x:c r="F128" s="9" t="str">
        <x:v>Google / Ahrefs</x:v>
      </x:c>
      <x:c r="G128" s="9" t="str">
        <x:v>Informational decision</x:v>
      </x:c>
      <x:c r="H128" s="9" t="str">
        <x:v>Planning</x:v>
      </x:c>
      <x:c r="I128" s="13" t="n">
        <x:v>0</x:v>
      </x:c>
      <x:c r="J128" s="13"/>
      <x:c r="K128" s="13"/>
      <x:c r="L128" s="15"/>
      <x:c r="M128" s="9"/>
      <x:c r="N128" s="9"/>
      <x:c r="O128" s="9"/>
      <x:c r="P128" s="9" t="str">
        <x:v>C-it-scooter</x:v>
      </x:c>
      <x:c r="Q128" s="11" t="str">
        <x:v>https://naxos-carrentals.com/it/fleet/scooters</x:v>
      </x:c>
      <x:c r="R128" s="11" t="str">
        <x:v>EXISTING</x:v>
      </x:c>
      <x:c r="S128" s="9" t="str">
        <x:v>OPTIMIZE</x:v>
      </x:c>
      <x:c r="T128" s="9" t="str">
        <x:v>OBSERVED</x:v>
      </x:c>
      <x:c r="U128" s="9" t="str">
        <x:v>VENDOR ESTIMATE</x:v>
      </x:c>
      <x:c r="V128" s="9" t="str">
        <x:v>Medium: vendor estimate</x:v>
      </x:c>
      <x:c r="W128" s="9" t="str">
        <x:v>discover-it</x:v>
      </x:c>
      <x:c r="X128" s="9"/>
      <x:c r="Y128" s="9" t="n">
        <x:v>46289.74017527778</x:v>
      </x:c>
      <x:c r="Z128" s="9" t="str">
        <x:v>No summed market demand. Meaningful query variants can overlap.</x:v>
      </x:c>
      <x:c r="AA128" s="13"/>
      <x:c r="AB128" s="11"/>
    </x:row>
    <x:row r="129" ht="48" customHeight="1">
      <x:c r="A129" s="8" t="str">
        <x:v>K125</x:v>
      </x:c>
      <x:c r="B129" s="8" t="str">
        <x:v>naxos mietwagen</x:v>
      </x:c>
      <x:c r="C129" s="8" t="str">
        <x:v>naxos mietwagen</x:v>
      </x:c>
      <x:c r="D129" s="8" t="str">
        <x:v>DE</x:v>
      </x:c>
      <x:c r="E129" s="8" t="str">
        <x:v>German</x:v>
      </x:c>
      <x:c r="F129" s="8" t="str">
        <x:v>Google / Ahrefs</x:v>
      </x:c>
      <x:c r="G129" s="8" t="str">
        <x:v>Commercial / transactional</x:v>
      </x:c>
      <x:c r="H129" s="8" t="str">
        <x:v>Booking evaluation</x:v>
      </x:c>
      <x:c r="I129" s="12" t="n">
        <x:v>90</x:v>
      </x:c>
      <x:c r="J129" s="12"/>
      <x:c r="K129" s="12"/>
      <x:c r="L129" s="14"/>
      <x:c r="M129" s="8"/>
      <x:c r="N129" s="8" t="str">
        <x:v>autovermietung naxos</x:v>
      </x:c>
      <x:c r="O129" s="8"/>
      <x:c r="P129" s="8" t="str">
        <x:v>C-de-core</x:v>
      </x:c>
      <x:c r="Q129" s="10" t="str">
        <x:v>https://naxos-carrentals.com/de</x:v>
      </x:c>
      <x:c r="R129" s="10" t="str">
        <x:v>EXISTING</x:v>
      </x:c>
      <x:c r="S129" s="8" t="str">
        <x:v>OPTIMIZE</x:v>
      </x:c>
      <x:c r="T129" s="8" t="str">
        <x:v>OBSERVED</x:v>
      </x:c>
      <x:c r="U129" s="8" t="str">
        <x:v>VENDOR ESTIMATE</x:v>
      </x:c>
      <x:c r="V129" s="8" t="str">
        <x:v>Medium: vendor estimate</x:v>
      </x:c>
      <x:c r="W129" s="8" t="str">
        <x:v>discover-de</x:v>
      </x:c>
      <x:c r="X129" s="8" t="n">
        <x:v>46259.06340277778</x:v>
      </x:c>
      <x:c r="Y129" s="8" t="n">
        <x:v>46289.74017547454</x:v>
      </x:c>
      <x:c r="Z129" s="8" t="str">
        <x:v>No summed market demand. Meaningful query variants can overlap.</x:v>
      </x:c>
      <x:c r="AA129" s="12"/>
      <x:c r="AB129" s="10"/>
    </x:row>
    <x:row r="130" ht="48" customHeight="1">
      <x:c r="A130" s="9" t="str">
        <x:v>K126</x:v>
      </x:c>
      <x:c r="B130" s="9" t="str">
        <x:v>naxos auto mieten</x:v>
      </x:c>
      <x:c r="C130" s="9" t="str">
        <x:v>naxos auto mieten</x:v>
      </x:c>
      <x:c r="D130" s="9" t="str">
        <x:v>DE</x:v>
      </x:c>
      <x:c r="E130" s="9" t="str">
        <x:v>German</x:v>
      </x:c>
      <x:c r="F130" s="9" t="str">
        <x:v>Google / Ahrefs</x:v>
      </x:c>
      <x:c r="G130" s="9" t="str">
        <x:v>Commercial / transactional</x:v>
      </x:c>
      <x:c r="H130" s="9" t="str">
        <x:v>Booking evaluation</x:v>
      </x:c>
      <x:c r="I130" s="13" t="n">
        <x:v>60</x:v>
      </x:c>
      <x:c r="J130" s="13"/>
      <x:c r="K130" s="13"/>
      <x:c r="L130" s="15"/>
      <x:c r="M130" s="9"/>
      <x:c r="N130" s="9" t="str">
        <x:v>auto mieten naxos</x:v>
      </x:c>
      <x:c r="O130" s="9"/>
      <x:c r="P130" s="9" t="str">
        <x:v>C-de-core</x:v>
      </x:c>
      <x:c r="Q130" s="11" t="str">
        <x:v>https://naxos-carrentals.com/de</x:v>
      </x:c>
      <x:c r="R130" s="11" t="str">
        <x:v>EXISTING</x:v>
      </x:c>
      <x:c r="S130" s="9" t="str">
        <x:v>OPTIMIZE</x:v>
      </x:c>
      <x:c r="T130" s="9" t="str">
        <x:v>OBSERVED</x:v>
      </x:c>
      <x:c r="U130" s="9" t="str">
        <x:v>VENDOR ESTIMATE</x:v>
      </x:c>
      <x:c r="V130" s="9" t="str">
        <x:v>Medium: vendor estimate</x:v>
      </x:c>
      <x:c r="W130" s="9" t="str">
        <x:v>discover-de</x:v>
      </x:c>
      <x:c r="X130" s="9" t="n">
        <x:v>46241.546111111114</x:v>
      </x:c>
      <x:c r="Y130" s="9" t="n">
        <x:v>46289.74017547454</x:v>
      </x:c>
      <x:c r="Z130" s="9" t="str">
        <x:v>No summed market demand. Meaningful query variants can overlap.</x:v>
      </x:c>
      <x:c r="AA130" s="13"/>
      <x:c r="AB130" s="11"/>
    </x:row>
    <x:row r="131" ht="48" customHeight="1">
      <x:c r="A131" s="8" t="str">
        <x:v>K127</x:v>
      </x:c>
      <x:c r="B131" s="8" t="str">
        <x:v>mieten sie ein auto in naxos</x:v>
      </x:c>
      <x:c r="C131" s="8" t="str">
        <x:v>mieten sie ein auto in naxos</x:v>
      </x:c>
      <x:c r="D131" s="8" t="str">
        <x:v>DE</x:v>
      </x:c>
      <x:c r="E131" s="8" t="str">
        <x:v>German</x:v>
      </x:c>
      <x:c r="F131" s="8" t="str">
        <x:v>Google / Ahrefs</x:v>
      </x:c>
      <x:c r="G131" s="8" t="str">
        <x:v>Commercial / transactional</x:v>
      </x:c>
      <x:c r="H131" s="8" t="str">
        <x:v>Booking evaluation</x:v>
      </x:c>
      <x:c r="I131" s="12" t="n">
        <x:v>50</x:v>
      </x:c>
      <x:c r="J131" s="12"/>
      <x:c r="K131" s="12"/>
      <x:c r="L131" s="14"/>
      <x:c r="M131" s="8"/>
      <x:c r="N131" s="8"/>
      <x:c r="O131" s="8"/>
      <x:c r="P131" s="8" t="str">
        <x:v>C-de-core</x:v>
      </x:c>
      <x:c r="Q131" s="10" t="str">
        <x:v>https://naxos-carrentals.com/de</x:v>
      </x:c>
      <x:c r="R131" s="10" t="str">
        <x:v>EXISTING</x:v>
      </x:c>
      <x:c r="S131" s="8" t="str">
        <x:v>OPTIMIZE</x:v>
      </x:c>
      <x:c r="T131" s="8" t="str">
        <x:v>OBSERVED</x:v>
      </x:c>
      <x:c r="U131" s="8" t="str">
        <x:v>VENDOR ESTIMATE</x:v>
      </x:c>
      <x:c r="V131" s="8" t="str">
        <x:v>Medium: vendor estimate</x:v>
      </x:c>
      <x:c r="W131" s="8" t="str">
        <x:v>discover-de</x:v>
      </x:c>
      <x:c r="X131" s="8"/>
      <x:c r="Y131" s="8" t="n">
        <x:v>46289.74017547454</x:v>
      </x:c>
      <x:c r="Z131" s="8" t="str">
        <x:v>No summed market demand. Meaningful query variants can overlap.</x:v>
      </x:c>
      <x:c r="AA131" s="12"/>
      <x:c r="AB131" s="10"/>
    </x:row>
    <x:row r="132" ht="48" customHeight="1">
      <x:c r="A132" s="9" t="str">
        <x:v>K128</x:v>
      </x:c>
      <x:c r="B132" s="9" t="str">
        <x:v>naxos auto</x:v>
      </x:c>
      <x:c r="C132" s="9" t="str">
        <x:v>naxos auto</x:v>
      </x:c>
      <x:c r="D132" s="9" t="str">
        <x:v>DE</x:v>
      </x:c>
      <x:c r="E132" s="9" t="str">
        <x:v>German</x:v>
      </x:c>
      <x:c r="F132" s="9" t="str">
        <x:v>Google / Ahrefs</x:v>
      </x:c>
      <x:c r="G132" s="9" t="str">
        <x:v>Commercial / transactional</x:v>
      </x:c>
      <x:c r="H132" s="9" t="str">
        <x:v>Booking evaluation</x:v>
      </x:c>
      <x:c r="I132" s="13" t="n">
        <x:v>10</x:v>
      </x:c>
      <x:c r="J132" s="13"/>
      <x:c r="K132" s="13"/>
      <x:c r="L132" s="15"/>
      <x:c r="M132" s="9"/>
      <x:c r="N132" s="9"/>
      <x:c r="O132" s="9"/>
      <x:c r="P132" s="9" t="str">
        <x:v>C-de-core</x:v>
      </x:c>
      <x:c r="Q132" s="11" t="str">
        <x:v>https://naxos-carrentals.com/de</x:v>
      </x:c>
      <x:c r="R132" s="11" t="str">
        <x:v>EXISTING</x:v>
      </x:c>
      <x:c r="S132" s="9" t="str">
        <x:v>OPTIMIZE</x:v>
      </x:c>
      <x:c r="T132" s="9" t="str">
        <x:v>OBSERVED</x:v>
      </x:c>
      <x:c r="U132" s="9" t="str">
        <x:v>VENDOR ESTIMATE</x:v>
      </x:c>
      <x:c r="V132" s="9" t="str">
        <x:v>Medium: vendor estimate</x:v>
      </x:c>
      <x:c r="W132" s="9" t="str">
        <x:v>discover-de</x:v>
      </x:c>
      <x:c r="X132" s="9"/>
      <x:c r="Y132" s="9" t="n">
        <x:v>46289.74017547454</x:v>
      </x:c>
      <x:c r="Z132" s="9" t="str">
        <x:v>No summed market demand. Meaningful query variants can overlap.</x:v>
      </x:c>
      <x:c r="AA132" s="13"/>
      <x:c r="AB132" s="11"/>
    </x:row>
    <x:row r="133" ht="48" customHeight="1">
      <x:c r="A133" s="8" t="str">
        <x:v>K129</x:v>
      </x:c>
      <x:c r="B133" s="8" t="str">
        <x:v>naxos mietwagen erfahrungen</x:v>
      </x:c>
      <x:c r="C133" s="8" t="str">
        <x:v>naxos mietwagen erfahrungen</x:v>
      </x:c>
      <x:c r="D133" s="8" t="str">
        <x:v>DE</x:v>
      </x:c>
      <x:c r="E133" s="8" t="str">
        <x:v>German</x:v>
      </x:c>
      <x:c r="F133" s="8" t="str">
        <x:v>Google / Ahrefs</x:v>
      </x:c>
      <x:c r="G133" s="8" t="str">
        <x:v>Commercial / transactional</x:v>
      </x:c>
      <x:c r="H133" s="8" t="str">
        <x:v>Booking evaluation</x:v>
      </x:c>
      <x:c r="I133" s="12" t="n">
        <x:v>10</x:v>
      </x:c>
      <x:c r="J133" s="12"/>
      <x:c r="K133" s="12"/>
      <x:c r="L133" s="14"/>
      <x:c r="M133" s="8"/>
      <x:c r="N133" s="8"/>
      <x:c r="O133" s="8"/>
      <x:c r="P133" s="8" t="str">
        <x:v>C-de-reviews</x:v>
      </x:c>
      <x:c r="Q133" s="10" t="str">
        <x:v>https://naxos-carrentals.com/de/reviews</x:v>
      </x:c>
      <x:c r="R133" s="10" t="str">
        <x:v>EXISTING</x:v>
      </x:c>
      <x:c r="S133" s="8" t="str">
        <x:v>OPTIMIZE</x:v>
      </x:c>
      <x:c r="T133" s="8" t="str">
        <x:v>OBSERVED</x:v>
      </x:c>
      <x:c r="U133" s="8" t="str">
        <x:v>VENDOR ESTIMATE</x:v>
      </x:c>
      <x:c r="V133" s="8" t="str">
        <x:v>Medium: vendor estimate</x:v>
      </x:c>
      <x:c r="W133" s="8" t="str">
        <x:v>discover-de</x:v>
      </x:c>
      <x:c r="X133" s="8"/>
      <x:c r="Y133" s="8" t="n">
        <x:v>46289.74017547454</x:v>
      </x:c>
      <x:c r="Z133" s="8" t="str">
        <x:v>No summed market demand. Meaningful query variants can overlap.</x:v>
      </x:c>
      <x:c r="AA133" s="12"/>
      <x:c r="AB133" s="10"/>
    </x:row>
    <x:row r="134" ht="48" customHeight="1">
      <x:c r="A134" s="9" t="str">
        <x:v>K130</x:v>
      </x:c>
      <x:c r="B134" s="9" t="str">
        <x:v>mietwagen auf naxos</x:v>
      </x:c>
      <x:c r="C134" s="9" t="str">
        <x:v>mietwagen auf naxos</x:v>
      </x:c>
      <x:c r="D134" s="9" t="str">
        <x:v>DE</x:v>
      </x:c>
      <x:c r="E134" s="9" t="str">
        <x:v>German</x:v>
      </x:c>
      <x:c r="F134" s="9" t="str">
        <x:v>Google / Ahrefs</x:v>
      </x:c>
      <x:c r="G134" s="9" t="str">
        <x:v>Commercial / transactional</x:v>
      </x:c>
      <x:c r="H134" s="9" t="str">
        <x:v>Booking evaluation</x:v>
      </x:c>
      <x:c r="I134" s="13" t="n">
        <x:v>10</x:v>
      </x:c>
      <x:c r="J134" s="13"/>
      <x:c r="K134" s="13"/>
      <x:c r="L134" s="15"/>
      <x:c r="M134" s="9"/>
      <x:c r="N134" s="9"/>
      <x:c r="O134" s="9"/>
      <x:c r="P134" s="9" t="str">
        <x:v>C-de-core</x:v>
      </x:c>
      <x:c r="Q134" s="11" t="str">
        <x:v>https://naxos-carrentals.com/de</x:v>
      </x:c>
      <x:c r="R134" s="11" t="str">
        <x:v>EXISTING</x:v>
      </x:c>
      <x:c r="S134" s="9" t="str">
        <x:v>OPTIMIZE</x:v>
      </x:c>
      <x:c r="T134" s="9" t="str">
        <x:v>OBSERVED</x:v>
      </x:c>
      <x:c r="U134" s="9" t="str">
        <x:v>VENDOR ESTIMATE</x:v>
      </x:c>
      <x:c r="V134" s="9" t="str">
        <x:v>Medium: vendor estimate</x:v>
      </x:c>
      <x:c r="W134" s="9" t="str">
        <x:v>discover-de</x:v>
      </x:c>
      <x:c r="X134" s="9"/>
      <x:c r="Y134" s="9" t="n">
        <x:v>46289.74017547454</x:v>
      </x:c>
      <x:c r="Z134" s="9" t="str">
        <x:v>No summed market demand. Meaningful query variants can overlap.</x:v>
      </x:c>
      <x:c r="AA134" s="13"/>
      <x:c r="AB134" s="11"/>
    </x:row>
    <x:row r="135" ht="48" customHeight="1">
      <x:c r="A135" s="8" t="str">
        <x:v>K131</x:v>
      </x:c>
      <x:c r="B135" s="8" t="str">
        <x:v>auto mieten naxos flughafen</x:v>
      </x:c>
      <x:c r="C135" s="8" t="str">
        <x:v>auto mieten naxos flughafen</x:v>
      </x:c>
      <x:c r="D135" s="8" t="str">
        <x:v>DE</x:v>
      </x:c>
      <x:c r="E135" s="8" t="str">
        <x:v>German</x:v>
      </x:c>
      <x:c r="F135" s="8" t="str">
        <x:v>Google / Ahrefs</x:v>
      </x:c>
      <x:c r="G135" s="8" t="str">
        <x:v>Commercial / transactional</x:v>
      </x:c>
      <x:c r="H135" s="8" t="str">
        <x:v>Booking evaluation</x:v>
      </x:c>
      <x:c r="I135" s="12" t="n">
        <x:v>0</x:v>
      </x:c>
      <x:c r="J135" s="12"/>
      <x:c r="K135" s="12"/>
      <x:c r="L135" s="14"/>
      <x:c r="M135" s="8"/>
      <x:c r="N135" s="8"/>
      <x:c r="O135" s="8"/>
      <x:c r="P135" s="8" t="str">
        <x:v>C-de-airport</x:v>
      </x:c>
      <x:c r="Q135" s="10" t="str">
        <x:v>https://naxos-carrentals.com/de/locations/airport-pickup</x:v>
      </x:c>
      <x:c r="R135" s="10" t="str">
        <x:v>EXISTING</x:v>
      </x:c>
      <x:c r="S135" s="8" t="str">
        <x:v>OPTIMIZE</x:v>
      </x:c>
      <x:c r="T135" s="8" t="str">
        <x:v>OBSERVED</x:v>
      </x:c>
      <x:c r="U135" s="8" t="str">
        <x:v>VENDOR ESTIMATE</x:v>
      </x:c>
      <x:c r="V135" s="8" t="str">
        <x:v>Medium: vendor estimate</x:v>
      </x:c>
      <x:c r="W135" s="8" t="str">
        <x:v>discover-de</x:v>
      </x:c>
      <x:c r="X135" s="8"/>
      <x:c r="Y135" s="8" t="n">
        <x:v>46289.74017547454</x:v>
      </x:c>
      <x:c r="Z135" s="8" t="str">
        <x:v>No summed market demand. Meaningful query variants can overlap.</x:v>
      </x:c>
      <x:c r="AA135" s="12"/>
      <x:c r="AB135" s="10"/>
    </x:row>
    <x:row r="136" ht="48" customHeight="1">
      <x:c r="A136" s="9" t="str">
        <x:v>K132</x:v>
      </x:c>
      <x:c r="B136" s="9" t="str">
        <x:v>naxos mit dem auto erkunden</x:v>
      </x:c>
      <x:c r="C136" s="9" t="str">
        <x:v>naxos mit dem auto erkunden</x:v>
      </x:c>
      <x:c r="D136" s="9" t="str">
        <x:v>DE</x:v>
      </x:c>
      <x:c r="E136" s="9" t="str">
        <x:v>German</x:v>
      </x:c>
      <x:c r="F136" s="9" t="str">
        <x:v>Google / Ahrefs</x:v>
      </x:c>
      <x:c r="G136" s="9" t="str">
        <x:v>Informational decision</x:v>
      </x:c>
      <x:c r="H136" s="9" t="str">
        <x:v>Planning</x:v>
      </x:c>
      <x:c r="I136" s="13" t="n">
        <x:v>0</x:v>
      </x:c>
      <x:c r="J136" s="13"/>
      <x:c r="K136" s="13"/>
      <x:c r="L136" s="15"/>
      <x:c r="M136" s="9"/>
      <x:c r="N136" s="9"/>
      <x:c r="O136" s="9"/>
      <x:c r="P136" s="9" t="str">
        <x:v>C-de-driving</x:v>
      </x:c>
      <x:c r="Q136" s="11" t="str">
        <x:v>https://naxos-carrentals.com/de/guides/driving-in-naxos</x:v>
      </x:c>
      <x:c r="R136" s="11" t="str">
        <x:v>EXISTING</x:v>
      </x:c>
      <x:c r="S136" s="9" t="str">
        <x:v>OPTIMIZE</x:v>
      </x:c>
      <x:c r="T136" s="9" t="str">
        <x:v>OBSERVED</x:v>
      </x:c>
      <x:c r="U136" s="9" t="str">
        <x:v>VENDOR ESTIMATE</x:v>
      </x:c>
      <x:c r="V136" s="9" t="str">
        <x:v>Medium: vendor estimate</x:v>
      </x:c>
      <x:c r="W136" s="9" t="str">
        <x:v>discover-de</x:v>
      </x:c>
      <x:c r="X136" s="9"/>
      <x:c r="Y136" s="9" t="n">
        <x:v>46289.74017547454</x:v>
      </x:c>
      <x:c r="Z136" s="9" t="str">
        <x:v>No summed market demand. Meaningful query variants can overlap.</x:v>
      </x:c>
      <x:c r="AA136" s="13"/>
      <x:c r="AB136" s="11"/>
    </x:row>
    <x:row r="137" ht="48" customHeight="1">
      <x:c r="A137" s="8" t="str">
        <x:v>K133</x:v>
      </x:c>
      <x:c r="B137" s="8" t="str">
        <x:v>naxos hafen mietwagen</x:v>
      </x:c>
      <x:c r="C137" s="8" t="str">
        <x:v>naxos hafen mietwagen</x:v>
      </x:c>
      <x:c r="D137" s="8" t="str">
        <x:v>DE</x:v>
      </x:c>
      <x:c r="E137" s="8" t="str">
        <x:v>German</x:v>
      </x:c>
      <x:c r="F137" s="8" t="str">
        <x:v>Google / Ahrefs</x:v>
      </x:c>
      <x:c r="G137" s="8" t="str">
        <x:v>Commercial / transactional</x:v>
      </x:c>
      <x:c r="H137" s="8" t="str">
        <x:v>Booking evaluation</x:v>
      </x:c>
      <x:c r="I137" s="12" t="n">
        <x:v>0</x:v>
      </x:c>
      <x:c r="J137" s="12"/>
      <x:c r="K137" s="12"/>
      <x:c r="L137" s="14"/>
      <x:c r="M137" s="8"/>
      <x:c r="N137" s="8"/>
      <x:c r="O137" s="8"/>
      <x:c r="P137" s="8" t="str">
        <x:v>C-de-port</x:v>
      </x:c>
      <x:c r="Q137" s="10" t="str">
        <x:v>https://naxos-carrentals.com/de/locations/port-pickup</x:v>
      </x:c>
      <x:c r="R137" s="10" t="str">
        <x:v>EXISTING</x:v>
      </x:c>
      <x:c r="S137" s="8" t="str">
        <x:v>OPTIMIZE</x:v>
      </x:c>
      <x:c r="T137" s="8" t="str">
        <x:v>OBSERVED</x:v>
      </x:c>
      <x:c r="U137" s="8" t="str">
        <x:v>VENDOR ESTIMATE</x:v>
      </x:c>
      <x:c r="V137" s="8" t="str">
        <x:v>Medium: vendor estimate</x:v>
      </x:c>
      <x:c r="W137" s="8" t="str">
        <x:v>discover-de</x:v>
      </x:c>
      <x:c r="X137" s="8"/>
      <x:c r="Y137" s="8" t="n">
        <x:v>46289.74017547454</x:v>
      </x:c>
      <x:c r="Z137" s="8" t="str">
        <x:v>No summed market demand. Meaningful query variants can overlap.</x:v>
      </x:c>
      <x:c r="AA137" s="12"/>
      <x:c r="AB137" s="10"/>
    </x:row>
    <x:row r="138" ht="48" customHeight="1">
      <x:c r="A138" s="9" t="str">
        <x:v>K134</x:v>
      </x:c>
      <x:c r="B138" s="9" t="str">
        <x:v>auto naxos</x:v>
      </x:c>
      <x:c r="C138" s="9" t="str">
        <x:v>auto naxos</x:v>
      </x:c>
      <x:c r="D138" s="9" t="str">
        <x:v>DE</x:v>
      </x:c>
      <x:c r="E138" s="9" t="str">
        <x:v>German</x:v>
      </x:c>
      <x:c r="F138" s="9" t="str">
        <x:v>Google / Ahrefs</x:v>
      </x:c>
      <x:c r="G138" s="9" t="str">
        <x:v>Commercial / transactional</x:v>
      </x:c>
      <x:c r="H138" s="9" t="str">
        <x:v>Booking evaluation</x:v>
      </x:c>
      <x:c r="I138" s="13" t="n">
        <x:v>0</x:v>
      </x:c>
      <x:c r="J138" s="13"/>
      <x:c r="K138" s="13"/>
      <x:c r="L138" s="15"/>
      <x:c r="M138" s="9"/>
      <x:c r="N138" s="9"/>
      <x:c r="O138" s="9"/>
      <x:c r="P138" s="9" t="str">
        <x:v>C-de-core</x:v>
      </x:c>
      <x:c r="Q138" s="11" t="str">
        <x:v>https://naxos-carrentals.com/de</x:v>
      </x:c>
      <x:c r="R138" s="11" t="str">
        <x:v>EXISTING</x:v>
      </x:c>
      <x:c r="S138" s="9" t="str">
        <x:v>OPTIMIZE</x:v>
      </x:c>
      <x:c r="T138" s="9" t="str">
        <x:v>OBSERVED</x:v>
      </x:c>
      <x:c r="U138" s="9" t="str">
        <x:v>VENDOR ESTIMATE</x:v>
      </x:c>
      <x:c r="V138" s="9" t="str">
        <x:v>Medium: vendor estimate</x:v>
      </x:c>
      <x:c r="W138" s="9" t="str">
        <x:v>discover-de</x:v>
      </x:c>
      <x:c r="X138" s="9"/>
      <x:c r="Y138" s="9" t="n">
        <x:v>46289.74017547454</x:v>
      </x:c>
      <x:c r="Z138" s="9" t="str">
        <x:v>No summed market demand. Meaningful query variants can overlap.</x:v>
      </x:c>
      <x:c r="AA138" s="13"/>
      <x:c r="AB138" s="11"/>
    </x:row>
    <x:row r="139" ht="48" customHeight="1">
      <x:c r="A139" s="8" t="str">
        <x:v>K135</x:v>
      </x:c>
      <x:c r="B139" s="8" t="str">
        <x:v>mietwagen naxos erfahrungen</x:v>
      </x:c>
      <x:c r="C139" s="8" t="str">
        <x:v>mietwagen naxos erfahrungen</x:v>
      </x:c>
      <x:c r="D139" s="8" t="str">
        <x:v>DE</x:v>
      </x:c>
      <x:c r="E139" s="8" t="str">
        <x:v>German</x:v>
      </x:c>
      <x:c r="F139" s="8" t="str">
        <x:v>Google / Ahrefs</x:v>
      </x:c>
      <x:c r="G139" s="8" t="str">
        <x:v>Commercial / transactional</x:v>
      </x:c>
      <x:c r="H139" s="8" t="str">
        <x:v>Booking evaluation</x:v>
      </x:c>
      <x:c r="I139" s="12" t="n">
        <x:v>0</x:v>
      </x:c>
      <x:c r="J139" s="12"/>
      <x:c r="K139" s="12"/>
      <x:c r="L139" s="14"/>
      <x:c r="M139" s="8"/>
      <x:c r="N139" s="8"/>
      <x:c r="O139" s="8"/>
      <x:c r="P139" s="8" t="str">
        <x:v>C-de-reviews</x:v>
      </x:c>
      <x:c r="Q139" s="10" t="str">
        <x:v>https://naxos-carrentals.com/de/reviews</x:v>
      </x:c>
      <x:c r="R139" s="10" t="str">
        <x:v>EXISTING</x:v>
      </x:c>
      <x:c r="S139" s="8" t="str">
        <x:v>OPTIMIZE</x:v>
      </x:c>
      <x:c r="T139" s="8" t="str">
        <x:v>OBSERVED</x:v>
      </x:c>
      <x:c r="U139" s="8" t="str">
        <x:v>VENDOR ESTIMATE</x:v>
      </x:c>
      <x:c r="V139" s="8" t="str">
        <x:v>Medium: vendor estimate</x:v>
      </x:c>
      <x:c r="W139" s="8" t="str">
        <x:v>discover-de</x:v>
      </x:c>
      <x:c r="X139" s="8"/>
      <x:c r="Y139" s="8" t="n">
        <x:v>46289.74017547454</x:v>
      </x:c>
      <x:c r="Z139" s="8" t="str">
        <x:v>No summed market demand. Meaningful query variants can overlap.</x:v>
      </x:c>
      <x:c r="AA139" s="12"/>
      <x:c r="AB139" s="10"/>
    </x:row>
    <x:row r="140" ht="48" customHeight="1">
      <x:c r="A140" s="9" t="str">
        <x:v>K136</x:v>
      </x:c>
      <x:c r="B140" s="9" t="str">
        <x:v>auto mieten naxos griechenland</x:v>
      </x:c>
      <x:c r="C140" s="9" t="str">
        <x:v>auto mieten naxos griechenland</x:v>
      </x:c>
      <x:c r="D140" s="9" t="str">
        <x:v>DE</x:v>
      </x:c>
      <x:c r="E140" s="9" t="str">
        <x:v>German</x:v>
      </x:c>
      <x:c r="F140" s="9" t="str">
        <x:v>Google / Ahrefs</x:v>
      </x:c>
      <x:c r="G140" s="9" t="str">
        <x:v>Commercial / transactional</x:v>
      </x:c>
      <x:c r="H140" s="9" t="str">
        <x:v>Booking evaluation</x:v>
      </x:c>
      <x:c r="I140" s="13" t="n">
        <x:v>0</x:v>
      </x:c>
      <x:c r="J140" s="13"/>
      <x:c r="K140" s="13"/>
      <x:c r="L140" s="15"/>
      <x:c r="M140" s="9"/>
      <x:c r="N140" s="9"/>
      <x:c r="O140" s="9"/>
      <x:c r="P140" s="9" t="str">
        <x:v>C-de-core</x:v>
      </x:c>
      <x:c r="Q140" s="11" t="str">
        <x:v>https://naxos-carrentals.com/de</x:v>
      </x:c>
      <x:c r="R140" s="11" t="str">
        <x:v>EXISTING</x:v>
      </x:c>
      <x:c r="S140" s="9" t="str">
        <x:v>OPTIMIZE</x:v>
      </x:c>
      <x:c r="T140" s="9" t="str">
        <x:v>OBSERVED</x:v>
      </x:c>
      <x:c r="U140" s="9" t="str">
        <x:v>VENDOR ESTIMATE</x:v>
      </x:c>
      <x:c r="V140" s="9" t="str">
        <x:v>Medium: vendor estimate</x:v>
      </x:c>
      <x:c r="W140" s="9" t="str">
        <x:v>discover-de</x:v>
      </x:c>
      <x:c r="X140" s="9"/>
      <x:c r="Y140" s="9" t="n">
        <x:v>46289.74017547454</x:v>
      </x:c>
      <x:c r="Z140" s="9" t="str">
        <x:v>No summed market demand. Meaningful query variants can overlap.</x:v>
      </x:c>
      <x:c r="AA140" s="13"/>
      <x:c r="AB140" s="11"/>
    </x:row>
    <x:row r="141" ht="48" customHeight="1">
      <x:c r="A141" s="8" t="str">
        <x:v>K137</x:v>
      </x:c>
      <x:c r="B141" s="8" t="str">
        <x:v>naxos roller oder auto</x:v>
      </x:c>
      <x:c r="C141" s="8" t="str">
        <x:v>naxos roller oder auto</x:v>
      </x:c>
      <x:c r="D141" s="8" t="str">
        <x:v>DE</x:v>
      </x:c>
      <x:c r="E141" s="8" t="str">
        <x:v>German</x:v>
      </x:c>
      <x:c r="F141" s="8" t="str">
        <x:v>Google / Ahrefs</x:v>
      </x:c>
      <x:c r="G141" s="8" t="str">
        <x:v>Informational decision</x:v>
      </x:c>
      <x:c r="H141" s="8" t="str">
        <x:v>Planning</x:v>
      </x:c>
      <x:c r="I141" s="12" t="n">
        <x:v>0</x:v>
      </x:c>
      <x:c r="J141" s="12"/>
      <x:c r="K141" s="12"/>
      <x:c r="L141" s="14"/>
      <x:c r="M141" s="8"/>
      <x:c r="N141" s="8"/>
      <x:c r="O141" s="8"/>
      <x:c r="P141" s="8" t="str">
        <x:v>C-de-scooter</x:v>
      </x:c>
      <x:c r="Q141" s="10" t="str">
        <x:v>https://naxos-carrentals.com/de/fleet/scooters</x:v>
      </x:c>
      <x:c r="R141" s="10" t="str">
        <x:v>EXISTING</x:v>
      </x:c>
      <x:c r="S141" s="8" t="str">
        <x:v>OPTIMIZE</x:v>
      </x:c>
      <x:c r="T141" s="8" t="str">
        <x:v>OBSERVED</x:v>
      </x:c>
      <x:c r="U141" s="8" t="str">
        <x:v>VENDOR ESTIMATE</x:v>
      </x:c>
      <x:c r="V141" s="8" t="str">
        <x:v>Medium: vendor estimate</x:v>
      </x:c>
      <x:c r="W141" s="8" t="str">
        <x:v>discover-de</x:v>
      </x:c>
      <x:c r="X141" s="8"/>
      <x:c r="Y141" s="8" t="n">
        <x:v>46289.74017547454</x:v>
      </x:c>
      <x:c r="Z141" s="8" t="str">
        <x:v>No summed market demand. Meaningful query variants can overlap.</x:v>
      </x:c>
      <x:c r="AA141" s="12"/>
      <x:c r="AB141" s="10"/>
    </x:row>
    <x:row r="142" ht="48" customHeight="1">
      <x:c r="A142" s="9" t="str">
        <x:v>K138</x:v>
      </x:c>
      <x:c r="B142" s="9" t="str">
        <x:v>mietwagen naxos stadt</x:v>
      </x:c>
      <x:c r="C142" s="9" t="str">
        <x:v>mietwagen naxos stadt</x:v>
      </x:c>
      <x:c r="D142" s="9" t="str">
        <x:v>DE</x:v>
      </x:c>
      <x:c r="E142" s="9" t="str">
        <x:v>German</x:v>
      </x:c>
      <x:c r="F142" s="9" t="str">
        <x:v>Google / Ahrefs</x:v>
      </x:c>
      <x:c r="G142" s="9" t="str">
        <x:v>Commercial / transactional</x:v>
      </x:c>
      <x:c r="H142" s="9" t="str">
        <x:v>Booking evaluation</x:v>
      </x:c>
      <x:c r="I142" s="13" t="n">
        <x:v>0</x:v>
      </x:c>
      <x:c r="J142" s="13"/>
      <x:c r="K142" s="13"/>
      <x:c r="L142" s="15"/>
      <x:c r="M142" s="9"/>
      <x:c r="N142" s="9"/>
      <x:c r="O142" s="9"/>
      <x:c r="P142" s="9" t="str">
        <x:v>C-de-town</x:v>
      </x:c>
      <x:c r="Q142" s="11" t="str">
        <x:v>https://naxos-carrentals.com/de/locations/naxos-town</x:v>
      </x:c>
      <x:c r="R142" s="11" t="str">
        <x:v>EXISTING</x:v>
      </x:c>
      <x:c r="S142" s="9" t="str">
        <x:v>OPTIMIZE</x:v>
      </x:c>
      <x:c r="T142" s="9" t="str">
        <x:v>OBSERVED</x:v>
      </x:c>
      <x:c r="U142" s="9" t="str">
        <x:v>VENDOR ESTIMATE</x:v>
      </x:c>
      <x:c r="V142" s="9" t="str">
        <x:v>Medium: vendor estimate</x:v>
      </x:c>
      <x:c r="W142" s="9" t="str">
        <x:v>discover-de</x:v>
      </x:c>
      <x:c r="X142" s="9"/>
      <x:c r="Y142" s="9" t="n">
        <x:v>46289.74017547454</x:v>
      </x:c>
      <x:c r="Z142" s="9" t="str">
        <x:v>No summed market demand. Meaningful query variants can overlap.</x:v>
      </x:c>
      <x:c r="AA142" s="13"/>
      <x:c r="AB142" s="11"/>
    </x:row>
    <x:row r="143" ht="48" customHeight="1">
      <x:c r="A143" s="8" t="str">
        <x:v>K139</x:v>
      </x:c>
      <x:c r="B143" s="8" t="str">
        <x:v>auto naxos mieten</x:v>
      </x:c>
      <x:c r="C143" s="8" t="str">
        <x:v>auto naxos mieten</x:v>
      </x:c>
      <x:c r="D143" s="8" t="str">
        <x:v>DE</x:v>
      </x:c>
      <x:c r="E143" s="8" t="str">
        <x:v>German</x:v>
      </x:c>
      <x:c r="F143" s="8" t="str">
        <x:v>Google / Ahrefs</x:v>
      </x:c>
      <x:c r="G143" s="8" t="str">
        <x:v>Commercial / transactional</x:v>
      </x:c>
      <x:c r="H143" s="8" t="str">
        <x:v>Booking evaluation</x:v>
      </x:c>
      <x:c r="I143" s="12" t="n">
        <x:v>0</x:v>
      </x:c>
      <x:c r="J143" s="12"/>
      <x:c r="K143" s="12"/>
      <x:c r="L143" s="14"/>
      <x:c r="M143" s="8"/>
      <x:c r="N143" s="8"/>
      <x:c r="O143" s="8"/>
      <x:c r="P143" s="8" t="str">
        <x:v>C-de-core</x:v>
      </x:c>
      <x:c r="Q143" s="10" t="str">
        <x:v>https://naxos-carrentals.com/de</x:v>
      </x:c>
      <x:c r="R143" s="10" t="str">
        <x:v>EXISTING</x:v>
      </x:c>
      <x:c r="S143" s="8" t="str">
        <x:v>OPTIMIZE</x:v>
      </x:c>
      <x:c r="T143" s="8" t="str">
        <x:v>OBSERVED</x:v>
      </x:c>
      <x:c r="U143" s="8" t="str">
        <x:v>VENDOR ESTIMATE</x:v>
      </x:c>
      <x:c r="V143" s="8" t="str">
        <x:v>Medium: vendor estimate</x:v>
      </x:c>
      <x:c r="W143" s="8" t="str">
        <x:v>discover-de</x:v>
      </x:c>
      <x:c r="X143" s="8"/>
      <x:c r="Y143" s="8" t="n">
        <x:v>46289.74017547454</x:v>
      </x:c>
      <x:c r="Z143" s="8" t="str">
        <x:v>No summed market demand. Meaningful query variants can overlap.</x:v>
      </x:c>
      <x:c r="AA143" s="12"/>
      <x:c r="AB143" s="10"/>
    </x:row>
    <x:row r="144" ht="48" customHeight="1">
      <x:c r="A144" s="9" t="str">
        <x:v>K140</x:v>
      </x:c>
      <x:c r="B144" s="9" t="str">
        <x:v>mietwagen naxos griechenland</x:v>
      </x:c>
      <x:c r="C144" s="9" t="str">
        <x:v>mietwagen naxos griechenland</x:v>
      </x:c>
      <x:c r="D144" s="9" t="str">
        <x:v>DE</x:v>
      </x:c>
      <x:c r="E144" s="9" t="str">
        <x:v>German</x:v>
      </x:c>
      <x:c r="F144" s="9" t="str">
        <x:v>Google / Ahrefs</x:v>
      </x:c>
      <x:c r="G144" s="9" t="str">
        <x:v>Commercial / transactional</x:v>
      </x:c>
      <x:c r="H144" s="9" t="str">
        <x:v>Booking evaluation</x:v>
      </x:c>
      <x:c r="I144" s="13" t="n">
        <x:v>0</x:v>
      </x:c>
      <x:c r="J144" s="13"/>
      <x:c r="K144" s="13"/>
      <x:c r="L144" s="15"/>
      <x:c r="M144" s="9"/>
      <x:c r="N144" s="9"/>
      <x:c r="O144" s="9"/>
      <x:c r="P144" s="9" t="str">
        <x:v>C-de-core</x:v>
      </x:c>
      <x:c r="Q144" s="11" t="str">
        <x:v>https://naxos-carrentals.com/de</x:v>
      </x:c>
      <x:c r="R144" s="11" t="str">
        <x:v>EXISTING</x:v>
      </x:c>
      <x:c r="S144" s="9" t="str">
        <x:v>OPTIMIZE</x:v>
      </x:c>
      <x:c r="T144" s="9" t="str">
        <x:v>OBSERVED</x:v>
      </x:c>
      <x:c r="U144" s="9" t="str">
        <x:v>VENDOR ESTIMATE</x:v>
      </x:c>
      <x:c r="V144" s="9" t="str">
        <x:v>Medium: vendor estimate</x:v>
      </x:c>
      <x:c r="W144" s="9" t="str">
        <x:v>discover-de</x:v>
      </x:c>
      <x:c r="X144" s="9"/>
      <x:c r="Y144" s="9" t="n">
        <x:v>46289.74017547454</x:v>
      </x:c>
      <x:c r="Z144" s="9" t="str">
        <x:v>No summed market demand. Meaningful query variants can overlap.</x:v>
      </x:c>
      <x:c r="AA144" s="13"/>
      <x:c r="AB144" s="11"/>
    </x:row>
    <x:row r="145" ht="48" customHeight="1">
      <x:c r="A145" s="8" t="str">
        <x:v>K141</x:v>
      </x:c>
      <x:c r="B145" s="8" t="str">
        <x:v>braucht man auf naxos ein auto</x:v>
      </x:c>
      <x:c r="C145" s="8" t="str">
        <x:v>braucht man auf naxos ein auto</x:v>
      </x:c>
      <x:c r="D145" s="8" t="str">
        <x:v>DE</x:v>
      </x:c>
      <x:c r="E145" s="8" t="str">
        <x:v>German</x:v>
      </x:c>
      <x:c r="F145" s="8" t="str">
        <x:v>Google / Ahrefs</x:v>
      </x:c>
      <x:c r="G145" s="8" t="str">
        <x:v>Informational decision</x:v>
      </x:c>
      <x:c r="H145" s="8" t="str">
        <x:v>Planning</x:v>
      </x:c>
      <x:c r="I145" s="12" t="n">
        <x:v>0</x:v>
      </x:c>
      <x:c r="J145" s="12"/>
      <x:c r="K145" s="12"/>
      <x:c r="L145" s="14"/>
      <x:c r="M145" s="8"/>
      <x:c r="N145" s="8"/>
      <x:c r="O145" s="8"/>
      <x:c r="P145" s="8" t="str">
        <x:v>C-de-need-car</x:v>
      </x:c>
      <x:c r="Q145" s="10" t="str">
        <x:v>https://naxos-carrentals.com/de/guides/do-you-need-a-car-in-naxos</x:v>
      </x:c>
      <x:c r="R145" s="10" t="str">
        <x:v>EXISTING</x:v>
      </x:c>
      <x:c r="S145" s="8" t="str">
        <x:v>OPTIMIZE</x:v>
      </x:c>
      <x:c r="T145" s="8" t="str">
        <x:v>OBSERVED</x:v>
      </x:c>
      <x:c r="U145" s="8" t="str">
        <x:v>VENDOR ESTIMATE</x:v>
      </x:c>
      <x:c r="V145" s="8" t="str">
        <x:v>Medium: vendor estimate</x:v>
      </x:c>
      <x:c r="W145" s="8" t="str">
        <x:v>discover-de</x:v>
      </x:c>
      <x:c r="X145" s="8"/>
      <x:c r="Y145" s="8" t="n">
        <x:v>46289.74017547454</x:v>
      </x:c>
      <x:c r="Z145" s="8" t="str">
        <x:v>No summed market demand. Meaningful query variants can overlap.</x:v>
      </x:c>
      <x:c r="AA145" s="12"/>
      <x:c r="AB145" s="10"/>
    </x:row>
    <x:row r="146" ht="48" customHeight="1">
      <x:c r="A146" s="9" t="str">
        <x:v>K142</x:v>
      </x:c>
      <x:c r="B146" s="9" t="str">
        <x:v>billige mietwagen naxos</x:v>
      </x:c>
      <x:c r="C146" s="9" t="str">
        <x:v>billige mietwagen naxos</x:v>
      </x:c>
      <x:c r="D146" s="9" t="str">
        <x:v>DE</x:v>
      </x:c>
      <x:c r="E146" s="9" t="str">
        <x:v>German</x:v>
      </x:c>
      <x:c r="F146" s="9" t="str">
        <x:v>Google / Ahrefs</x:v>
      </x:c>
      <x:c r="G146" s="9" t="str">
        <x:v>Commercial / transactional</x:v>
      </x:c>
      <x:c r="H146" s="9" t="str">
        <x:v>Booking evaluation</x:v>
      </x:c>
      <x:c r="I146" s="13" t="n">
        <x:v>0</x:v>
      </x:c>
      <x:c r="J146" s="13"/>
      <x:c r="K146" s="13"/>
      <x:c r="L146" s="15"/>
      <x:c r="M146" s="9"/>
      <x:c r="N146" s="9"/>
      <x:c r="O146" s="9"/>
      <x:c r="P146" s="9" t="str">
        <x:v>C-de-pricing</x:v>
      </x:c>
      <x:c r="Q146" s="11" t="str">
        <x:v>https://naxos-carrentals.com/de/pricing</x:v>
      </x:c>
      <x:c r="R146" s="11" t="str">
        <x:v>EXISTING</x:v>
      </x:c>
      <x:c r="S146" s="9" t="str">
        <x:v>OPTIMIZE</x:v>
      </x:c>
      <x:c r="T146" s="9" t="str">
        <x:v>OBSERVED</x:v>
      </x:c>
      <x:c r="U146" s="9" t="str">
        <x:v>VENDOR ESTIMATE</x:v>
      </x:c>
      <x:c r="V146" s="9" t="str">
        <x:v>Medium: vendor estimate</x:v>
      </x:c>
      <x:c r="W146" s="9" t="str">
        <x:v>discover-de</x:v>
      </x:c>
      <x:c r="X146" s="9"/>
      <x:c r="Y146" s="9" t="n">
        <x:v>46289.74017547454</x:v>
      </x:c>
      <x:c r="Z146" s="9" t="str">
        <x:v>No summed market demand. Meaningful query variants can overlap.</x:v>
      </x:c>
      <x:c r="AA146" s="13"/>
      <x:c r="AB146" s="11"/>
    </x:row>
    <x:row r="147" ht="48" customHeight="1">
      <x:c r="A147" s="8" t="str">
        <x:v>K143</x:v>
      </x:c>
      <x:c r="B147" s="8" t="str">
        <x:v>auto mieten naxos hafen</x:v>
      </x:c>
      <x:c r="C147" s="8" t="str">
        <x:v>auto mieten naxos hafen</x:v>
      </x:c>
      <x:c r="D147" s="8" t="str">
        <x:v>DE</x:v>
      </x:c>
      <x:c r="E147" s="8" t="str">
        <x:v>German</x:v>
      </x:c>
      <x:c r="F147" s="8" t="str">
        <x:v>Google / Ahrefs</x:v>
      </x:c>
      <x:c r="G147" s="8" t="str">
        <x:v>Commercial / transactional</x:v>
      </x:c>
      <x:c r="H147" s="8" t="str">
        <x:v>Booking evaluation</x:v>
      </x:c>
      <x:c r="I147" s="12" t="n">
        <x:v>0</x:v>
      </x:c>
      <x:c r="J147" s="12"/>
      <x:c r="K147" s="12"/>
      <x:c r="L147" s="14"/>
      <x:c r="M147" s="8"/>
      <x:c r="N147" s="8"/>
      <x:c r="O147" s="8"/>
      <x:c r="P147" s="8" t="str">
        <x:v>C-de-port</x:v>
      </x:c>
      <x:c r="Q147" s="10" t="str">
        <x:v>https://naxos-carrentals.com/de/locations/port-pickup</x:v>
      </x:c>
      <x:c r="R147" s="10" t="str">
        <x:v>EXISTING</x:v>
      </x:c>
      <x:c r="S147" s="8" t="str">
        <x:v>OPTIMIZE</x:v>
      </x:c>
      <x:c r="T147" s="8" t="str">
        <x:v>OBSERVED</x:v>
      </x:c>
      <x:c r="U147" s="8" t="str">
        <x:v>VENDOR ESTIMATE</x:v>
      </x:c>
      <x:c r="V147" s="8" t="str">
        <x:v>Medium: vendor estimate</x:v>
      </x:c>
      <x:c r="W147" s="8" t="str">
        <x:v>discover-de</x:v>
      </x:c>
      <x:c r="X147" s="8"/>
      <x:c r="Y147" s="8" t="n">
        <x:v>46289.74017547454</x:v>
      </x:c>
      <x:c r="Z147" s="8" t="str">
        <x:v>No summed market demand. Meaningful query variants can overlap.</x:v>
      </x:c>
      <x:c r="AA147" s="12"/>
      <x:c r="AB147" s="10"/>
    </x:row>
    <x:row r="148" ht="48" customHeight="1">
      <x:c r="A148" s="9" t="str">
        <x:v>K144</x:v>
      </x:c>
      <x:c r="B148" s="9" t="str">
        <x:v>naxos ohne auto</x:v>
      </x:c>
      <x:c r="C148" s="9" t="str">
        <x:v>naxos ohne auto</x:v>
      </x:c>
      <x:c r="D148" s="9" t="str">
        <x:v>DE</x:v>
      </x:c>
      <x:c r="E148" s="9" t="str">
        <x:v>German</x:v>
      </x:c>
      <x:c r="F148" s="9" t="str">
        <x:v>Google / Ahrefs</x:v>
      </x:c>
      <x:c r="G148" s="9" t="str">
        <x:v>Informational decision</x:v>
      </x:c>
      <x:c r="H148" s="9" t="str">
        <x:v>Planning</x:v>
      </x:c>
      <x:c r="I148" s="13" t="n">
        <x:v>0</x:v>
      </x:c>
      <x:c r="J148" s="13"/>
      <x:c r="K148" s="13"/>
      <x:c r="L148" s="15"/>
      <x:c r="M148" s="9"/>
      <x:c r="N148" s="9"/>
      <x:c r="O148" s="9"/>
      <x:c r="P148" s="9" t="str">
        <x:v>C-de-need-car</x:v>
      </x:c>
      <x:c r="Q148" s="11" t="str">
        <x:v>https://naxos-carrentals.com/de/guides/do-you-need-a-car-in-naxos</x:v>
      </x:c>
      <x:c r="R148" s="11" t="str">
        <x:v>EXISTING</x:v>
      </x:c>
      <x:c r="S148" s="9" t="str">
        <x:v>OPTIMIZE</x:v>
      </x:c>
      <x:c r="T148" s="9" t="str">
        <x:v>OBSERVED</x:v>
      </x:c>
      <x:c r="U148" s="9" t="str">
        <x:v>VENDOR ESTIMATE</x:v>
      </x:c>
      <x:c r="V148" s="9" t="str">
        <x:v>Medium: vendor estimate</x:v>
      </x:c>
      <x:c r="W148" s="9" t="str">
        <x:v>discover-de</x:v>
      </x:c>
      <x:c r="X148" s="9"/>
      <x:c r="Y148" s="9" t="n">
        <x:v>46289.74017547454</x:v>
      </x:c>
      <x:c r="Z148" s="9" t="str">
        <x:v>No summed market demand. Meaningful query variants can overlap.</x:v>
      </x:c>
      <x:c r="AA148" s="13"/>
      <x:c r="AB148" s="11"/>
    </x:row>
    <x:row r="149" ht="48" customHeight="1">
      <x:c r="A149" s="8" t="str">
        <x:v>K145</x:v>
      </x:c>
      <x:c r="B149" s="8" t="str">
        <x:v>naxos car rental port</x:v>
      </x:c>
      <x:c r="C149" s="8" t="str">
        <x:v>naxos car rental port</x:v>
      </x:c>
      <x:c r="D149" s="8" t="str">
        <x:v>US</x:v>
      </x:c>
      <x:c r="E149" s="8" t="str">
        <x:v>English</x:v>
      </x:c>
      <x:c r="F149" s="8" t="str">
        <x:v>Google / Ahrefs</x:v>
      </x:c>
      <x:c r="G149" s="8" t="str">
        <x:v>Commercial / transactional</x:v>
      </x:c>
      <x:c r="H149" s="8" t="str">
        <x:v>Booking evaluation</x:v>
      </x:c>
      <x:c r="I149" s="12" t="n">
        <x:v>10</x:v>
      </x:c>
      <x:c r="J149" s="12" t="n">
        <x:v>6</x:v>
      </x:c>
      <x:c r="K149" s="12"/>
      <x:c r="L149" s="14" t="n">
        <x:v>1.4</x:v>
      </x:c>
      <x:c r="M149" s="8" t="str">
        <x:v>USD</x:v>
      </x:c>
      <x:c r="N149" s="8" t="str">
        <x:v>naxos car rentals</x:v>
      </x:c>
      <x:c r="O149" s="8"/>
      <x:c r="P149" s="8" t="str">
        <x:v>C-en-port</x:v>
      </x:c>
      <x:c r="Q149" s="10" t="str">
        <x:v>https://naxos-carrentals.com/en/locations/port-pickup</x:v>
      </x:c>
      <x:c r="R149" s="10" t="str">
        <x:v>EXISTING</x:v>
      </x:c>
      <x:c r="S149" s="8" t="str">
        <x:v>OPTIMIZE</x:v>
      </x:c>
      <x:c r="T149" s="8" t="str">
        <x:v>OBSERVED</x:v>
      </x:c>
      <x:c r="U149" s="8" t="str">
        <x:v>VENDOR ESTIMATE</x:v>
      </x:c>
      <x:c r="V149" s="8" t="str">
        <x:v>Medium: vendor estimate</x:v>
      </x:c>
      <x:c r="W149" s="8" t="str">
        <x:v>kw-us</x:v>
      </x:c>
      <x:c r="X149" s="8" t="n">
        <x:v>46285.755277777775</x:v>
      </x:c>
      <x:c r="Y149" s="8" t="n">
        <x:v>46289.74033627315</x:v>
      </x:c>
      <x:c r="Z149" s="8" t="str">
        <x:v>No summed market demand. Meaningful query variants can overlap.</x:v>
      </x:c>
      <x:c r="AA149" s="12"/>
      <x:c r="AB149" s="10"/>
    </x:row>
    <x:row r="150" ht="48" customHeight="1">
      <x:c r="A150" s="9" t="str">
        <x:v>K146</x:v>
      </x:c>
      <x:c r="B150" s="9" t="str">
        <x:v>car rental naxos</x:v>
      </x:c>
      <x:c r="C150" s="9" t="str">
        <x:v>car rental naxos</x:v>
      </x:c>
      <x:c r="D150" s="9" t="str">
        <x:v>US</x:v>
      </x:c>
      <x:c r="E150" s="9" t="str">
        <x:v>English</x:v>
      </x:c>
      <x:c r="F150" s="9" t="str">
        <x:v>Google / Ahrefs</x:v>
      </x:c>
      <x:c r="G150" s="9" t="str">
        <x:v>Commercial / transactional</x:v>
      </x:c>
      <x:c r="H150" s="9" t="str">
        <x:v>Booking evaluation</x:v>
      </x:c>
      <x:c r="I150" s="13" t="n">
        <x:v>150</x:v>
      </x:c>
      <x:c r="J150" s="13" t="n">
        <x:v>0</x:v>
      </x:c>
      <x:c r="K150" s="13"/>
      <x:c r="L150" s="15" t="n">
        <x:v>1</x:v>
      </x:c>
      <x:c r="M150" s="9" t="str">
        <x:v>USD</x:v>
      </x:c>
      <x:c r="N150" s="9" t="str">
        <x:v>car rental naxos</x:v>
      </x:c>
      <x:c r="O150" s="9"/>
      <x:c r="P150" s="9" t="str">
        <x:v>C-en-core</x:v>
      </x:c>
      <x:c r="Q150" s="11" t="str">
        <x:v>https://naxos-carrentals.com/en</x:v>
      </x:c>
      <x:c r="R150" s="11" t="str">
        <x:v>EXISTING</x:v>
      </x:c>
      <x:c r="S150" s="9" t="str">
        <x:v>OPTIMIZE</x:v>
      </x:c>
      <x:c r="T150" s="9" t="str">
        <x:v>OBSERVED</x:v>
      </x:c>
      <x:c r="U150" s="9" t="str">
        <x:v>VENDOR ESTIMATE</x:v>
      </x:c>
      <x:c r="V150" s="9" t="str">
        <x:v>Medium: vendor estimate</x:v>
      </x:c>
      <x:c r="W150" s="9" t="str">
        <x:v>kw-us</x:v>
      </x:c>
      <x:c r="X150" s="9" t="n">
        <x:v>46189.50099537037</x:v>
      </x:c>
      <x:c r="Y150" s="9" t="n">
        <x:v>46289.74033627315</x:v>
      </x:c>
      <x:c r="Z150" s="9" t="str">
        <x:v>No summed market demand. Meaningful query variants can overlap.</x:v>
      </x:c>
      <x:c r="AA150" s="13"/>
      <x:c r="AB150" s="11"/>
    </x:row>
    <x:row r="151" ht="48" customHeight="1">
      <x:c r="A151" s="8" t="str">
        <x:v>K147</x:v>
      </x:c>
      <x:c r="B151" s="8" t="str">
        <x:v>naxos car rental airport</x:v>
      </x:c>
      <x:c r="C151" s="8" t="str">
        <x:v>naxos car rental airport</x:v>
      </x:c>
      <x:c r="D151" s="8" t="str">
        <x:v>US</x:v>
      </x:c>
      <x:c r="E151" s="8" t="str">
        <x:v>English</x:v>
      </x:c>
      <x:c r="F151" s="8" t="str">
        <x:v>Google / Ahrefs</x:v>
      </x:c>
      <x:c r="G151" s="8" t="str">
        <x:v>Commercial / transactional</x:v>
      </x:c>
      <x:c r="H151" s="8" t="str">
        <x:v>Booking evaluation</x:v>
      </x:c>
      <x:c r="I151" s="12" t="n">
        <x:v>40</x:v>
      </x:c>
      <x:c r="J151" s="12"/>
      <x:c r="K151" s="12"/>
      <x:c r="L151" s="14" t="n">
        <x:v>2</x:v>
      </x:c>
      <x:c r="M151" s="8" t="str">
        <x:v>USD</x:v>
      </x:c>
      <x:c r="N151" s="8"/>
      <x:c r="O151" s="8"/>
      <x:c r="P151" s="8" t="str">
        <x:v>C-en-airport</x:v>
      </x:c>
      <x:c r="Q151" s="10" t="str">
        <x:v>https://naxos-carrentals.com/en/locations/airport-pickup</x:v>
      </x:c>
      <x:c r="R151" s="10" t="str">
        <x:v>EXISTING</x:v>
      </x:c>
      <x:c r="S151" s="8" t="str">
        <x:v>OPTIMIZE</x:v>
      </x:c>
      <x:c r="T151" s="8" t="str">
        <x:v>OBSERVED</x:v>
      </x:c>
      <x:c r="U151" s="8" t="str">
        <x:v>VENDOR ESTIMATE</x:v>
      </x:c>
      <x:c r="V151" s="8" t="str">
        <x:v>Medium: vendor estimate</x:v>
      </x:c>
      <x:c r="W151" s="8" t="str">
        <x:v>kw-us</x:v>
      </x:c>
      <x:c r="X151" s="8"/>
      <x:c r="Y151" s="8" t="n">
        <x:v>46289.74033627315</x:v>
      </x:c>
      <x:c r="Z151" s="8" t="str">
        <x:v>No summed market demand. Meaningful query variants can overlap.</x:v>
      </x:c>
      <x:c r="AA151" s="12"/>
      <x:c r="AB151" s="10"/>
    </x:row>
    <x:row r="152" ht="48" customHeight="1">
      <x:c r="A152" s="9" t="str">
        <x:v>K148</x:v>
      </x:c>
      <x:c r="B152" s="9" t="str">
        <x:v>do you need a car in naxos</x:v>
      </x:c>
      <x:c r="C152" s="9" t="str">
        <x:v>do you need a car in naxos</x:v>
      </x:c>
      <x:c r="D152" s="9" t="str">
        <x:v>US</x:v>
      </x:c>
      <x:c r="E152" s="9" t="str">
        <x:v>English</x:v>
      </x:c>
      <x:c r="F152" s="9" t="str">
        <x:v>Google / Ahrefs</x:v>
      </x:c>
      <x:c r="G152" s="9" t="str">
        <x:v>Informational decision</x:v>
      </x:c>
      <x:c r="H152" s="9" t="str">
        <x:v>Planning</x:v>
      </x:c>
      <x:c r="I152" s="13" t="n">
        <x:v>30</x:v>
      </x:c>
      <x:c r="J152" s="13" t="n">
        <x:v>0</x:v>
      </x:c>
      <x:c r="K152" s="13"/>
      <x:c r="L152" s="15"/>
      <x:c r="M152" s="9"/>
      <x:c r="N152" s="9" t="str">
        <x:v>do you need a car in naxos</x:v>
      </x:c>
      <x:c r="O152" s="9"/>
      <x:c r="P152" s="9" t="str">
        <x:v>C-en-need-car</x:v>
      </x:c>
      <x:c r="Q152" s="11" t="str">
        <x:v>https://naxos-carrentals.com/en/guides/do-you-need-a-car-in-naxos</x:v>
      </x:c>
      <x:c r="R152" s="11" t="str">
        <x:v>EXISTING</x:v>
      </x:c>
      <x:c r="S152" s="9" t="str">
        <x:v>OPTIMIZE</x:v>
      </x:c>
      <x:c r="T152" s="9" t="str">
        <x:v>OBSERVED</x:v>
      </x:c>
      <x:c r="U152" s="9" t="str">
        <x:v>VENDOR ESTIMATE</x:v>
      </x:c>
      <x:c r="V152" s="9" t="str">
        <x:v>Medium: vendor estimate</x:v>
      </x:c>
      <x:c r="W152" s="9" t="str">
        <x:v>kw-us</x:v>
      </x:c>
      <x:c r="X152" s="9" t="n">
        <x:v>46283.30258101852</x:v>
      </x:c>
      <x:c r="Y152" s="9" t="n">
        <x:v>46289.74033627315</x:v>
      </x:c>
      <x:c r="Z152" s="9" t="str">
        <x:v>No summed market demand. Meaningful query variants can overlap.</x:v>
      </x:c>
      <x:c r="AA152" s="13"/>
      <x:c r="AB152" s="11"/>
    </x:row>
    <x:row r="153" ht="48" customHeight="1">
      <x:c r="A153" s="8" t="str">
        <x:v>K149</x:v>
      </x:c>
      <x:c r="B153" s="8" t="str">
        <x:v>naxos car rental</x:v>
      </x:c>
      <x:c r="C153" s="8" t="str">
        <x:v>naxos car rental</x:v>
      </x:c>
      <x:c r="D153" s="8" t="str">
        <x:v>US</x:v>
      </x:c>
      <x:c r="E153" s="8" t="str">
        <x:v>English</x:v>
      </x:c>
      <x:c r="F153" s="8" t="str">
        <x:v>Google / Ahrefs</x:v>
      </x:c>
      <x:c r="G153" s="8" t="str">
        <x:v>Commercial / transactional</x:v>
      </x:c>
      <x:c r="H153" s="8" t="str">
        <x:v>Booking evaluation</x:v>
      </x:c>
      <x:c r="I153" s="12" t="n">
        <x:v>450</x:v>
      </x:c>
      <x:c r="J153" s="12" t="n">
        <x:v>0</x:v>
      </x:c>
      <x:c r="K153" s="12"/>
      <x:c r="L153" s="14" t="n">
        <x:v>1</x:v>
      </x:c>
      <x:c r="M153" s="8" t="str">
        <x:v>USD</x:v>
      </x:c>
      <x:c r="N153" s="8" t="str">
        <x:v>naxos car rental</x:v>
      </x:c>
      <x:c r="O153" s="8"/>
      <x:c r="P153" s="8" t="str">
        <x:v>C-en-core</x:v>
      </x:c>
      <x:c r="Q153" s="10" t="str">
        <x:v>https://naxos-carrentals.com/en</x:v>
      </x:c>
      <x:c r="R153" s="10" t="str">
        <x:v>EXISTING</x:v>
      </x:c>
      <x:c r="S153" s="8" t="str">
        <x:v>OPTIMIZE</x:v>
      </x:c>
      <x:c r="T153" s="8" t="str">
        <x:v>OBSERVED</x:v>
      </x:c>
      <x:c r="U153" s="8" t="str">
        <x:v>VENDOR ESTIMATE</x:v>
      </x:c>
      <x:c r="V153" s="8" t="str">
        <x:v>Medium: vendor estimate</x:v>
      </x:c>
      <x:c r="W153" s="8" t="str">
        <x:v>kw-us</x:v>
      </x:c>
      <x:c r="X153" s="8" t="n">
        <x:v>46252.73519675926</x:v>
      </x:c>
      <x:c r="Y153" s="8" t="n">
        <x:v>46289.74033627315</x:v>
      </x:c>
      <x:c r="Z153" s="8" t="str">
        <x:v>No summed market demand. Meaningful query variants can overlap.</x:v>
      </x:c>
      <x:c r="AA153" s="12"/>
      <x:c r="AB153" s="10"/>
    </x:row>
    <x:row r="154" ht="48" customHeight="1">
      <x:c r="A154" s="9" t="str">
        <x:v>K150</x:v>
      </x:c>
      <x:c r="B154" s="9" t="str">
        <x:v>automatic car rental naxos</x:v>
      </x:c>
      <x:c r="C154" s="9" t="str">
        <x:v>automatic car rental naxos</x:v>
      </x:c>
      <x:c r="D154" s="9" t="str">
        <x:v>US</x:v>
      </x:c>
      <x:c r="E154" s="9" t="str">
        <x:v>English</x:v>
      </x:c>
      <x:c r="F154" s="9" t="str">
        <x:v>Google / Ahrefs</x:v>
      </x:c>
      <x:c r="G154" s="9" t="str">
        <x:v>Commercial / transactional</x:v>
      </x:c>
      <x:c r="H154" s="9" t="str">
        <x:v>Booking evaluation</x:v>
      </x:c>
      <x:c r="I154" s="13" t="n">
        <x:v>0</x:v>
      </x:c>
      <x:c r="J154" s="13"/>
      <x:c r="K154" s="13"/>
      <x:c r="L154" s="15"/>
      <x:c r="M154" s="9"/>
      <x:c r="N154" s="9"/>
      <x:c r="O154" s="9"/>
      <x:c r="P154" s="9" t="str">
        <x:v>C-en-automatic</x:v>
      </x:c>
      <x:c r="Q154" s="11" t="str">
        <x:v>https://naxos-carrentals.com/en/fleet/collections/automatic</x:v>
      </x:c>
      <x:c r="R154" s="11" t="str">
        <x:v>EXISTING</x:v>
      </x:c>
      <x:c r="S154" s="9" t="str">
        <x:v>OPTIMIZE</x:v>
      </x:c>
      <x:c r="T154" s="9" t="str">
        <x:v>OBSERVED</x:v>
      </x:c>
      <x:c r="U154" s="9" t="str">
        <x:v>VENDOR ESTIMATE</x:v>
      </x:c>
      <x:c r="V154" s="9" t="str">
        <x:v>Medium: vendor estimate</x:v>
      </x:c>
      <x:c r="W154" s="9" t="str">
        <x:v>kw-us</x:v>
      </x:c>
      <x:c r="X154" s="9"/>
      <x:c r="Y154" s="9" t="n">
        <x:v>46289.74033627315</x:v>
      </x:c>
      <x:c r="Z154" s="9" t="str">
        <x:v>No summed market demand. Meaningful query variants can overlap.</x:v>
      </x:c>
      <x:c r="AA154" s="13"/>
      <x:c r="AB154" s="11"/>
    </x:row>
    <x:row r="155" ht="48" customHeight="1">
      <x:c r="A155" s="8" t="str">
        <x:v>K151</x:v>
      </x:c>
      <x:c r="B155" s="8" t="str">
        <x:v>autohuur naxos</x:v>
      </x:c>
      <x:c r="C155" s="8" t="str">
        <x:v>autohuur naxos</x:v>
      </x:c>
      <x:c r="D155" s="8" t="str">
        <x:v>NL</x:v>
      </x:c>
      <x:c r="E155" s="8" t="str">
        <x:v>Dutch</x:v>
      </x:c>
      <x:c r="F155" s="8" t="str">
        <x:v>Google / Ahrefs</x:v>
      </x:c>
      <x:c r="G155" s="8" t="str">
        <x:v>Commercial / transactional</x:v>
      </x:c>
      <x:c r="H155" s="8" t="str">
        <x:v>Booking evaluation</x:v>
      </x:c>
      <x:c r="I155" s="12" t="n">
        <x:v>10</x:v>
      </x:c>
      <x:c r="J155" s="12"/>
      <x:c r="K155" s="12"/>
      <x:c r="L155" s="14"/>
      <x:c r="M155" s="8"/>
      <x:c r="N155" s="8"/>
      <x:c r="O155" s="8"/>
      <x:c r="P155" s="8" t="str">
        <x:v>C-nl-core</x:v>
      </x:c>
      <x:c r="Q155" s="10" t="str">
        <x:v>https://naxos-carrentals.com/nl</x:v>
      </x:c>
      <x:c r="R155" s="10" t="str">
        <x:v>PROPOSED URL</x:v>
      </x:c>
      <x:c r="S155" s="8" t="str">
        <x:v>INVESTIGATE</x:v>
      </x:c>
      <x:c r="T155" s="8" t="str">
        <x:v>OBSERVED</x:v>
      </x:c>
      <x:c r="U155" s="8" t="str">
        <x:v>VENDOR ESTIMATE</x:v>
      </x:c>
      <x:c r="V155" s="8" t="str">
        <x:v>Medium: vendor estimate</x:v>
      </x:c>
      <x:c r="W155" s="8" t="str">
        <x:v>kw-nl</x:v>
      </x:c>
      <x:c r="X155" s="8"/>
      <x:c r="Y155" s="8" t="n">
        <x:v>46289.743785266204</x:v>
      </x:c>
      <x:c r="Z155" s="8" t="str">
        <x:v>No summed market demand. Meaningful query variants can overlap.</x:v>
      </x:c>
      <x:c r="AA155" s="12"/>
      <x:c r="AB155" s="10"/>
    </x:row>
    <x:row r="156" ht="48" customHeight="1">
      <x:c r="A156" s="9" t="str">
        <x:v>K152</x:v>
      </x:c>
      <x:c r="B156" s="9" t="str">
        <x:v>auto huren naxos</x:v>
      </x:c>
      <x:c r="C156" s="9" t="str">
        <x:v>auto huren naxos</x:v>
      </x:c>
      <x:c r="D156" s="9" t="str">
        <x:v>NL</x:v>
      </x:c>
      <x:c r="E156" s="9" t="str">
        <x:v>Dutch</x:v>
      </x:c>
      <x:c r="F156" s="9" t="str">
        <x:v>Google / Ahrefs</x:v>
      </x:c>
      <x:c r="G156" s="9" t="str">
        <x:v>Commercial / transactional</x:v>
      </x:c>
      <x:c r="H156" s="9" t="str">
        <x:v>Booking evaluation</x:v>
      </x:c>
      <x:c r="I156" s="13" t="n">
        <x:v>60</x:v>
      </x:c>
      <x:c r="J156" s="13" t="n">
        <x:v>0</x:v>
      </x:c>
      <x:c r="K156" s="13"/>
      <x:c r="L156" s="15"/>
      <x:c r="M156" s="9"/>
      <x:c r="N156" s="9" t="str">
        <x:v>auto huren naxos</x:v>
      </x:c>
      <x:c r="O156" s="9"/>
      <x:c r="P156" s="9" t="str">
        <x:v>C-nl-core</x:v>
      </x:c>
      <x:c r="Q156" s="11" t="str">
        <x:v>https://naxos-carrentals.com/nl</x:v>
      </x:c>
      <x:c r="R156" s="11" t="str">
        <x:v>PROPOSED URL</x:v>
      </x:c>
      <x:c r="S156" s="9" t="str">
        <x:v>INVESTIGATE</x:v>
      </x:c>
      <x:c r="T156" s="9" t="str">
        <x:v>OBSERVED</x:v>
      </x:c>
      <x:c r="U156" s="9" t="str">
        <x:v>VENDOR ESTIMATE</x:v>
      </x:c>
      <x:c r="V156" s="9" t="str">
        <x:v>Medium: vendor estimate</x:v>
      </x:c>
      <x:c r="W156" s="9" t="str">
        <x:v>kw-nl</x:v>
      </x:c>
      <x:c r="X156" s="9"/>
      <x:c r="Y156" s="9" t="n">
        <x:v>46289.743785266204</x:v>
      </x:c>
      <x:c r="Z156" s="9" t="str">
        <x:v>No summed market demand. Meaningful query variants can overlap.</x:v>
      </x:c>
      <x:c r="AA156" s="13"/>
      <x:c r="AB156" s="11"/>
    </x:row>
    <x:row r="157" ht="48" customHeight="1">
      <x:c r="A157" s="8" t="str">
        <x:v>K153</x:v>
      </x:c>
      <x:c r="B157" s="8" t="str">
        <x:v>alquiler coche naxos</x:v>
      </x:c>
      <x:c r="C157" s="8" t="str">
        <x:v>alquiler coche naxos</x:v>
      </x:c>
      <x:c r="D157" s="8" t="str">
        <x:v>ES</x:v>
      </x:c>
      <x:c r="E157" s="8" t="str">
        <x:v>Spanish</x:v>
      </x:c>
      <x:c r="F157" s="8" t="str">
        <x:v>Google / Ahrefs</x:v>
      </x:c>
      <x:c r="G157" s="8" t="str">
        <x:v>Commercial / transactional</x:v>
      </x:c>
      <x:c r="H157" s="8" t="str">
        <x:v>Booking evaluation</x:v>
      </x:c>
      <x:c r="I157" s="12" t="n">
        <x:v>150</x:v>
      </x:c>
      <x:c r="J157" s="12" t="n">
        <x:v>0</x:v>
      </x:c>
      <x:c r="K157" s="12"/>
      <x:c r="L157" s="14"/>
      <x:c r="M157" s="8"/>
      <x:c r="N157" s="8" t="str">
        <x:v>alquiler coche naxos</x:v>
      </x:c>
      <x:c r="O157" s="8"/>
      <x:c r="P157" s="8" t="str">
        <x:v>C-es-core</x:v>
      </x:c>
      <x:c r="Q157" s="10" t="str">
        <x:v>https://naxos-carrentals.com/es</x:v>
      </x:c>
      <x:c r="R157" s="10" t="str">
        <x:v>PROPOSED URL</x:v>
      </x:c>
      <x:c r="S157" s="8" t="str">
        <x:v>INVESTIGATE</x:v>
      </x:c>
      <x:c r="T157" s="8" t="str">
        <x:v>OBSERVED</x:v>
      </x:c>
      <x:c r="U157" s="8" t="str">
        <x:v>VENDOR ESTIMATE</x:v>
      </x:c>
      <x:c r="V157" s="8" t="str">
        <x:v>Medium: vendor estimate</x:v>
      </x:c>
      <x:c r="W157" s="8" t="str">
        <x:v>kw-es</x:v>
      </x:c>
      <x:c r="X157" s="8"/>
      <x:c r="Y157" s="8" t="n">
        <x:v>46289.74378534722</x:v>
      </x:c>
      <x:c r="Z157" s="8" t="str">
        <x:v>No summed market demand. Meaningful query variants can overlap.</x:v>
      </x:c>
      <x:c r="AA157" s="12"/>
      <x:c r="AB157" s="10"/>
    </x:row>
    <x:row r="158" ht="48" customHeight="1">
      <x:c r="A158" s="9" t="str">
        <x:v>K154</x:v>
      </x:c>
      <x:c r="B158" s="9" t="str">
        <x:v>naxos alquiler coche</x:v>
      </x:c>
      <x:c r="C158" s="9" t="str">
        <x:v>naxos alquiler coche</x:v>
      </x:c>
      <x:c r="D158" s="9" t="str">
        <x:v>ES</x:v>
      </x:c>
      <x:c r="E158" s="9" t="str">
        <x:v>Spanish</x:v>
      </x:c>
      <x:c r="F158" s="9" t="str">
        <x:v>Google / Ahrefs</x:v>
      </x:c>
      <x:c r="G158" s="9" t="str">
        <x:v>Commercial / transactional</x:v>
      </x:c>
      <x:c r="H158" s="9" t="str">
        <x:v>Booking evaluation</x:v>
      </x:c>
      <x:c r="I158" s="13" t="n">
        <x:v>20</x:v>
      </x:c>
      <x:c r="J158" s="13"/>
      <x:c r="K158" s="13"/>
      <x:c r="L158" s="15"/>
      <x:c r="M158" s="9"/>
      <x:c r="N158" s="9"/>
      <x:c r="O158" s="9"/>
      <x:c r="P158" s="9" t="str">
        <x:v>C-es-core</x:v>
      </x:c>
      <x:c r="Q158" s="11" t="str">
        <x:v>https://naxos-carrentals.com/es</x:v>
      </x:c>
      <x:c r="R158" s="11" t="str">
        <x:v>PROPOSED URL</x:v>
      </x:c>
      <x:c r="S158" s="9" t="str">
        <x:v>INVESTIGATE</x:v>
      </x:c>
      <x:c r="T158" s="9" t="str">
        <x:v>OBSERVED</x:v>
      </x:c>
      <x:c r="U158" s="9" t="str">
        <x:v>VENDOR ESTIMATE</x:v>
      </x:c>
      <x:c r="V158" s="9" t="str">
        <x:v>Medium: vendor estimate</x:v>
      </x:c>
      <x:c r="W158" s="9" t="str">
        <x:v>kw-es</x:v>
      </x:c>
      <x:c r="X158" s="9"/>
      <x:c r="Y158" s="9" t="n">
        <x:v>46289.74378534722</x:v>
      </x:c>
      <x:c r="Z158" s="9" t="str">
        <x:v>No summed market demand. Meaningful query variants can overlap.</x:v>
      </x:c>
      <x:c r="AA158" s="13"/>
      <x:c r="AB158" s="11"/>
    </x:row>
    <x:row r="159" ht="48" customHeight="1">
      <x:c r="A159" s="8" t="str">
        <x:v>K155</x:v>
      </x:c>
      <x:c r="B159" s="8" t="str">
        <x:v>alquiler coches naxos</x:v>
      </x:c>
      <x:c r="C159" s="8" t="str">
        <x:v>alquiler coches naxos</x:v>
      </x:c>
      <x:c r="D159" s="8" t="str">
        <x:v>ES</x:v>
      </x:c>
      <x:c r="E159" s="8" t="str">
        <x:v>Spanish</x:v>
      </x:c>
      <x:c r="F159" s="8" t="str">
        <x:v>Google / Ahrefs</x:v>
      </x:c>
      <x:c r="G159" s="8" t="str">
        <x:v>Commercial / transactional</x:v>
      </x:c>
      <x:c r="H159" s="8" t="str">
        <x:v>Booking evaluation</x:v>
      </x:c>
      <x:c r="I159" s="12" t="n">
        <x:v>40</x:v>
      </x:c>
      <x:c r="J159" s="12" t="n">
        <x:v>0</x:v>
      </x:c>
      <x:c r="K159" s="12"/>
      <x:c r="L159" s="14"/>
      <x:c r="M159" s="8"/>
      <x:c r="N159" s="8" t="str">
        <x:v>alquiler coche naxos</x:v>
      </x:c>
      <x:c r="O159" s="8"/>
      <x:c r="P159" s="8" t="str">
        <x:v>C-es-core</x:v>
      </x:c>
      <x:c r="Q159" s="10" t="str">
        <x:v>https://naxos-carrentals.com/es</x:v>
      </x:c>
      <x:c r="R159" s="10" t="str">
        <x:v>PROPOSED URL</x:v>
      </x:c>
      <x:c r="S159" s="8" t="str">
        <x:v>INVESTIGATE</x:v>
      </x:c>
      <x:c r="T159" s="8" t="str">
        <x:v>OBSERVED</x:v>
      </x:c>
      <x:c r="U159" s="8" t="str">
        <x:v>VENDOR ESTIMATE</x:v>
      </x:c>
      <x:c r="V159" s="8" t="str">
        <x:v>Medium: vendor estimate</x:v>
      </x:c>
      <x:c r="W159" s="8" t="str">
        <x:v>kw-es</x:v>
      </x:c>
      <x:c r="X159" s="8"/>
      <x:c r="Y159" s="8" t="n">
        <x:v>46289.74378534722</x:v>
      </x:c>
      <x:c r="Z159" s="8" t="str">
        <x:v>No summed market demand. Meaningful query variants can overlap.</x:v>
      </x:c>
      <x:c r="AA159" s="12"/>
      <x:c r="AB159" s="10"/>
    </x:row>
    <x:row r="160" ht="48" customHeight="1">
      <x:c r="A160" s="9" t="str">
        <x:v>K156</x:v>
      </x:c>
      <x:c r="B160" s="9" t="str">
        <x:v>ναξος ενοικιαση αυτοκινητου</x:v>
      </x:c>
      <x:c r="C160" s="9" t="str">
        <x:v>ναξος ενοικιαση αυτοκινητου</x:v>
      </x:c>
      <x:c r="D160" s="9" t="str">
        <x:v>GR</x:v>
      </x:c>
      <x:c r="E160" s="9" t="str">
        <x:v>Greek</x:v>
      </x:c>
      <x:c r="F160" s="9" t="str">
        <x:v>Google / Ahrefs</x:v>
      </x:c>
      <x:c r="G160" s="9" t="str">
        <x:v>Commercial / transactional</x:v>
      </x:c>
      <x:c r="H160" s="9" t="str">
        <x:v>Booking evaluation</x:v>
      </x:c>
      <x:c r="I160" s="13" t="n">
        <x:v>70</x:v>
      </x:c>
      <x:c r="J160" s="13" t="n">
        <x:v>0</x:v>
      </x:c>
      <x:c r="K160" s="13"/>
      <x:c r="L160" s="15"/>
      <x:c r="M160" s="9"/>
      <x:c r="N160" s="9" t="str">
        <x:v>naxos rent a car</x:v>
      </x:c>
      <x:c r="O160" s="9"/>
      <x:c r="P160" s="9" t="str">
        <x:v>C-el-core</x:v>
      </x:c>
      <x:c r="Q160" s="11" t="str">
        <x:v>https://naxos-carrentals.com/el</x:v>
      </x:c>
      <x:c r="R160" s="11" t="str">
        <x:v>EXISTING</x:v>
      </x:c>
      <x:c r="S160" s="9" t="str">
        <x:v>OPTIMIZE</x:v>
      </x:c>
      <x:c r="T160" s="9" t="str">
        <x:v>OBSERVED</x:v>
      </x:c>
      <x:c r="U160" s="9" t="str">
        <x:v>VENDOR ESTIMATE</x:v>
      </x:c>
      <x:c r="V160" s="9" t="str">
        <x:v>Medium: vendor estimate</x:v>
      </x:c>
      <x:c r="W160" s="9" t="str">
        <x:v>kw-el-enrich</x:v>
      </x:c>
      <x:c r="X160" s="9" t="n">
        <x:v>46285.46616898148</x:v>
      </x:c>
      <x:c r="Y160" s="9" t="n">
        <x:v>46289.744375173614</x:v>
      </x:c>
      <x:c r="Z160" s="9" t="str">
        <x:v>No summed market demand. Meaningful query variants can overlap.</x:v>
      </x:c>
      <x:c r="AA160" s="13"/>
      <x:c r="AB160" s="11"/>
    </x:row>
    <x:row r="161" ht="48" customHeight="1">
      <x:c r="A161" s="8" t="str">
        <x:v>K157</x:v>
      </x:c>
      <x:c r="B161" s="8" t="str">
        <x:v>ενοικιαση αυτοκινητου ναξοσ</x:v>
      </x:c>
      <x:c r="C161" s="8" t="str">
        <x:v>ενοικιαση αυτοκινητου ναξοσ</x:v>
      </x:c>
      <x:c r="D161" s="8" t="str">
        <x:v>GR</x:v>
      </x:c>
      <x:c r="E161" s="8" t="str">
        <x:v>Greek</x:v>
      </x:c>
      <x:c r="F161" s="8" t="str">
        <x:v>Google / Ahrefs</x:v>
      </x:c>
      <x:c r="G161" s="8" t="str">
        <x:v>Commercial / transactional</x:v>
      </x:c>
      <x:c r="H161" s="8" t="str">
        <x:v>Booking evaluation</x:v>
      </x:c>
      <x:c r="I161" s="12" t="n">
        <x:v>250</x:v>
      </x:c>
      <x:c r="J161" s="12" t="n">
        <x:v>0</x:v>
      </x:c>
      <x:c r="K161" s="12"/>
      <x:c r="L161" s="14" t="n">
        <x:v>0.4</x:v>
      </x:c>
      <x:c r="M161" s="8" t="str">
        <x:v>USD</x:v>
      </x:c>
      <x:c r="N161" s="8" t="str">
        <x:v>ενοικιαση αυτοκινητου ναξος</x:v>
      </x:c>
      <x:c r="O161" s="8"/>
      <x:c r="P161" s="8" t="str">
        <x:v>C-el-core</x:v>
      </x:c>
      <x:c r="Q161" s="10" t="str">
        <x:v>https://naxos-carrentals.com/el</x:v>
      </x:c>
      <x:c r="R161" s="10" t="str">
        <x:v>EXISTING</x:v>
      </x:c>
      <x:c r="S161" s="8" t="str">
        <x:v>OPTIMIZE</x:v>
      </x:c>
      <x:c r="T161" s="8" t="str">
        <x:v>OBSERVED</x:v>
      </x:c>
      <x:c r="U161" s="8" t="str">
        <x:v>VENDOR ESTIMATE</x:v>
      </x:c>
      <x:c r="V161" s="8" t="str">
        <x:v>Medium: vendor estimate</x:v>
      </x:c>
      <x:c r="W161" s="8" t="str">
        <x:v>kw-el-enrich</x:v>
      </x:c>
      <x:c r="X161" s="8" t="n">
        <x:v>46274.26965277778</x:v>
      </x:c>
      <x:c r="Y161" s="8" t="n">
        <x:v>46289.744375173614</x:v>
      </x:c>
      <x:c r="Z161" s="8" t="str">
        <x:v>No summed market demand. Meaningful query variants can overlap.</x:v>
      </x:c>
      <x:c r="AA161" s="12"/>
      <x:c r="AB161" s="10"/>
    </x:row>
    <x:row r="162" ht="48" customHeight="1">
      <x:c r="A162" s="9" t="str">
        <x:v>K158</x:v>
      </x:c>
      <x:c r="B162" s="9" t="str">
        <x:v>ενοικιαση αυτοκινητου ναξος αεροδρομιο</x:v>
      </x:c>
      <x:c r="C162" s="9" t="str">
        <x:v>ενοικιαση αυτοκινητου ναξος αεροδρομιο</x:v>
      </x:c>
      <x:c r="D162" s="9" t="str">
        <x:v>GR</x:v>
      </x:c>
      <x:c r="E162" s="9" t="str">
        <x:v>Greek</x:v>
      </x:c>
      <x:c r="F162" s="9" t="str">
        <x:v>Google / Ahrefs</x:v>
      </x:c>
      <x:c r="G162" s="9" t="str">
        <x:v>Commercial / transactional</x:v>
      </x:c>
      <x:c r="H162" s="9" t="str">
        <x:v>Booking evaluation</x:v>
      </x:c>
      <x:c r="I162" s="13" t="n">
        <x:v>0</x:v>
      </x:c>
      <x:c r="J162" s="13"/>
      <x:c r="K162" s="13"/>
      <x:c r="L162" s="15"/>
      <x:c r="M162" s="9"/>
      <x:c r="N162" s="9"/>
      <x:c r="O162" s="9"/>
      <x:c r="P162" s="9" t="str">
        <x:v>C-el-airport</x:v>
      </x:c>
      <x:c r="Q162" s="11" t="str">
        <x:v>https://naxos-carrentals.com/el/locations/airport-pickup</x:v>
      </x:c>
      <x:c r="R162" s="11" t="str">
        <x:v>EXISTING</x:v>
      </x:c>
      <x:c r="S162" s="9" t="str">
        <x:v>OPTIMIZE</x:v>
      </x:c>
      <x:c r="T162" s="9" t="str">
        <x:v>OBSERVED</x:v>
      </x:c>
      <x:c r="U162" s="9" t="str">
        <x:v>VENDOR ESTIMATE</x:v>
      </x:c>
      <x:c r="V162" s="9" t="str">
        <x:v>Medium: vendor estimate</x:v>
      </x:c>
      <x:c r="W162" s="9" t="str">
        <x:v>kw-el-enrich</x:v>
      </x:c>
      <x:c r="X162" s="9"/>
      <x:c r="Y162" s="9" t="n">
        <x:v>46289.744375173614</x:v>
      </x:c>
      <x:c r="Z162" s="9" t="str">
        <x:v>No summed market demand. Meaningful query variants can overlap.</x:v>
      </x:c>
      <x:c r="AA162" s="13"/>
      <x:c r="AB162" s="11"/>
    </x:row>
    <x:row r="163" ht="48" customHeight="1">
      <x:c r="A163" s="8" t="str">
        <x:v>K159</x:v>
      </x:c>
      <x:c r="B163" s="8" t="str">
        <x:v>ενοικιαζομενα αυτοκινητα ναξος</x:v>
      </x:c>
      <x:c r="C163" s="8" t="str">
        <x:v>ενοικιαζομενα αυτοκινητα ναξος</x:v>
      </x:c>
      <x:c r="D163" s="8" t="str">
        <x:v>GR</x:v>
      </x:c>
      <x:c r="E163" s="8" t="str">
        <x:v>Greek</x:v>
      </x:c>
      <x:c r="F163" s="8" t="str">
        <x:v>Google / Ahrefs</x:v>
      </x:c>
      <x:c r="G163" s="8" t="str">
        <x:v>Commercial / transactional</x:v>
      </x:c>
      <x:c r="H163" s="8" t="str">
        <x:v>Booking evaluation</x:v>
      </x:c>
      <x:c r="I163" s="12" t="n">
        <x:v>90</x:v>
      </x:c>
      <x:c r="J163" s="12" t="n">
        <x:v>0</x:v>
      </x:c>
      <x:c r="K163" s="12"/>
      <x:c r="L163" s="14"/>
      <x:c r="M163" s="8"/>
      <x:c r="N163" s="8" t="str">
        <x:v>rent a car naxos</x:v>
      </x:c>
      <x:c r="O163" s="8"/>
      <x:c r="P163" s="8" t="str">
        <x:v>C-el-core</x:v>
      </x:c>
      <x:c r="Q163" s="10" t="str">
        <x:v>https://naxos-carrentals.com/el</x:v>
      </x:c>
      <x:c r="R163" s="10" t="str">
        <x:v>EXISTING</x:v>
      </x:c>
      <x:c r="S163" s="8" t="str">
        <x:v>OPTIMIZE</x:v>
      </x:c>
      <x:c r="T163" s="8" t="str">
        <x:v>OBSERVED</x:v>
      </x:c>
      <x:c r="U163" s="8" t="str">
        <x:v>VENDOR ESTIMATE</x:v>
      </x:c>
      <x:c r="V163" s="8" t="str">
        <x:v>Medium: vendor estimate</x:v>
      </x:c>
      <x:c r="W163" s="8" t="str">
        <x:v>kw-el-enrich</x:v>
      </x:c>
      <x:c r="X163" s="8" t="n">
        <x:v>46272.92851851852</x:v>
      </x:c>
      <x:c r="Y163" s="8" t="n">
        <x:v>46289.744375173614</x:v>
      </x:c>
      <x:c r="Z163" s="8" t="str">
        <x:v>No summed market demand. Meaningful query variants can overlap.</x:v>
      </x:c>
      <x:c r="AA163" s="12"/>
      <x:c r="AB163" s="10"/>
    </x:row>
    <x:row r="164" ht="48" customHeight="1">
      <x:c r="A164" s="9" t="str">
        <x:v>K160</x:v>
      </x:c>
      <x:c r="B164" s="9" t="str">
        <x:v>rent a car naxos</x:v>
      </x:c>
      <x:c r="C164" s="9" t="str">
        <x:v>rent a car naxos</x:v>
      </x:c>
      <x:c r="D164" s="9" t="str">
        <x:v>GR</x:v>
      </x:c>
      <x:c r="E164" s="9" t="str">
        <x:v>English</x:v>
      </x:c>
      <x:c r="F164" s="9" t="str">
        <x:v>Google / Ahrefs</x:v>
      </x:c>
      <x:c r="G164" s="9" t="str">
        <x:v>Commercial / transactional</x:v>
      </x:c>
      <x:c r="H164" s="9" t="str">
        <x:v>Booking evaluation</x:v>
      </x:c>
      <x:c r="I164" s="13" t="n">
        <x:v>500</x:v>
      </x:c>
      <x:c r="J164" s="13" t="n">
        <x:v>52</x:v>
      </x:c>
      <x:c r="K164" s="13"/>
      <x:c r="L164" s="15" t="n">
        <x:v>0.5</x:v>
      </x:c>
      <x:c r="M164" s="9" t="str">
        <x:v>USD</x:v>
      </x:c>
      <x:c r="N164" s="9" t="str">
        <x:v>ενοικιαση αυτοκινητου ναξος</x:v>
      </x:c>
      <x:c r="O164" s="9"/>
      <x:c r="P164" s="9" t="str">
        <x:v>C-en-core</x:v>
      </x:c>
      <x:c r="Q164" s="11" t="str">
        <x:v>https://naxos-carrentals.com/en</x:v>
      </x:c>
      <x:c r="R164" s="11" t="str">
        <x:v>EXISTING</x:v>
      </x:c>
      <x:c r="S164" s="9" t="str">
        <x:v>OPTIMIZE</x:v>
      </x:c>
      <x:c r="T164" s="9" t="str">
        <x:v>OBSERVED</x:v>
      </x:c>
      <x:c r="U164" s="9" t="str">
        <x:v>VENDOR ESTIMATE</x:v>
      </x:c>
      <x:c r="V164" s="9" t="str">
        <x:v>Medium: vendor estimate</x:v>
      </x:c>
      <x:c r="W164" s="9" t="str">
        <x:v>kw-el-enrich</x:v>
      </x:c>
      <x:c r="X164" s="9" t="n">
        <x:v>46276.690416666665</x:v>
      </x:c>
      <x:c r="Y164" s="9" t="n">
        <x:v>46289.744375173614</x:v>
      </x:c>
      <x:c r="Z164" s="9" t="str">
        <x:v>No summed market demand. Meaningful query variants can overlap.</x:v>
      </x:c>
      <x:c r="AA164" s="13"/>
      <x:c r="AB164" s="11"/>
    </x:row>
    <x:row r="165" ht="48" customHeight="1">
      <x:c r="A165" s="8" t="str">
        <x:v>K161</x:v>
      </x:c>
      <x:c r="B165" s="8" t="str">
        <x:v>ενοικιαση αυτοκινητου ναξος τιμες</x:v>
      </x:c>
      <x:c r="C165" s="8" t="str">
        <x:v>ενοικιαση αυτοκινητου ναξος τιμες</x:v>
      </x:c>
      <x:c r="D165" s="8" t="str">
        <x:v>GR</x:v>
      </x:c>
      <x:c r="E165" s="8" t="str">
        <x:v>Greek</x:v>
      </x:c>
      <x:c r="F165" s="8" t="str">
        <x:v>Google / Ahrefs</x:v>
      </x:c>
      <x:c r="G165" s="8" t="str">
        <x:v>Commercial / transactional</x:v>
      </x:c>
      <x:c r="H165" s="8" t="str">
        <x:v>Booking evaluation</x:v>
      </x:c>
      <x:c r="I165" s="12" t="n">
        <x:v>0</x:v>
      </x:c>
      <x:c r="J165" s="12"/>
      <x:c r="K165" s="12"/>
      <x:c r="L165" s="14"/>
      <x:c r="M165" s="8"/>
      <x:c r="N165" s="8"/>
      <x:c r="O165" s="8"/>
      <x:c r="P165" s="8" t="str">
        <x:v>C-el-pricing</x:v>
      </x:c>
      <x:c r="Q165" s="10" t="str">
        <x:v>https://naxos-carrentals.com/el/pricing</x:v>
      </x:c>
      <x:c r="R165" s="10" t="str">
        <x:v>EXISTING</x:v>
      </x:c>
      <x:c r="S165" s="8" t="str">
        <x:v>OPTIMIZE</x:v>
      </x:c>
      <x:c r="T165" s="8" t="str">
        <x:v>OBSERVED</x:v>
      </x:c>
      <x:c r="U165" s="8" t="str">
        <x:v>VENDOR ESTIMATE</x:v>
      </x:c>
      <x:c r="V165" s="8" t="str">
        <x:v>Medium: vendor estimate</x:v>
      </x:c>
      <x:c r="W165" s="8" t="str">
        <x:v>kw-el-enrich</x:v>
      </x:c>
      <x:c r="X165" s="8"/>
      <x:c r="Y165" s="8" t="n">
        <x:v>46289.744375173614</x:v>
      </x:c>
      <x:c r="Z165" s="8" t="str">
        <x:v>No summed market demand. Meaningful query variants can overlap.</x:v>
      </x:c>
      <x:c r="AA165" s="12"/>
      <x:c r="AB165" s="10"/>
    </x:row>
    <x:row r="166" ht="48" customHeight="1">
      <x:c r="A166" s="9" t="str">
        <x:v>K162</x:v>
      </x:c>
      <x:c r="B166" s="9" t="str">
        <x:v>cheap car hire naxos</x:v>
      </x:c>
      <x:c r="C166" s="9" t="str">
        <x:v>cheap car hire naxos</x:v>
      </x:c>
      <x:c r="D166" s="9" t="str">
        <x:v>GB</x:v>
      </x:c>
      <x:c r="E166" s="9" t="str">
        <x:v>English</x:v>
      </x:c>
      <x:c r="F166" s="9" t="str">
        <x:v>Google / Ahrefs</x:v>
      </x:c>
      <x:c r="G166" s="9" t="str">
        <x:v>Commercial / transactional</x:v>
      </x:c>
      <x:c r="H166" s="9" t="str">
        <x:v>Booking evaluation</x:v>
      </x:c>
      <x:c r="I166" s="13" t="n">
        <x:v>10</x:v>
      </x:c>
      <x:c r="J166" s="13"/>
      <x:c r="K166" s="13"/>
      <x:c r="L166" s="15" t="n">
        <x:v>1.4</x:v>
      </x:c>
      <x:c r="M166" s="9" t="str">
        <x:v>USD</x:v>
      </x:c>
      <x:c r="N166" s="9"/>
      <x:c r="O166" s="9"/>
      <x:c r="P166" s="9" t="str">
        <x:v>C-en-pricing</x:v>
      </x:c>
      <x:c r="Q166" s="11" t="str">
        <x:v>https://naxos-carrentals.com/en/pricing</x:v>
      </x:c>
      <x:c r="R166" s="11" t="str">
        <x:v>EXISTING</x:v>
      </x:c>
      <x:c r="S166" s="9" t="str">
        <x:v>OPTIMIZE</x:v>
      </x:c>
      <x:c r="T166" s="9" t="str">
        <x:v>OBSERVED</x:v>
      </x:c>
      <x:c r="U166" s="9" t="str">
        <x:v>VENDOR ESTIMATE</x:v>
      </x:c>
      <x:c r="V166" s="9" t="str">
        <x:v>Medium: vendor estimate</x:v>
      </x:c>
      <x:c r="W166" s="9" t="str">
        <x:v>kw-en-enrich</x:v>
      </x:c>
      <x:c r="X166" s="9"/>
      <x:c r="Y166" s="9" t="n">
        <x:v>46289.74437518518</x:v>
      </x:c>
      <x:c r="Z166" s="9" t="str">
        <x:v>No summed market demand. Meaningful query variants can overlap.</x:v>
      </x:c>
      <x:c r="AA166" s="13"/>
      <x:c r="AB166" s="11"/>
    </x:row>
  </x:sheetData>
  <x:mergeCells>
    <x:mergeCell ref="A1:E1"/>
    <x:mergeCell ref="A2:F2"/>
  </x:mergeCells>
  <x:conditionalFormatting sqref="R5:R166">
    <x:cfRule type="containsText" dxfId="0" priority="1" operator="containsText" text="UNAVAILABLE"/>
  </x:conditionalFormatting>
  <x:conditionalFormatting sqref="T5:T166">
    <x:cfRule type="containsText" dxfId="1" priority="2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8e16195cc1174f9d"/>
  </x:tableParts>
</x:worksheet>
</file>

<file path=xl/worksheets/sheet4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38" hidden="0" customWidth="1"/>
    <x:col min="5" max="5" width="65" hidden="0" customWidth="1"/>
    <x:col min="6" max="6" width="20" hidden="0" customWidth="1"/>
    <x:col min="7" max="7" width="22" hidden="0" customWidth="1"/>
    <x:col min="8" max="8" width="38" hidden="0" customWidth="1"/>
    <x:col min="9" max="9" width="45" hidden="0" customWidth="1"/>
    <x:col min="10" max="10" width="80" hidden="0" customWidth="1"/>
    <x:col min="11" max="11" width="32" hidden="0" customWidth="1"/>
    <x:col min="12" max="12" width="65" hidden="0" customWidth="1"/>
    <x:col min="13" max="13" width="65" hidden="0" customWidth="1"/>
    <x:col min="14" max="14" width="65" hidden="0" customWidth="1"/>
    <x:col min="15" max="15" width="40" hidden="0" customWidth="1"/>
    <x:col min="16" max="16" width="20" hidden="0" customWidth="1"/>
    <x:col min="17" max="17" width="45" hidden="0" customWidth="1"/>
  </x:cols>
  <x:sheetData>
    <x:row r="1" ht="34" customHeight="1">
      <x:c r="A1" s="4" t="str">
        <x:v>Clusters &amp; Page Map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44" customHeight="1">
      <x:c r="A2" s="5" t="str">
        <x:v>One owner per intent and language. Shared English serves GB and US. Existing routes are in the local route inventory; sampled live routes were separately checked.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42" customHeight="1">
      <x:c r="A4" s="7" t="str">
        <x:v>Cluster ID</x:v>
      </x:c>
      <x:c r="B4" s="7" t="str">
        <x:v>Language</x:v>
      </x:c>
      <x:c r="C4" s="7" t="str">
        <x:v>Markets</x:v>
      </x:c>
      <x:c r="D4" s="7" t="str">
        <x:v>User task</x:v>
      </x:c>
      <x:c r="E4" s="7" t="str">
        <x:v>Owner URL</x:v>
      </x:c>
      <x:c r="F4" s="7" t="str">
        <x:v>URL status</x:v>
      </x:c>
      <x:c r="G4" s="7" t="str">
        <x:v>Action</x:v>
      </x:c>
      <x:c r="H4" s="7" t="str">
        <x:v>Primary keyword</x:v>
      </x:c>
      <x:c r="I4" s="7" t="str">
        <x:v>Keyword IDs</x:v>
      </x:c>
      <x:c r="J4" s="7" t="str">
        <x:v>Supporting terms</x:v>
      </x:c>
      <x:c r="K4" s="7" t="str">
        <x:v>Page type</x:v>
      </x:c>
      <x:c r="L4" s="7" t="str">
        <x:v>Owner rationale</x:v>
      </x:c>
      <x:c r="M4" s="7" t="str">
        <x:v>Overlap decision</x:v>
      </x:c>
      <x:c r="N4" s="7" t="str">
        <x:v>Original evidence needed</x:v>
      </x:c>
      <x:c r="O4" s="7" t="str">
        <x:v>Source IDs</x:v>
      </x:c>
      <x:c r="P4" s="7" t="str">
        <x:v>Evidence status</x:v>
      </x:c>
      <x:c r="Q4" s="7" t="str">
        <x:v>Limitations</x:v>
      </x:c>
    </x:row>
    <x:row r="5" ht="54" customHeight="1">
      <x:c r="A5" s="8" t="str">
        <x:v>C-de-core</x:v>
      </x:c>
      <x:c r="B5" s="8" t="str">
        <x:v>German</x:v>
      </x:c>
      <x:c r="C5" s="8" t="str">
        <x:v>DE</x:v>
      </x:c>
      <x:c r="D5" s="8" t="str">
        <x:v>Choose and book a car</x:v>
      </x:c>
      <x:c r="E5" s="10" t="str">
        <x:v>https://naxos-carrentals.com/de</x:v>
      </x:c>
      <x:c r="F5" s="10" t="str">
        <x:v>EXISTING</x:v>
      </x:c>
      <x:c r="G5" s="8" t="str">
        <x:v>OPTIMIZE</x:v>
      </x:c>
      <x:c r="H5" s="8" t="str">
        <x:v>mietwagen naxos</x:v>
      </x:c>
      <x:c r="I5" s="8" t="str">
        <x:v>K019, K020, K125, K126, K127, K128, K130, K134, K136, K139, K140</x:v>
      </x:c>
      <x:c r="J5" s="8" t="str">
        <x:v>auto mieten naxos; mietwagen naxos; naxos mietwagen; naxos auto mieten; mieten sie ein auto in naxos; naxos auto; mietwagen auf naxos; auto naxos; auto mieten naxos griechenland; auto naxos mieten; mietwagen naxos griechenland</x:v>
      </x:c>
      <x:c r="K5" s="8" t="str">
        <x:v>Homepage</x:v>
      </x:c>
      <x:c r="L5" s="8" t="str">
        <x:v>Homepage owns general rental intent. Fleet page owns vehicle comparison.</x:v>
      </x:c>
      <x:c r="M5" s="8" t="str">
        <x:v>Avoid duplicating homepage in /fleet/cars or creating rent-a-car/car-hire aliases.</x:v>
      </x:c>
      <x:c r="N5" s="8" t="str">
        <x:v>Named local expertise, current terms and transparent booking</x:v>
      </x:c>
      <x:c r="O5" s="8" t="str">
        <x:v>kw-de, discover-de</x:v>
      </x:c>
      <x:c r="P5" s="8" t="str">
        <x:v>INFERRED</x:v>
      </x:c>
      <x:c r="Q5" s="8" t="str">
        <x:v>Google vendor data; no Bing SERP validation</x:v>
      </x:c>
    </x:row>
    <x:row r="6" ht="110" customHeight="1">
      <x:c r="A6" s="9" t="str">
        <x:v>C-fr-core</x:v>
      </x:c>
      <x:c r="B6" s="9" t="str">
        <x:v>French</x:v>
      </x:c>
      <x:c r="C6" s="9" t="str">
        <x:v>FR</x:v>
      </x:c>
      <x:c r="D6" s="9" t="str">
        <x:v>Choose and book a car</x:v>
      </x:c>
      <x:c r="E6" s="11" t="str">
        <x:v>https://naxos-carrentals.com/fr</x:v>
      </x:c>
      <x:c r="F6" s="11" t="str">
        <x:v>EXISTING</x:v>
      </x:c>
      <x:c r="G6" s="9" t="str">
        <x:v>OPTIMIZE</x:v>
      </x:c>
      <x:c r="H6" s="9" t="str">
        <x:v>location voiture naxos</x:v>
      </x:c>
      <x:c r="I6" s="9" t="str">
        <x:v>K002, K064, K066, K067, K068, K070, K072, K073, K075, K076, K078, K079, K082, K083, K084, K089, K092, K098, K099, K100</x:v>
      </x:c>
      <x:c r="J6" s="9" t="str">
        <x:v>location voiture naxos; location de voiture naxos; louer voiture naxos; naxos location voiture; location de voiture à naxos; naxos louer une voiture; louer une voiture naxos; voiture location naxos; voiture naxos; naxos location de voiture; location voiture naxos greece; location naxos voiture; naxos voiture; comment louer une voiture a naxos; location voiture a naxos; location voiture à naxos; location de voiture naxos grece; louer une voiture a naxos; louer voiture ile de naxos; louer une voiture à naxos</x:v>
      </x:c>
      <x:c r="K6" s="9" t="str">
        <x:v>Homepage</x:v>
      </x:c>
      <x:c r="L6" s="9" t="str">
        <x:v>Homepage owns general rental intent. Fleet page owns vehicle comparison.</x:v>
      </x:c>
      <x:c r="M6" s="9" t="str">
        <x:v>Avoid duplicating homepage in /fleet/cars or creating rent-a-car/car-hire aliases.</x:v>
      </x:c>
      <x:c r="N6" s="9" t="str">
        <x:v>Named local expertise, current terms and transparent booking</x:v>
      </x:c>
      <x:c r="O6" s="9" t="str">
        <x:v>kw-fr, discover-fr</x:v>
      </x:c>
      <x:c r="P6" s="9" t="str">
        <x:v>INFERRED</x:v>
      </x:c>
      <x:c r="Q6" s="9" t="str">
        <x:v>Google vendor data; no Bing SERP validation</x:v>
      </x:c>
    </x:row>
    <x:row r="7" ht="68" customHeight="1">
      <x:c r="A7" s="8" t="str">
        <x:v>C-el-core</x:v>
      </x:c>
      <x:c r="B7" s="8" t="str">
        <x:v>Greek</x:v>
      </x:c>
      <x:c r="C7" s="8" t="str">
        <x:v>GR</x:v>
      </x:c>
      <x:c r="D7" s="8" t="str">
        <x:v>Choose and book a car</x:v>
      </x:c>
      <x:c r="E7" s="10" t="str">
        <x:v>https://naxos-carrentals.com/el</x:v>
      </x:c>
      <x:c r="F7" s="10" t="str">
        <x:v>EXISTING</x:v>
      </x:c>
      <x:c r="G7" s="8" t="str">
        <x:v>OPTIMIZE</x:v>
      </x:c>
      <x:c r="H7" s="8" t="str">
        <x:v>ενοικιαση αυτοκινητου ναξος</x:v>
      </x:c>
      <x:c r="I7" s="8" t="str">
        <x:v>K004, K006, K007, K024, K025, K026, K027, K030, K156, K157, K159</x:v>
      </x:c>
      <x:c r="J7" s="8" t="str">
        <x:v>ενοικιαζόμενα αυτοκίνητα νάξος; ενοικιαση αυτοκινητου ναξος; ενοικίαση αυτοκινήτου νάξος; ναξος χωρις αυτοκινητο; ναξος αυτοκινητο; ναξος ενοικιαση αυτοκινητο; ενοικιαση αυτοκινητο ναξος; αυτοκινητο ναξος; ναξος ενοικιαση αυτοκινητου; ενοικιαση αυτοκινητου ναξοσ; ενοικιαζομενα αυτοκινητα ναξος</x:v>
      </x:c>
      <x:c r="K7" s="8" t="str">
        <x:v>Homepage</x:v>
      </x:c>
      <x:c r="L7" s="8" t="str">
        <x:v>Homepage owns general rental intent. Fleet page owns vehicle comparison.</x:v>
      </x:c>
      <x:c r="M7" s="8" t="str">
        <x:v>Avoid duplicating homepage in /fleet/cars or creating rent-a-car/car-hire aliases.</x:v>
      </x:c>
      <x:c r="N7" s="8" t="str">
        <x:v>Named local expertise, current terms and transparent booking</x:v>
      </x:c>
      <x:c r="O7" s="8" t="str">
        <x:v>kw-gr</x:v>
      </x:c>
      <x:c r="P7" s="8" t="str">
        <x:v>INFERRED</x:v>
      </x:c>
      <x:c r="Q7" s="8" t="str">
        <x:v>Google vendor data; no Bing SERP validation</x:v>
      </x:c>
    </x:row>
    <x:row r="8" ht="68" customHeight="1">
      <x:c r="A8" s="9" t="str">
        <x:v>C-it-core</x:v>
      </x:c>
      <x:c r="B8" s="9" t="str">
        <x:v>Italian</x:v>
      </x:c>
      <x:c r="C8" s="9" t="str">
        <x:v>IT</x:v>
      </x:c>
      <x:c r="D8" s="9" t="str">
        <x:v>Choose and book a car</x:v>
      </x:c>
      <x:c r="E8" s="11" t="str">
        <x:v>https://naxos-carrentals.com/it</x:v>
      </x:c>
      <x:c r="F8" s="11" t="str">
        <x:v>EXISTING</x:v>
      </x:c>
      <x:c r="G8" s="9" t="str">
        <x:v>OPTIMIZE</x:v>
      </x:c>
      <x:c r="H8" s="9" t="str">
        <x:v>noleggio auto naxos</x:v>
      </x:c>
      <x:c r="I8" s="9" t="str">
        <x:v>K009, K010, K102, K104, K106, K108, K109, K110, K111, K116, K120</x:v>
      </x:c>
      <x:c r="J8" s="9" t="str">
        <x:v>naxos autonoleggio; noleggio auto naxos; naxos noleggio auto; noleggio auto a naxos; affitto auto naxos; noleggio auto a naxos grecia; auto noleggio naxos; noleggio auto naxos grecia; auto naxos; nolegggio auto naxos; naxos affitto auto</x:v>
      </x:c>
      <x:c r="K8" s="9" t="str">
        <x:v>Homepage</x:v>
      </x:c>
      <x:c r="L8" s="9" t="str">
        <x:v>Homepage owns general rental intent. Fleet page owns vehicle comparison.</x:v>
      </x:c>
      <x:c r="M8" s="9" t="str">
        <x:v>Avoid duplicating homepage in /fleet/cars or creating rent-a-car/car-hire aliases.</x:v>
      </x:c>
      <x:c r="N8" s="9" t="str">
        <x:v>Named local expertise, current terms and transparent booking</x:v>
      </x:c>
      <x:c r="O8" s="9" t="str">
        <x:v>kw-it, discover-it</x:v>
      </x:c>
      <x:c r="P8" s="9" t="str">
        <x:v>INFERRED</x:v>
      </x:c>
      <x:c r="Q8" s="9" t="str">
        <x:v>Google vendor data; no Bing SERP validation</x:v>
      </x:c>
    </x:row>
    <x:row r="9" ht="54" customHeight="1">
      <x:c r="A9" s="8" t="str">
        <x:v>C-fr-port</x:v>
      </x:c>
      <x:c r="B9" s="8" t="str">
        <x:v>French</x:v>
      </x:c>
      <x:c r="C9" s="8" t="str">
        <x:v>FR</x:v>
      </x:c>
      <x:c r="D9" s="8" t="str">
        <x:v>Collect after arriving by ferry</x:v>
      </x:c>
      <x:c r="E9" s="10" t="str">
        <x:v>https://naxos-carrentals.com/fr/locations/port-pickup</x:v>
      </x:c>
      <x:c r="F9" s="10" t="str">
        <x:v>EXISTING</x:v>
      </x:c>
      <x:c r="G9" s="8" t="str">
        <x:v>OPTIMIZE</x:v>
      </x:c>
      <x:c r="H9" s="8" t="str">
        <x:v>location voiture naxos port</x:v>
      </x:c>
      <x:c r="I9" s="8" t="str">
        <x:v>K001, K069, K071, K074, K093</x:v>
      </x:c>
      <x:c r="J9" s="8" t="str">
        <x:v>location voiture naxos port; location voiture port naxos; location de voiture naxos port; location voiture port de naxos; louer une voiture au port de naxos</x:v>
      </x:c>
      <x:c r="K9" s="8" t="str">
        <x:v>Focused commercial / service page</x:v>
      </x:c>
      <x:c r="L9" s="8" t="str">
        <x:v>Existing focused route serves a distinct decision. Keep spelling and long-tail variations on the same owner.</x:v>
      </x:c>
      <x:c r="M9" s="8" t="str">
        <x:v>Do not create a page per variant. No harmful cannibalization proven from present data.</x:v>
      </x:c>
      <x:c r="N9" s="8" t="str">
        <x:v>Dated meeting-point photos, map, real arrival and delay process</x:v>
      </x:c>
      <x:c r="O9" s="8" t="str">
        <x:v>kw-fr, discover-fr</x:v>
      </x:c>
      <x:c r="P9" s="8" t="str">
        <x:v>INFERRED</x:v>
      </x:c>
      <x:c r="Q9" s="8" t="str">
        <x:v>Google vendor data; no Bing SERP validation</x:v>
      </x:c>
    </x:row>
    <x:row r="10" ht="82" customHeight="1">
      <x:c r="A10" s="9" t="str">
        <x:v>C-en-core</x:v>
      </x:c>
      <x:c r="B10" s="9" t="str">
        <x:v>English</x:v>
      </x:c>
      <x:c r="C10" s="9" t="str">
        <x:v>GB, US, GR</x:v>
      </x:c>
      <x:c r="D10" s="9" t="str">
        <x:v>Choose and book a car</x:v>
      </x:c>
      <x:c r="E10" s="11" t="str">
        <x:v>https://naxos-carrentals.com/en</x:v>
      </x:c>
      <x:c r="F10" s="11" t="str">
        <x:v>EXISTING</x:v>
      </x:c>
      <x:c r="G10" s="9" t="str">
        <x:v>OPTIMIZE</x:v>
      </x:c>
      <x:c r="H10" s="9" t="str">
        <x:v>naxos car rental</x:v>
      </x:c>
      <x:c r="I10" s="9" t="str">
        <x:v>K015, K017, K032, K033, K034, K035, K036, K039, K041, K046, K049, K053, K054, K057, K063, K146, K149, K160</x:v>
      </x:c>
      <x:c r="J10" s="9" t="str">
        <x:v>naxos car rental; naxos car hire; car rental in naxos; car rental naxos; car hire naxos; rent a car naxos; car hire in naxos; naxos rent a car; car hire naxos greece; rent a car in naxos; car rentals naxos greece; car rental naxos greece; rent car naxos; hire car naxos; naxos rental car; car rental naxos; naxos car rental; rent a car naxos</x:v>
      </x:c>
      <x:c r="K10" s="9" t="str">
        <x:v>Homepage</x:v>
      </x:c>
      <x:c r="L10" s="9" t="str">
        <x:v>Homepage owns general rental intent. Fleet page owns vehicle comparison.</x:v>
      </x:c>
      <x:c r="M10" s="9" t="str">
        <x:v>Avoid duplicating homepage in /fleet/cars or creating rent-a-car/car-hire aliases.</x:v>
      </x:c>
      <x:c r="N10" s="9" t="str">
        <x:v>Named local expertise, current terms and transparent booking</x:v>
      </x:c>
      <x:c r="O10" s="9" t="str">
        <x:v>kw-gb, discover-en</x:v>
      </x:c>
      <x:c r="P10" s="9" t="str">
        <x:v>INFERRED</x:v>
      </x:c>
      <x:c r="Q10" s="9" t="str">
        <x:v>Google vendor data; no Bing SERP validation</x:v>
      </x:c>
    </x:row>
    <x:row r="11" ht="48" customHeight="1">
      <x:c r="A11" s="8" t="str">
        <x:v>C-de-port</x:v>
      </x:c>
      <x:c r="B11" s="8" t="str">
        <x:v>German</x:v>
      </x:c>
      <x:c r="C11" s="8" t="str">
        <x:v>DE</x:v>
      </x:c>
      <x:c r="D11" s="8" t="str">
        <x:v>Collect after arriving by ferry</x:v>
      </x:c>
      <x:c r="E11" s="10" t="str">
        <x:v>https://naxos-carrentals.com/de/locations/port-pickup</x:v>
      </x:c>
      <x:c r="F11" s="10" t="str">
        <x:v>EXISTING</x:v>
      </x:c>
      <x:c r="G11" s="8" t="str">
        <x:v>OPTIMIZE</x:v>
      </x:c>
      <x:c r="H11" s="8" t="str">
        <x:v>mietwagen naxos hafen</x:v>
      </x:c>
      <x:c r="I11" s="8" t="str">
        <x:v>K021, K133, K143</x:v>
      </x:c>
      <x:c r="J11" s="8" t="str">
        <x:v>mietwagen naxos hafen; naxos hafen mietwagen; auto mieten naxos hafen</x:v>
      </x:c>
      <x:c r="K11" s="8" t="str">
        <x:v>Focused commercial / service page</x:v>
      </x:c>
      <x:c r="L11" s="8" t="str">
        <x:v>Existing focused route serves a distinct decision. Keep spelling and long-tail variations on the same owner.</x:v>
      </x:c>
      <x:c r="M11" s="8" t="str">
        <x:v>Do not create a page per variant. No harmful cannibalization proven from present data.</x:v>
      </x:c>
      <x:c r="N11" s="8" t="str">
        <x:v>Dated meeting-point photos, map, real arrival and delay process</x:v>
      </x:c>
      <x:c r="O11" s="8" t="str">
        <x:v>kw-de, discover-de</x:v>
      </x:c>
      <x:c r="P11" s="8" t="str">
        <x:v>INFERRED</x:v>
      </x:c>
      <x:c r="Q11" s="8" t="str">
        <x:v>Google vendor data; no Bing SERP validation</x:v>
      </x:c>
    </x:row>
    <x:row r="12" ht="48" customHeight="1">
      <x:c r="A12" s="9" t="str">
        <x:v>C-fr-airport</x:v>
      </x:c>
      <x:c r="B12" s="9" t="str">
        <x:v>French</x:v>
      </x:c>
      <x:c r="C12" s="9" t="str">
        <x:v>FR</x:v>
      </x:c>
      <x:c r="D12" s="9" t="str">
        <x:v>Collect at Naxos airport</x:v>
      </x:c>
      <x:c r="E12" s="11" t="str">
        <x:v>https://naxos-carrentals.com/fr/locations/airport-pickup</x:v>
      </x:c>
      <x:c r="F12" s="11" t="str">
        <x:v>EXISTING</x:v>
      </x:c>
      <x:c r="G12" s="9" t="str">
        <x:v>OPTIMIZE</x:v>
      </x:c>
      <x:c r="H12" s="9" t="str">
        <x:v>location voiture naxos aeroport</x:v>
      </x:c>
      <x:c r="I12" s="9" t="str">
        <x:v>K003, K065</x:v>
      </x:c>
      <x:c r="J12" s="9" t="str">
        <x:v>location voiture naxos aéroport; location voiture naxos aeroport</x:v>
      </x:c>
      <x:c r="K12" s="9" t="str">
        <x:v>Focused commercial / service page</x:v>
      </x:c>
      <x:c r="L12" s="9" t="str">
        <x:v>Existing focused route serves a distinct decision. Keep spelling and long-tail variations on the same owner.</x:v>
      </x:c>
      <x:c r="M12" s="9" t="str">
        <x:v>Do not create a page per variant. No harmful cannibalization proven from present data.</x:v>
      </x:c>
      <x:c r="N12" s="9" t="str">
        <x:v>Dated meeting-point photos, map, real arrival and delay process</x:v>
      </x:c>
      <x:c r="O12" s="9" t="str">
        <x:v>discover-fr</x:v>
      </x:c>
      <x:c r="P12" s="9" t="str">
        <x:v>INFERRED</x:v>
      </x:c>
      <x:c r="Q12" s="9" t="str">
        <x:v>Google vendor data; no Bing SERP validation</x:v>
      </x:c>
    </x:row>
    <x:row r="13" ht="48" customHeight="1">
      <x:c r="A13" s="8" t="str">
        <x:v>C-it-port</x:v>
      </x:c>
      <x:c r="B13" s="8" t="str">
        <x:v>Italian</x:v>
      </x:c>
      <x:c r="C13" s="8" t="str">
        <x:v>IT</x:v>
      </x:c>
      <x:c r="D13" s="8" t="str">
        <x:v>Collect after arriving by ferry</x:v>
      </x:c>
      <x:c r="E13" s="10" t="str">
        <x:v>https://naxos-carrentals.com/it/locations/port-pickup</x:v>
      </x:c>
      <x:c r="F13" s="10" t="str">
        <x:v>EXISTING</x:v>
      </x:c>
      <x:c r="G13" s="8" t="str">
        <x:v>OPTIMIZE</x:v>
      </x:c>
      <x:c r="H13" s="8" t="str">
        <x:v>noleggio auto naxos porto</x:v>
      </x:c>
      <x:c r="I13" s="8" t="str">
        <x:v>K011, K103, K107, K123</x:v>
      </x:c>
      <x:c r="J13" s="8" t="str">
        <x:v>noleggio auto naxos porto; noleggio auto porto di naxos; noleggio auto porto naxos; naxos noleggio auto porto</x:v>
      </x:c>
      <x:c r="K13" s="8" t="str">
        <x:v>Focused commercial / service page</x:v>
      </x:c>
      <x:c r="L13" s="8" t="str">
        <x:v>Existing focused route serves a distinct decision. Keep spelling and long-tail variations on the same owner.</x:v>
      </x:c>
      <x:c r="M13" s="8" t="str">
        <x:v>Do not create a page per variant. No harmful cannibalization proven from present data.</x:v>
      </x:c>
      <x:c r="N13" s="8" t="str">
        <x:v>Dated meeting-point photos, map, real arrival and delay process</x:v>
      </x:c>
      <x:c r="O13" s="8" t="str">
        <x:v>kw-it, discover-it</x:v>
      </x:c>
      <x:c r="P13" s="8" t="str">
        <x:v>INFERRED</x:v>
      </x:c>
      <x:c r="Q13" s="8" t="str">
        <x:v>Google vendor data; no Bing SERP validation</x:v>
      </x:c>
    </x:row>
    <x:row r="14" ht="48" customHeight="1">
      <x:c r="A14" s="9" t="str">
        <x:v>C-en-port</x:v>
      </x:c>
      <x:c r="B14" s="9" t="str">
        <x:v>English</x:v>
      </x:c>
      <x:c r="C14" s="9" t="str">
        <x:v>GB, US</x:v>
      </x:c>
      <x:c r="D14" s="9" t="str">
        <x:v>Collect after arriving by ferry</x:v>
      </x:c>
      <x:c r="E14" s="11" t="str">
        <x:v>https://naxos-carrentals.com/en/locations/port-pickup</x:v>
      </x:c>
      <x:c r="F14" s="11" t="str">
        <x:v>EXISTING</x:v>
      </x:c>
      <x:c r="G14" s="9" t="str">
        <x:v>OPTIMIZE</x:v>
      </x:c>
      <x:c r="H14" s="9" t="str">
        <x:v>car hire naxos port</x:v>
      </x:c>
      <x:c r="I14" s="9" t="str">
        <x:v>K018, K037, K040, K056, K145</x:v>
      </x:c>
      <x:c r="J14" s="9" t="str">
        <x:v>naxos port car rental; car hire naxos port; car rental naxos port; naxos port car hire; naxos car rental port</x:v>
      </x:c>
      <x:c r="K14" s="9" t="str">
        <x:v>Focused commercial / service page</x:v>
      </x:c>
      <x:c r="L14" s="9" t="str">
        <x:v>Existing focused route serves a distinct decision. Keep spelling and long-tail variations on the same owner.</x:v>
      </x:c>
      <x:c r="M14" s="9" t="str">
        <x:v>Do not create a page per variant. No harmful cannibalization proven from present data.</x:v>
      </x:c>
      <x:c r="N14" s="9" t="str">
        <x:v>Dated meeting-point photos, map, real arrival and delay process</x:v>
      </x:c>
      <x:c r="O14" s="9" t="str">
        <x:v>discover-en, kw-en-enrich</x:v>
      </x:c>
      <x:c r="P14" s="9" t="str">
        <x:v>INFERRED</x:v>
      </x:c>
      <x:c r="Q14" s="9" t="str">
        <x:v>Google vendor data; no Bing SERP validation</x:v>
      </x:c>
    </x:row>
    <x:row r="15" ht="48" customHeight="1">
      <x:c r="A15" s="8" t="str">
        <x:v>C-de-airport</x:v>
      </x:c>
      <x:c r="B15" s="8" t="str">
        <x:v>German</x:v>
      </x:c>
      <x:c r="C15" s="8" t="str">
        <x:v>DE</x:v>
      </x:c>
      <x:c r="D15" s="8" t="str">
        <x:v>Collect at Naxos airport</x:v>
      </x:c>
      <x:c r="E15" s="10" t="str">
        <x:v>https://naxos-carrentals.com/de/locations/airport-pickup</x:v>
      </x:c>
      <x:c r="F15" s="10" t="str">
        <x:v>EXISTING</x:v>
      </x:c>
      <x:c r="G15" s="8" t="str">
        <x:v>OPTIMIZE</x:v>
      </x:c>
      <x:c r="H15" s="8" t="str">
        <x:v>mietwagen naxos flughafen</x:v>
      </x:c>
      <x:c r="I15" s="8" t="str">
        <x:v>K022, K131</x:v>
      </x:c>
      <x:c r="J15" s="8" t="str">
        <x:v>mietwagen naxos flughafen; auto mieten naxos flughafen</x:v>
      </x:c>
      <x:c r="K15" s="8" t="str">
        <x:v>Focused commercial / service page</x:v>
      </x:c>
      <x:c r="L15" s="8" t="str">
        <x:v>Existing focused route serves a distinct decision. Keep spelling and long-tail variations on the same owner.</x:v>
      </x:c>
      <x:c r="M15" s="8" t="str">
        <x:v>Do not create a page per variant. No harmful cannibalization proven from present data.</x:v>
      </x:c>
      <x:c r="N15" s="8" t="str">
        <x:v>Dated meeting-point photos, map, real arrival and delay process</x:v>
      </x:c>
      <x:c r="O15" s="8" t="str">
        <x:v>kw-de, discover-de</x:v>
      </x:c>
      <x:c r="P15" s="8" t="str">
        <x:v>INFERRED</x:v>
      </x:c>
      <x:c r="Q15" s="8" t="str">
        <x:v>Google vendor data; no Bing SERP validation</x:v>
      </x:c>
    </x:row>
    <x:row r="16" ht="48" customHeight="1">
      <x:c r="A16" s="9" t="str">
        <x:v>C-en-airport</x:v>
      </x:c>
      <x:c r="B16" s="9" t="str">
        <x:v>English</x:v>
      </x:c>
      <x:c r="C16" s="9" t="str">
        <x:v>GB, US</x:v>
      </x:c>
      <x:c r="D16" s="9" t="str">
        <x:v>Collect at Naxos airport</x:v>
      </x:c>
      <x:c r="E16" s="11" t="str">
        <x:v>https://naxos-carrentals.com/en/locations/airport-pickup</x:v>
      </x:c>
      <x:c r="F16" s="11" t="str">
        <x:v>EXISTING</x:v>
      </x:c>
      <x:c r="G16" s="9" t="str">
        <x:v>OPTIMIZE</x:v>
      </x:c>
      <x:c r="H16" s="9" t="str">
        <x:v>car hire naxos island airport</x:v>
      </x:c>
      <x:c r="I16" s="9" t="str">
        <x:v>K038, K043, K061, K147</x:v>
      </x:c>
      <x:c r="J16" s="9" t="str">
        <x:v>car hire naxos island airport; car hire naxos airport; rent a car naxos airport; naxos car rental airport</x:v>
      </x:c>
      <x:c r="K16" s="9" t="str">
        <x:v>Focused commercial / service page</x:v>
      </x:c>
      <x:c r="L16" s="9" t="str">
        <x:v>Existing focused route serves a distinct decision. Keep spelling and long-tail variations on the same owner.</x:v>
      </x:c>
      <x:c r="M16" s="9" t="str">
        <x:v>Do not create a page per variant. No harmful cannibalization proven from present data.</x:v>
      </x:c>
      <x:c r="N16" s="9" t="str">
        <x:v>Dated meeting-point photos, map, real arrival and delay process</x:v>
      </x:c>
      <x:c r="O16" s="9" t="str">
        <x:v>discover-en, kw-en-enrich</x:v>
      </x:c>
      <x:c r="P16" s="9" t="str">
        <x:v>INFERRED</x:v>
      </x:c>
      <x:c r="Q16" s="9" t="str">
        <x:v>Google vendor data; no Bing SERP validation</x:v>
      </x:c>
    </x:row>
    <x:row r="17" ht="48" customHeight="1">
      <x:c r="A17" s="8" t="str">
        <x:v>C-es-core</x:v>
      </x:c>
      <x:c r="B17" s="8" t="str">
        <x:v>Spanish</x:v>
      </x:c>
      <x:c r="C17" s="8" t="str">
        <x:v>ES</x:v>
      </x:c>
      <x:c r="D17" s="8" t="str">
        <x:v>Choose and book a car</x:v>
      </x:c>
      <x:c r="E17" s="10" t="str">
        <x:v>https://naxos-carrentals.com/es</x:v>
      </x:c>
      <x:c r="F17" s="10" t="str">
        <x:v>PROPOSED</x:v>
      </x:c>
      <x:c r="G17" s="8" t="str">
        <x:v>INVESTIGATE</x:v>
      </x:c>
      <x:c r="H17" s="8" t="str">
        <x:v>alquiler coche naxos</x:v>
      </x:c>
      <x:c r="I17" s="8" t="str">
        <x:v>K153, K154, K155</x:v>
      </x:c>
      <x:c r="J17" s="8" t="str">
        <x:v>alquiler coche naxos; naxos alquiler coche; alquiler coches naxos</x:v>
      </x:c>
      <x:c r="K17" s="8" t="str">
        <x:v>Homepage</x:v>
      </x:c>
      <x:c r="L17" s="8" t="str">
        <x:v>Homepage owns general rental intent. Fleet page owns vehicle comparison.</x:v>
      </x:c>
      <x:c r="M17" s="8" t="str">
        <x:v>Avoid duplicating homepage in /fleet/cars or creating rent-a-car/car-hire aliases.</x:v>
      </x:c>
      <x:c r="N17" s="8" t="str">
        <x:v>Named local expertise, current terms and transparent booking</x:v>
      </x:c>
      <x:c r="O17" s="8" t="str">
        <x:v>kw-es</x:v>
      </x:c>
      <x:c r="P17" s="8" t="str">
        <x:v>INFERRED</x:v>
      </x:c>
      <x:c r="Q17" s="8" t="str">
        <x:v>Google vendor data; no Bing SERP validation</x:v>
      </x:c>
    </x:row>
    <x:row r="18" ht="48" customHeight="1">
      <x:c r="A18" s="9" t="str">
        <x:v>C-it-terms</x:v>
      </x:c>
      <x:c r="B18" s="9" t="str">
        <x:v>Italian</x:v>
      </x:c>
      <x:c r="C18" s="9" t="str">
        <x:v>IT</x:v>
      </x:c>
      <x:c r="D18" s="9" t="str">
        <x:v>Payment and rental eligibility</x:v>
      </x:c>
      <x:c r="E18" s="11" t="str">
        <x:v>https://naxos-carrentals.com/it/terms</x:v>
      </x:c>
      <x:c r="F18" s="11" t="str">
        <x:v>EXISTING</x:v>
      </x:c>
      <x:c r="G18" s="9" t="str">
        <x:v>OPTIMIZE</x:v>
      </x:c>
      <x:c r="H18" s="9" t="str">
        <x:v>noleggio auto naxos senza carta di credito</x:v>
      </x:c>
      <x:c r="I18" s="9" t="str">
        <x:v>K008</x:v>
      </x:c>
      <x:c r="J18" s="9" t="str">
        <x:v>noleggio auto naxos senza carta di credito</x:v>
      </x:c>
      <x:c r="K18" s="9" t="str">
        <x:v>Focused commercial / service page</x:v>
      </x:c>
      <x:c r="L18" s="9" t="str">
        <x:v>Existing focused route serves a distinct decision. Keep spelling and long-tail variations on the same owner.</x:v>
      </x:c>
      <x:c r="M18" s="9" t="str">
        <x:v>Do not create a page per variant. No harmful cannibalization proven from present data.</x:v>
      </x:c>
      <x:c r="N18" s="9" t="str">
        <x:v>Named local expertise, current terms and transparent booking</x:v>
      </x:c>
      <x:c r="O18" s="9" t="str">
        <x:v>kw-it, discover-it</x:v>
      </x:c>
      <x:c r="P18" s="9" t="str">
        <x:v>INFERRED</x:v>
      </x:c>
      <x:c r="Q18" s="9" t="str">
        <x:v>Google vendor data; no Bing SERP validation</x:v>
      </x:c>
    </x:row>
    <x:row r="19" ht="48" customHeight="1">
      <x:c r="A19" s="8" t="str">
        <x:v>C-en-reviews</x:v>
      </x:c>
      <x:c r="B19" s="8" t="str">
        <x:v>English</x:v>
      </x:c>
      <x:c r="C19" s="8" t="str">
        <x:v>GB</x:v>
      </x:c>
      <x:c r="D19" s="8" t="str">
        <x:v>Assess operator trust</x:v>
      </x:c>
      <x:c r="E19" s="10" t="str">
        <x:v>https://naxos-carrentals.com/en/reviews</x:v>
      </x:c>
      <x:c r="F19" s="10" t="str">
        <x:v>EXISTING</x:v>
      </x:c>
      <x:c r="G19" s="8" t="str">
        <x:v>OPTIMIZE</x:v>
      </x:c>
      <x:c r="H19" s="8" t="str">
        <x:v>naxos car rental reviews</x:v>
      </x:c>
      <x:c r="I19" s="8" t="str">
        <x:v>K042, K045, K047, K060</x:v>
      </x:c>
      <x:c r="J19" s="8" t="str">
        <x:v>naxos car rental reviews; best car rental naxos; best car hire naxos; best car hire naxos port</x:v>
      </x:c>
      <x:c r="K19" s="8" t="str">
        <x:v>Focused commercial / service page</x:v>
      </x:c>
      <x:c r="L19" s="8" t="str">
        <x:v>Existing focused route serves a distinct decision. Keep spelling and long-tail variations on the same owner.</x:v>
      </x:c>
      <x:c r="M19" s="8" t="str">
        <x:v>Do not create a page per variant. No harmful cannibalization proven from present data.</x:v>
      </x:c>
      <x:c r="N19" s="8" t="str">
        <x:v>Named local expertise, current terms and transparent booking</x:v>
      </x:c>
      <x:c r="O19" s="8" t="str">
        <x:v>discover-en</x:v>
      </x:c>
      <x:c r="P19" s="8" t="str">
        <x:v>INFERRED</x:v>
      </x:c>
      <x:c r="Q19" s="8" t="str">
        <x:v>Google vendor data; no Bing SERP validation</x:v>
      </x:c>
    </x:row>
    <x:row r="20" ht="48" customHeight="1">
      <x:c r="A20" s="9" t="str">
        <x:v>C-it-reviews</x:v>
      </x:c>
      <x:c r="B20" s="9" t="str">
        <x:v>Italian</x:v>
      </x:c>
      <x:c r="C20" s="9" t="str">
        <x:v>IT</x:v>
      </x:c>
      <x:c r="D20" s="9" t="str">
        <x:v>Assess operator trust</x:v>
      </x:c>
      <x:c r="E20" s="11" t="str">
        <x:v>https://naxos-carrentals.com/it/reviews</x:v>
      </x:c>
      <x:c r="F20" s="11" t="str">
        <x:v>EXISTING</x:v>
      </x:c>
      <x:c r="G20" s="9" t="str">
        <x:v>OPTIMIZE</x:v>
      </x:c>
      <x:c r="H20" s="9" t="str">
        <x:v>noleggio auto naxos consigli</x:v>
      </x:c>
      <x:c r="I20" s="9" t="str">
        <x:v>K105, K112, K121</x:v>
      </x:c>
      <x:c r="J20" s="9" t="str">
        <x:v>noleggio auto naxos consigli; miglior noleggio auto naxos; noleggio auto naxos - forum</x:v>
      </x:c>
      <x:c r="K20" s="9" t="str">
        <x:v>Focused commercial / service page</x:v>
      </x:c>
      <x:c r="L20" s="9" t="str">
        <x:v>Existing focused route serves a distinct decision. Keep spelling and long-tail variations on the same owner.</x:v>
      </x:c>
      <x:c r="M20" s="9" t="str">
        <x:v>Do not create a page per variant. No harmful cannibalization proven from present data.</x:v>
      </x:c>
      <x:c r="N20" s="9" t="str">
        <x:v>Named local expertise, current terms and transparent booking</x:v>
      </x:c>
      <x:c r="O20" s="9" t="str">
        <x:v>discover-it</x:v>
      </x:c>
      <x:c r="P20" s="9" t="str">
        <x:v>INFERRED</x:v>
      </x:c>
      <x:c r="Q20" s="9" t="str">
        <x:v>Google vendor data; no Bing SERP validation</x:v>
      </x:c>
    </x:row>
    <x:row r="21" ht="48" customHeight="1">
      <x:c r="A21" s="8" t="str">
        <x:v>C-it-airport</x:v>
      </x:c>
      <x:c r="B21" s="8" t="str">
        <x:v>Italian</x:v>
      </x:c>
      <x:c r="C21" s="8" t="str">
        <x:v>IT</x:v>
      </x:c>
      <x:c r="D21" s="8" t="str">
        <x:v>Collect at Naxos airport</x:v>
      </x:c>
      <x:c r="E21" s="10" t="str">
        <x:v>https://naxos-carrentals.com/it/locations/airport-pickup</x:v>
      </x:c>
      <x:c r="F21" s="10" t="str">
        <x:v>EXISTING</x:v>
      </x:c>
      <x:c r="G21" s="8" t="str">
        <x:v>OPTIMIZE</x:v>
      </x:c>
      <x:c r="H21" s="8" t="str">
        <x:v>noleggio auto naxos aeroporto</x:v>
      </x:c>
      <x:c r="I21" s="8" t="str">
        <x:v>K012</x:v>
      </x:c>
      <x:c r="J21" s="8" t="str">
        <x:v>noleggio auto naxos aeroporto</x:v>
      </x:c>
      <x:c r="K21" s="8" t="str">
        <x:v>Focused commercial / service page</x:v>
      </x:c>
      <x:c r="L21" s="8" t="str">
        <x:v>Existing focused route serves a distinct decision. Keep spelling and long-tail variations on the same owner.</x:v>
      </x:c>
      <x:c r="M21" s="8" t="str">
        <x:v>Do not create a page per variant. No harmful cannibalization proven from present data.</x:v>
      </x:c>
      <x:c r="N21" s="8" t="str">
        <x:v>Dated meeting-point photos, map, real arrival and delay process</x:v>
      </x:c>
      <x:c r="O21" s="8" t="str">
        <x:v>kw-it, discover-it</x:v>
      </x:c>
      <x:c r="P21" s="8" t="str">
        <x:v>INFERRED</x:v>
      </x:c>
      <x:c r="Q21" s="8" t="str">
        <x:v>Google vendor data; no Bing SERP validation</x:v>
      </x:c>
    </x:row>
    <x:row r="22" ht="48" customHeight="1">
      <x:c r="A22" s="9" t="str">
        <x:v>C-nl-core</x:v>
      </x:c>
      <x:c r="B22" s="9" t="str">
        <x:v>Dutch</x:v>
      </x:c>
      <x:c r="C22" s="9" t="str">
        <x:v>NL</x:v>
      </x:c>
      <x:c r="D22" s="9" t="str">
        <x:v>Choose and book a car</x:v>
      </x:c>
      <x:c r="E22" s="11" t="str">
        <x:v>https://naxos-carrentals.com/nl</x:v>
      </x:c>
      <x:c r="F22" s="11" t="str">
        <x:v>PROPOSED</x:v>
      </x:c>
      <x:c r="G22" s="9" t="str">
        <x:v>INVESTIGATE</x:v>
      </x:c>
      <x:c r="H22" s="9" t="str">
        <x:v>auto huren naxos</x:v>
      </x:c>
      <x:c r="I22" s="9" t="str">
        <x:v>K151, K152</x:v>
      </x:c>
      <x:c r="J22" s="9" t="str">
        <x:v>autohuur naxos; auto huren naxos</x:v>
      </x:c>
      <x:c r="K22" s="9" t="str">
        <x:v>Homepage</x:v>
      </x:c>
      <x:c r="L22" s="9" t="str">
        <x:v>Homepage owns general rental intent. Fleet page owns vehicle comparison.</x:v>
      </x:c>
      <x:c r="M22" s="9" t="str">
        <x:v>Avoid duplicating homepage in /fleet/cars or creating rent-a-car/car-hire aliases.</x:v>
      </x:c>
      <x:c r="N22" s="9" t="str">
        <x:v>Named local expertise, current terms and transparent booking</x:v>
      </x:c>
      <x:c r="O22" s="9" t="str">
        <x:v>kw-nl</x:v>
      </x:c>
      <x:c r="P22" s="9" t="str">
        <x:v>INFERRED</x:v>
      </x:c>
      <x:c r="Q22" s="9" t="str">
        <x:v>Google vendor data; no Bing SERP validation</x:v>
      </x:c>
    </x:row>
    <x:row r="23" ht="48" customHeight="1">
      <x:c r="A23" s="8" t="str">
        <x:v>C-en-pricing</x:v>
      </x:c>
      <x:c r="B23" s="8" t="str">
        <x:v>English</x:v>
      </x:c>
      <x:c r="C23" s="8" t="str">
        <x:v>GB</x:v>
      </x:c>
      <x:c r="D23" s="8" t="str">
        <x:v>Understand total rental cost</x:v>
      </x:c>
      <x:c r="E23" s="10" t="str">
        <x:v>https://naxos-carrentals.com/en/pricing</x:v>
      </x:c>
      <x:c r="F23" s="10" t="str">
        <x:v>EXISTING</x:v>
      </x:c>
      <x:c r="G23" s="8" t="str">
        <x:v>OPTIMIZE</x:v>
      </x:c>
      <x:c r="H23" s="8" t="str">
        <x:v>cheap car rental naxos</x:v>
      </x:c>
      <x:c r="I23" s="8" t="str">
        <x:v>K050, K058, K062, K162</x:v>
      </x:c>
      <x:c r="J23" s="8" t="str">
        <x:v>cheap car rental naxos; cheap naxos car hire; naxos car rental prices; cheap car hire naxos</x:v>
      </x:c>
      <x:c r="K23" s="8" t="str">
        <x:v>Focused commercial / service page</x:v>
      </x:c>
      <x:c r="L23" s="8" t="str">
        <x:v>Existing focused route serves a distinct decision. Keep spelling and long-tail variations on the same owner.</x:v>
      </x:c>
      <x:c r="M23" s="8" t="str">
        <x:v>Do not create a page per variant. No harmful cannibalization proven from present data.</x:v>
      </x:c>
      <x:c r="N23" s="8" t="str">
        <x:v>Named local expertise, current terms and transparent booking</x:v>
      </x:c>
      <x:c r="O23" s="8" t="str">
        <x:v>discover-en</x:v>
      </x:c>
      <x:c r="P23" s="8" t="str">
        <x:v>INFERRED</x:v>
      </x:c>
      <x:c r="Q23" s="8" t="str">
        <x:v>Google vendor data; no Bing SERP validation</x:v>
      </x:c>
    </x:row>
    <x:row r="24" ht="48" customHeight="1">
      <x:c r="A24" s="9" t="str">
        <x:v>C-it-pricing</x:v>
      </x:c>
      <x:c r="B24" s="9" t="str">
        <x:v>Italian</x:v>
      </x:c>
      <x:c r="C24" s="9" t="str">
        <x:v>IT</x:v>
      </x:c>
      <x:c r="D24" s="9" t="str">
        <x:v>Understand total rental cost</x:v>
      </x:c>
      <x:c r="E24" s="11" t="str">
        <x:v>https://naxos-carrentals.com/it/pricing</x:v>
      </x:c>
      <x:c r="F24" s="11" t="str">
        <x:v>EXISTING</x:v>
      </x:c>
      <x:c r="G24" s="9" t="str">
        <x:v>OPTIMIZE</x:v>
      </x:c>
      <x:c r="H24" s="9" t="str">
        <x:v>noleggio auto naxos economico</x:v>
      </x:c>
      <x:c r="I24" s="9" t="str">
        <x:v>K113, K117, K118, K122</x:v>
      </x:c>
      <x:c r="J24" s="9" t="str">
        <x:v>noleggio auto naxos economico; noleggio auto naxos low cost; noleggio auto naxos prezzi; auto a noleggio economiche a naxos</x:v>
      </x:c>
      <x:c r="K24" s="9" t="str">
        <x:v>Focused commercial / service page</x:v>
      </x:c>
      <x:c r="L24" s="9" t="str">
        <x:v>Existing focused route serves a distinct decision. Keep spelling and long-tail variations on the same owner.</x:v>
      </x:c>
      <x:c r="M24" s="9" t="str">
        <x:v>Do not create a page per variant. No harmful cannibalization proven from present data.</x:v>
      </x:c>
      <x:c r="N24" s="9" t="str">
        <x:v>Named local expertise, current terms and transparent booking</x:v>
      </x:c>
      <x:c r="O24" s="9" t="str">
        <x:v>discover-it</x:v>
      </x:c>
      <x:c r="P24" s="9" t="str">
        <x:v>INFERRED</x:v>
      </x:c>
      <x:c r="Q24" s="9" t="str">
        <x:v>Google vendor data; no Bing SERP validation</x:v>
      </x:c>
    </x:row>
    <x:row r="25" ht="48" customHeight="1">
      <x:c r="A25" s="8" t="str">
        <x:v>C-de-reviews</x:v>
      </x:c>
      <x:c r="B25" s="8" t="str">
        <x:v>German</x:v>
      </x:c>
      <x:c r="C25" s="8" t="str">
        <x:v>DE</x:v>
      </x:c>
      <x:c r="D25" s="8" t="str">
        <x:v>Assess operator trust</x:v>
      </x:c>
      <x:c r="E25" s="10" t="str">
        <x:v>https://naxos-carrentals.com/de/reviews</x:v>
      </x:c>
      <x:c r="F25" s="10" t="str">
        <x:v>EXISTING</x:v>
      </x:c>
      <x:c r="G25" s="8" t="str">
        <x:v>OPTIMIZE</x:v>
      </x:c>
      <x:c r="H25" s="8" t="str">
        <x:v>naxos mietwagen erfahrungen</x:v>
      </x:c>
      <x:c r="I25" s="8" t="str">
        <x:v>K129, K135</x:v>
      </x:c>
      <x:c r="J25" s="8" t="str">
        <x:v>naxos mietwagen erfahrungen; mietwagen naxos erfahrungen</x:v>
      </x:c>
      <x:c r="K25" s="8" t="str">
        <x:v>Focused commercial / service page</x:v>
      </x:c>
      <x:c r="L25" s="8" t="str">
        <x:v>Existing focused route serves a distinct decision. Keep spelling and long-tail variations on the same owner.</x:v>
      </x:c>
      <x:c r="M25" s="8" t="str">
        <x:v>Do not create a page per variant. No harmful cannibalization proven from present data.</x:v>
      </x:c>
      <x:c r="N25" s="8" t="str">
        <x:v>Named local expertise, current terms and transparent booking</x:v>
      </x:c>
      <x:c r="O25" s="8" t="str">
        <x:v>discover-de</x:v>
      </x:c>
      <x:c r="P25" s="8" t="str">
        <x:v>INFERRED</x:v>
      </x:c>
      <x:c r="Q25" s="8" t="str">
        <x:v>Google vendor data; no Bing SERP validation</x:v>
      </x:c>
    </x:row>
    <x:row r="26" ht="48" customHeight="1">
      <x:c r="A26" s="9" t="str">
        <x:v>C-de-insurance</x:v>
      </x:c>
      <x:c r="B26" s="9" t="str">
        <x:v>German</x:v>
      </x:c>
      <x:c r="C26" s="9" t="str">
        <x:v>DE</x:v>
      </x:c>
      <x:c r="D26" s="9" t="str">
        <x:v>Understand cover and excess</x:v>
      </x:c>
      <x:c r="E26" s="11" t="str">
        <x:v>https://naxos-carrentals.com/de/insurance</x:v>
      </x:c>
      <x:c r="F26" s="11" t="str">
        <x:v>EXISTING</x:v>
      </x:c>
      <x:c r="G26" s="9" t="str">
        <x:v>OPTIMIZE</x:v>
      </x:c>
      <x:c r="H26" s="9"/>
      <x:c r="I26" s="9" t="str"/>
      <x:c r="J26" s="9" t="str"/>
      <x:c r="K26" s="9" t="str">
        <x:v>Focused commercial / service page</x:v>
      </x:c>
      <x:c r="L26" s="9" t="str">
        <x:v>Existing focused route serves a distinct decision. Keep spelling and long-tail variations on the same owner.</x:v>
      </x:c>
      <x:c r="M26" s="9" t="str">
        <x:v>Do not create a page per variant. No harmful cannibalization proven from present data.</x:v>
      </x:c>
      <x:c r="N26" s="9" t="str">
        <x:v>Current inventory and verified specs, luggage and restrictions</x:v>
      </x:c>
      <x:c r="O26" s="9" t="str">
        <x:v>SRC-REPO</x:v>
      </x:c>
      <x:c r="P26" s="9" t="str">
        <x:v>PROPOSED</x:v>
      </x:c>
      <x:c r="Q26" s="9" t="str">
        <x:v>No phrase-level demand validated in sample</x:v>
      </x:c>
    </x:row>
    <x:row r="27" ht="48" customHeight="1">
      <x:c r="A27" s="8" t="str">
        <x:v>C-el-port</x:v>
      </x:c>
      <x:c r="B27" s="8" t="str">
        <x:v>Greek</x:v>
      </x:c>
      <x:c r="C27" s="8" t="str">
        <x:v>GR</x:v>
      </x:c>
      <x:c r="D27" s="8" t="str">
        <x:v>Collect after arriving by ferry</x:v>
      </x:c>
      <x:c r="E27" s="10" t="str">
        <x:v>https://naxos-carrentals.com/el/locations/port-pickup</x:v>
      </x:c>
      <x:c r="F27" s="10" t="str">
        <x:v>EXISTING</x:v>
      </x:c>
      <x:c r="G27" s="8" t="str">
        <x:v>OPTIMIZE</x:v>
      </x:c>
      <x:c r="H27" s="8" t="str">
        <x:v>ενοικιαση αυτοκινητου ναξος λιμανι</x:v>
      </x:c>
      <x:c r="I27" s="8" t="str">
        <x:v>K005</x:v>
      </x:c>
      <x:c r="J27" s="8" t="str">
        <x:v>ενοικιαση αυτοκινητου ναξος λιμανι</x:v>
      </x:c>
      <x:c r="K27" s="8" t="str">
        <x:v>Focused commercial / service page</x:v>
      </x:c>
      <x:c r="L27" s="8" t="str">
        <x:v>Existing focused route serves a distinct decision. Keep spelling and long-tail variations on the same owner.</x:v>
      </x:c>
      <x:c r="M27" s="8" t="str">
        <x:v>Do not create a page per variant. No harmful cannibalization proven from present data.</x:v>
      </x:c>
      <x:c r="N27" s="8" t="str">
        <x:v>Dated meeting-point photos, map, real arrival and delay process</x:v>
      </x:c>
      <x:c r="O27" s="8" t="str">
        <x:v>kw-gr</x:v>
      </x:c>
      <x:c r="P27" s="8" t="str">
        <x:v>INFERRED</x:v>
      </x:c>
      <x:c r="Q27" s="8" t="str">
        <x:v>Google vendor data; no Bing SERP validation</x:v>
      </x:c>
    </x:row>
    <x:row r="28" ht="48" customHeight="1">
      <x:c r="A28" s="9" t="str">
        <x:v>C-en-automatic</x:v>
      </x:c>
      <x:c r="B28" s="9" t="str">
        <x:v>English</x:v>
      </x:c>
      <x:c r="C28" s="9" t="str">
        <x:v>GB, US</x:v>
      </x:c>
      <x:c r="D28" s="9" t="str">
        <x:v>Choose an automatic car</x:v>
      </x:c>
      <x:c r="E28" s="11" t="str">
        <x:v>https://naxos-carrentals.com/en/fleet/collections/automatic</x:v>
      </x:c>
      <x:c r="F28" s="11" t="str">
        <x:v>EXISTING</x:v>
      </x:c>
      <x:c r="G28" s="9" t="str">
        <x:v>OPTIMIZE</x:v>
      </x:c>
      <x:c r="H28" s="9" t="str">
        <x:v>automatic car hire naxos</x:v>
      </x:c>
      <x:c r="I28" s="9" t="str">
        <x:v>K013, K150</x:v>
      </x:c>
      <x:c r="J28" s="9" t="str">
        <x:v>automatic car hire naxos; automatic car rental naxos</x:v>
      </x:c>
      <x:c r="K28" s="9" t="str">
        <x:v>Focused commercial / service page</x:v>
      </x:c>
      <x:c r="L28" s="9" t="str">
        <x:v>Existing focused route serves a distinct decision. Keep spelling and long-tail variations on the same owner.</x:v>
      </x:c>
      <x:c r="M28" s="9" t="str">
        <x:v>Do not create a page per variant. No harmful cannibalization proven from present data.</x:v>
      </x:c>
      <x:c r="N28" s="9" t="str">
        <x:v>Named local expertise, current terms and transparent booking</x:v>
      </x:c>
      <x:c r="O28" s="9" t="str">
        <x:v>kw-gb</x:v>
      </x:c>
      <x:c r="P28" s="9" t="str">
        <x:v>INFERRED</x:v>
      </x:c>
      <x:c r="Q28" s="9" t="str">
        <x:v>Google vendor data; no Bing SERP validation</x:v>
      </x:c>
    </x:row>
    <x:row r="29" ht="48" customHeight="1">
      <x:c r="A29" s="8" t="str">
        <x:v>C-el-airport</x:v>
      </x:c>
      <x:c r="B29" s="8" t="str">
        <x:v>Greek</x:v>
      </x:c>
      <x:c r="C29" s="8" t="str">
        <x:v>GR</x:v>
      </x:c>
      <x:c r="D29" s="8" t="str">
        <x:v>Collect at Naxos airport</x:v>
      </x:c>
      <x:c r="E29" s="10" t="str">
        <x:v>https://naxos-carrentals.com/el/locations/airport-pickup</x:v>
      </x:c>
      <x:c r="F29" s="10" t="str">
        <x:v>EXISTING</x:v>
      </x:c>
      <x:c r="G29" s="8" t="str">
        <x:v>OPTIMIZE</x:v>
      </x:c>
      <x:c r="H29" s="8" t="str">
        <x:v>ενοικιαση αυτοκινητου ναξος αεροδρομιο</x:v>
      </x:c>
      <x:c r="I29" s="8" t="str">
        <x:v>K158</x:v>
      </x:c>
      <x:c r="J29" s="8" t="str">
        <x:v>ενοικιαση αυτοκινητου ναξος αεροδρομιο</x:v>
      </x:c>
      <x:c r="K29" s="8" t="str">
        <x:v>Focused commercial / service page</x:v>
      </x:c>
      <x:c r="L29" s="8" t="str">
        <x:v>Existing focused route serves a distinct decision. Keep spelling and long-tail variations on the same owner.</x:v>
      </x:c>
      <x:c r="M29" s="8" t="str">
        <x:v>Do not create a page per variant. No harmful cannibalization proven from present data.</x:v>
      </x:c>
      <x:c r="N29" s="8" t="str">
        <x:v>Dated meeting-point photos, map, real arrival and delay process</x:v>
      </x:c>
      <x:c r="O29" s="8" t="str">
        <x:v>kw-el-enrich</x:v>
      </x:c>
      <x:c r="P29" s="8" t="str">
        <x:v>INFERRED</x:v>
      </x:c>
      <x:c r="Q29" s="8" t="str">
        <x:v>Google vendor data; no Bing SERP validation</x:v>
      </x:c>
    </x:row>
    <x:row r="30" ht="48" customHeight="1">
      <x:c r="A30" s="9" t="str">
        <x:v>C-fr-pricing</x:v>
      </x:c>
      <x:c r="B30" s="9" t="str">
        <x:v>French</x:v>
      </x:c>
      <x:c r="C30" s="9" t="str">
        <x:v>FR</x:v>
      </x:c>
      <x:c r="D30" s="9" t="str">
        <x:v>Understand total rental cost</x:v>
      </x:c>
      <x:c r="E30" s="11" t="str">
        <x:v>https://naxos-carrentals.com/fr/pricing</x:v>
      </x:c>
      <x:c r="F30" s="11" t="str">
        <x:v>EXISTING</x:v>
      </x:c>
      <x:c r="G30" s="9" t="str">
        <x:v>OPTIMIZE</x:v>
      </x:c>
      <x:c r="H30" s="9" t="str">
        <x:v>location voiture naxos pas cher</x:v>
      </x:c>
      <x:c r="I30" s="9" t="str">
        <x:v>K085, K096, K101</x:v>
      </x:c>
      <x:c r="J30" s="9" t="str">
        <x:v>location voiture naxos pas cher; prix location voiture naxos; location voiture pas cher naxos</x:v>
      </x:c>
      <x:c r="K30" s="9" t="str">
        <x:v>Focused commercial / service page</x:v>
      </x:c>
      <x:c r="L30" s="9" t="str">
        <x:v>Existing focused route serves a distinct decision. Keep spelling and long-tail variations on the same owner.</x:v>
      </x:c>
      <x:c r="M30" s="9" t="str">
        <x:v>Do not create a page per variant. No harmful cannibalization proven from present data.</x:v>
      </x:c>
      <x:c r="N30" s="9" t="str">
        <x:v>Named local expertise, current terms and transparent booking</x:v>
      </x:c>
      <x:c r="O30" s="9" t="str">
        <x:v>discover-fr</x:v>
      </x:c>
      <x:c r="P30" s="9" t="str">
        <x:v>INFERRED</x:v>
      </x:c>
      <x:c r="Q30" s="9" t="str">
        <x:v>Google vendor data; no Bing SERP validation</x:v>
      </x:c>
    </x:row>
    <x:row r="31" ht="48" customHeight="1">
      <x:c r="A31" s="8" t="str">
        <x:v>C-fr-town</x:v>
      </x:c>
      <x:c r="B31" s="8" t="str">
        <x:v>French</x:v>
      </x:c>
      <x:c r="C31" s="8" t="str">
        <x:v>FR</x:v>
      </x:c>
      <x:c r="D31" s="8" t="str">
        <x:v>Arrange Chora pickup</x:v>
      </x:c>
      <x:c r="E31" s="10" t="str">
        <x:v>https://naxos-carrentals.com/fr/locations/naxos-town</x:v>
      </x:c>
      <x:c r="F31" s="10" t="str">
        <x:v>EXISTING</x:v>
      </x:c>
      <x:c r="G31" s="8" t="str">
        <x:v>OPTIMIZE</x:v>
      </x:c>
      <x:c r="H31" s="8" t="str">
        <x:v>location voiture naxos chora</x:v>
      </x:c>
      <x:c r="I31" s="8" t="str">
        <x:v>K088</x:v>
      </x:c>
      <x:c r="J31" s="8" t="str">
        <x:v>location voiture naxos chora</x:v>
      </x:c>
      <x:c r="K31" s="8" t="str">
        <x:v>Focused commercial / service page</x:v>
      </x:c>
      <x:c r="L31" s="8" t="str">
        <x:v>Existing focused route serves a distinct decision. Keep spelling and long-tail variations on the same owner.</x:v>
      </x:c>
      <x:c r="M31" s="8" t="str">
        <x:v>Do not create a page per variant. No harmful cannibalization proven from present data.</x:v>
      </x:c>
      <x:c r="N31" s="8" t="str">
        <x:v>Named local expertise, current terms and transparent booking</x:v>
      </x:c>
      <x:c r="O31" s="8" t="str">
        <x:v>discover-fr</x:v>
      </x:c>
      <x:c r="P31" s="8" t="str">
        <x:v>INFERRED</x:v>
      </x:c>
      <x:c r="Q31" s="8" t="str">
        <x:v>Google vendor data; no Bing SERP validation</x:v>
      </x:c>
    </x:row>
    <x:row r="32" ht="48" customHeight="1">
      <x:c r="A32" s="9" t="str">
        <x:v>C-fr-prokopios</x:v>
      </x:c>
      <x:c r="B32" s="9" t="str">
        <x:v>French</x:v>
      </x:c>
      <x:c r="C32" s="9" t="str">
        <x:v>FR</x:v>
      </x:c>
      <x:c r="D32" s="9" t="str">
        <x:v>Arrange Agios Prokopios delivery</x:v>
      </x:c>
      <x:c r="E32" s="11" t="str">
        <x:v>https://naxos-carrentals.com/fr/locations/agios-prokopios</x:v>
      </x:c>
      <x:c r="F32" s="11" t="str">
        <x:v>EXISTING</x:v>
      </x:c>
      <x:c r="G32" s="9" t="str">
        <x:v>OPTIMIZE</x:v>
      </x:c>
      <x:c r="H32" s="9" t="str">
        <x:v>location voiture naxos agios prokopios</x:v>
      </x:c>
      <x:c r="I32" s="9" t="str">
        <x:v>K091</x:v>
      </x:c>
      <x:c r="J32" s="9" t="str">
        <x:v>location voiture naxos agios prokopios</x:v>
      </x:c>
      <x:c r="K32" s="9" t="str">
        <x:v>Focused commercial / service page</x:v>
      </x:c>
      <x:c r="L32" s="9" t="str">
        <x:v>Existing focused route serves a distinct decision. Keep spelling and long-tail variations on the same owner.</x:v>
      </x:c>
      <x:c r="M32" s="9" t="str">
        <x:v>Do not create a page per variant. No harmful cannibalization proven from present data.</x:v>
      </x:c>
      <x:c r="N32" s="9" t="str">
        <x:v>Named local expertise, current terms and transparent booking</x:v>
      </x:c>
      <x:c r="O32" s="9" t="str">
        <x:v>discover-fr</x:v>
      </x:c>
      <x:c r="P32" s="9" t="str">
        <x:v>INFERRED</x:v>
      </x:c>
      <x:c r="Q32" s="9" t="str">
        <x:v>Google vendor data; no Bing SERP validation</x:v>
      </x:c>
    </x:row>
    <x:row r="33" ht="48" customHeight="1">
      <x:c r="A33" s="8" t="str">
        <x:v>C-fr-reviews</x:v>
      </x:c>
      <x:c r="B33" s="8" t="str">
        <x:v>French</x:v>
      </x:c>
      <x:c r="C33" s="8" t="str">
        <x:v>FR</x:v>
      </x:c>
      <x:c r="D33" s="8" t="str">
        <x:v>Assess operator trust</x:v>
      </x:c>
      <x:c r="E33" s="10" t="str">
        <x:v>https://naxos-carrentals.com/fr/reviews</x:v>
      </x:c>
      <x:c r="F33" s="10" t="str">
        <x:v>EXISTING</x:v>
      </x:c>
      <x:c r="G33" s="8" t="str">
        <x:v>OPTIMIZE</x:v>
      </x:c>
      <x:c r="H33" s="8" t="str">
        <x:v>location voiture naxos routard</x:v>
      </x:c>
      <x:c r="I33" s="8" t="str">
        <x:v>K095, K097</x:v>
      </x:c>
      <x:c r="J33" s="8" t="str">
        <x:v>location voiture naxos routard; location voiture naxos avis</x:v>
      </x:c>
      <x:c r="K33" s="8" t="str">
        <x:v>Focused commercial / service page</x:v>
      </x:c>
      <x:c r="L33" s="8" t="str">
        <x:v>Existing focused route serves a distinct decision. Keep spelling and long-tail variations on the same owner.</x:v>
      </x:c>
      <x:c r="M33" s="8" t="str">
        <x:v>Do not create a page per variant. No harmful cannibalization proven from present data.</x:v>
      </x:c>
      <x:c r="N33" s="8" t="str">
        <x:v>Named local expertise, current terms and transparent booking</x:v>
      </x:c>
      <x:c r="O33" s="8" t="str">
        <x:v>discover-fr</x:v>
      </x:c>
      <x:c r="P33" s="8" t="str">
        <x:v>INFERRED</x:v>
      </x:c>
      <x:c r="Q33" s="8" t="str">
        <x:v>Google vendor data; no Bing SERP validation</x:v>
      </x:c>
    </x:row>
    <x:row r="34" ht="48" customHeight="1">
      <x:c r="A34" s="9" t="str">
        <x:v>C-de-town</x:v>
      </x:c>
      <x:c r="B34" s="9" t="str">
        <x:v>German</x:v>
      </x:c>
      <x:c r="C34" s="9" t="str">
        <x:v>DE</x:v>
      </x:c>
      <x:c r="D34" s="9" t="str">
        <x:v>Arrange Chora pickup</x:v>
      </x:c>
      <x:c r="E34" s="11" t="str">
        <x:v>https://naxos-carrentals.com/de/locations/naxos-town</x:v>
      </x:c>
      <x:c r="F34" s="11" t="str">
        <x:v>EXISTING</x:v>
      </x:c>
      <x:c r="G34" s="9" t="str">
        <x:v>OPTIMIZE</x:v>
      </x:c>
      <x:c r="H34" s="9" t="str">
        <x:v>mietwagen naxos stadt</x:v>
      </x:c>
      <x:c r="I34" s="9" t="str">
        <x:v>K138</x:v>
      </x:c>
      <x:c r="J34" s="9" t="str">
        <x:v>mietwagen naxos stadt</x:v>
      </x:c>
      <x:c r="K34" s="9" t="str">
        <x:v>Focused commercial / service page</x:v>
      </x:c>
      <x:c r="L34" s="9" t="str">
        <x:v>Existing focused route serves a distinct decision. Keep spelling and long-tail variations on the same owner.</x:v>
      </x:c>
      <x:c r="M34" s="9" t="str">
        <x:v>Do not create a page per variant. No harmful cannibalization proven from present data.</x:v>
      </x:c>
      <x:c r="N34" s="9" t="str">
        <x:v>Named local expertise, current terms and transparent booking</x:v>
      </x:c>
      <x:c r="O34" s="9" t="str">
        <x:v>discover-de</x:v>
      </x:c>
      <x:c r="P34" s="9" t="str">
        <x:v>INFERRED</x:v>
      </x:c>
      <x:c r="Q34" s="9" t="str">
        <x:v>Google vendor data; no Bing SERP validation</x:v>
      </x:c>
    </x:row>
    <x:row r="35" ht="48" customHeight="1">
      <x:c r="A35" s="8" t="str">
        <x:v>C-de-pricing</x:v>
      </x:c>
      <x:c r="B35" s="8" t="str">
        <x:v>German</x:v>
      </x:c>
      <x:c r="C35" s="8" t="str">
        <x:v>DE</x:v>
      </x:c>
      <x:c r="D35" s="8" t="str">
        <x:v>Understand total rental cost</x:v>
      </x:c>
      <x:c r="E35" s="10" t="str">
        <x:v>https://naxos-carrentals.com/de/pricing</x:v>
      </x:c>
      <x:c r="F35" s="10" t="str">
        <x:v>EXISTING</x:v>
      </x:c>
      <x:c r="G35" s="8" t="str">
        <x:v>OPTIMIZE</x:v>
      </x:c>
      <x:c r="H35" s="8" t="str">
        <x:v>billige mietwagen naxos</x:v>
      </x:c>
      <x:c r="I35" s="8" t="str">
        <x:v>K142</x:v>
      </x:c>
      <x:c r="J35" s="8" t="str">
        <x:v>billige mietwagen naxos</x:v>
      </x:c>
      <x:c r="K35" s="8" t="str">
        <x:v>Focused commercial / service page</x:v>
      </x:c>
      <x:c r="L35" s="8" t="str">
        <x:v>Existing focused route serves a distinct decision. Keep spelling and long-tail variations on the same owner.</x:v>
      </x:c>
      <x:c r="M35" s="8" t="str">
        <x:v>Do not create a page per variant. No harmful cannibalization proven from present data.</x:v>
      </x:c>
      <x:c r="N35" s="8" t="str">
        <x:v>Named local expertise, current terms and transparent booking</x:v>
      </x:c>
      <x:c r="O35" s="8" t="str">
        <x:v>discover-de</x:v>
      </x:c>
      <x:c r="P35" s="8" t="str">
        <x:v>INFERRED</x:v>
      </x:c>
      <x:c r="Q35" s="8" t="str">
        <x:v>Google vendor data; no Bing SERP validation</x:v>
      </x:c>
    </x:row>
    <x:row r="36" ht="48" customHeight="1">
      <x:c r="A36" s="9" t="str">
        <x:v>C-el-pricing</x:v>
      </x:c>
      <x:c r="B36" s="9" t="str">
        <x:v>Greek</x:v>
      </x:c>
      <x:c r="C36" s="9" t="str">
        <x:v>GR</x:v>
      </x:c>
      <x:c r="D36" s="9" t="str">
        <x:v>Understand total rental cost</x:v>
      </x:c>
      <x:c r="E36" s="11" t="str">
        <x:v>https://naxos-carrentals.com/el/pricing</x:v>
      </x:c>
      <x:c r="F36" s="11" t="str">
        <x:v>EXISTING</x:v>
      </x:c>
      <x:c r="G36" s="9" t="str">
        <x:v>OPTIMIZE</x:v>
      </x:c>
      <x:c r="H36" s="9" t="str">
        <x:v>ενοικιαση αυτοκινητου ναξος τιμες</x:v>
      </x:c>
      <x:c r="I36" s="9" t="str">
        <x:v>K161</x:v>
      </x:c>
      <x:c r="J36" s="9" t="str">
        <x:v>ενοικιαση αυτοκινητου ναξος τιμες</x:v>
      </x:c>
      <x:c r="K36" s="9" t="str">
        <x:v>Focused commercial / service page</x:v>
      </x:c>
      <x:c r="L36" s="9" t="str">
        <x:v>Existing focused route serves a distinct decision. Keep spelling and long-tail variations on the same owner.</x:v>
      </x:c>
      <x:c r="M36" s="9" t="str">
        <x:v>Do not create a page per variant. No harmful cannibalization proven from present data.</x:v>
      </x:c>
      <x:c r="N36" s="9" t="str">
        <x:v>Named local expertise, current terms and transparent booking</x:v>
      </x:c>
      <x:c r="O36" s="9" t="str">
        <x:v>kw-el-enrich</x:v>
      </x:c>
      <x:c r="P36" s="9" t="str">
        <x:v>INFERRED</x:v>
      </x:c>
      <x:c r="Q36" s="9" t="str">
        <x:v>Google vendor data; no Bing SERP validation</x:v>
      </x:c>
    </x:row>
    <x:row r="37" ht="48" customHeight="1">
      <x:c r="A37" s="8" t="str">
        <x:v>C-en-family</x:v>
      </x:c>
      <x:c r="B37" s="8" t="str">
        <x:v>English</x:v>
      </x:c>
      <x:c r="C37" s="8" t="str">
        <x:v>GB</x:v>
      </x:c>
      <x:c r="D37" s="8" t="str">
        <x:v>Travel with seven passengers</x:v>
      </x:c>
      <x:c r="E37" s="10" t="str">
        <x:v>https://naxos-carrentals.com/en/fleet/collections/family-7-seater</x:v>
      </x:c>
      <x:c r="F37" s="10" t="str">
        <x:v>EXISTING</x:v>
      </x:c>
      <x:c r="G37" s="8" t="str">
        <x:v>OPTIMIZE</x:v>
      </x:c>
      <x:c r="H37" s="8"/>
      <x:c r="I37" s="8" t="str"/>
      <x:c r="J37" s="8" t="str"/>
      <x:c r="K37" s="8" t="str">
        <x:v>Focused commercial / service page</x:v>
      </x:c>
      <x:c r="L37" s="8" t="str">
        <x:v>Existing focused route serves a distinct decision. Keep spelling and long-tail variations on the same owner.</x:v>
      </x:c>
      <x:c r="M37" s="8" t="str">
        <x:v>Do not create a page per variant. No harmful cannibalization proven from present data.</x:v>
      </x:c>
      <x:c r="N37" s="8" t="str">
        <x:v>Current inventory and verified specs, luggage and restrictions</x:v>
      </x:c>
      <x:c r="O37" s="8" t="str">
        <x:v>SRC-REPO</x:v>
      </x:c>
      <x:c r="P37" s="8" t="str">
        <x:v>PROPOSED</x:v>
      </x:c>
      <x:c r="Q37" s="8" t="str">
        <x:v>No phrase-level demand validated in sample</x:v>
      </x:c>
    </x:row>
    <x:row r="38" ht="48" customHeight="1">
      <x:c r="A38" s="9" t="str">
        <x:v>C-en-suv</x:v>
      </x:c>
      <x:c r="B38" s="9" t="str">
        <x:v>English</x:v>
      </x:c>
      <x:c r="C38" s="9" t="str">
        <x:v>GB</x:v>
      </x:c>
      <x:c r="D38" s="9" t="str">
        <x:v>Compare SUV and 4x4</x:v>
      </x:c>
      <x:c r="E38" s="11" t="str">
        <x:v>https://naxos-carrentals.com/en/fleet/collections/suv-4x4</x:v>
      </x:c>
      <x:c r="F38" s="11" t="str">
        <x:v>EXISTING</x:v>
      </x:c>
      <x:c r="G38" s="9" t="str">
        <x:v>OPTIMIZE</x:v>
      </x:c>
      <x:c r="H38" s="9"/>
      <x:c r="I38" s="9" t="str"/>
      <x:c r="J38" s="9" t="str"/>
      <x:c r="K38" s="9" t="str">
        <x:v>Focused commercial / service page</x:v>
      </x:c>
      <x:c r="L38" s="9" t="str">
        <x:v>Existing focused route serves a distinct decision. Keep spelling and long-tail variations on the same owner.</x:v>
      </x:c>
      <x:c r="M38" s="9" t="str">
        <x:v>Do not create a page per variant. No harmful cannibalization proven from present data.</x:v>
      </x:c>
      <x:c r="N38" s="9" t="str">
        <x:v>Current inventory and verified specs, luggage and restrictions</x:v>
      </x:c>
      <x:c r="O38" s="9" t="str">
        <x:v>SRC-REPO</x:v>
      </x:c>
      <x:c r="P38" s="9" t="str">
        <x:v>PROPOSED</x:v>
      </x:c>
      <x:c r="Q38" s="9" t="str">
        <x:v>No phrase-level demand validated in sample</x:v>
      </x:c>
    </x:row>
    <x:row r="39" ht="48" customHeight="1">
      <x:c r="A39" s="8" t="str">
        <x:v>C-en-insurance</x:v>
      </x:c>
      <x:c r="B39" s="8" t="str">
        <x:v>English</x:v>
      </x:c>
      <x:c r="C39" s="8" t="str">
        <x:v>GB</x:v>
      </x:c>
      <x:c r="D39" s="8" t="str">
        <x:v>Understand cover and excess</x:v>
      </x:c>
      <x:c r="E39" s="10" t="str">
        <x:v>https://naxos-carrentals.com/en/insurance</x:v>
      </x:c>
      <x:c r="F39" s="10" t="str">
        <x:v>EXISTING</x:v>
      </x:c>
      <x:c r="G39" s="8" t="str">
        <x:v>OPTIMIZE</x:v>
      </x:c>
      <x:c r="H39" s="8"/>
      <x:c r="I39" s="8" t="str"/>
      <x:c r="J39" s="8" t="str"/>
      <x:c r="K39" s="8" t="str">
        <x:v>Focused commercial / service page</x:v>
      </x:c>
      <x:c r="L39" s="8" t="str">
        <x:v>Existing focused route serves a distinct decision. Keep spelling and long-tail variations on the same owner.</x:v>
      </x:c>
      <x:c r="M39" s="8" t="str">
        <x:v>Do not create a page per variant. No harmful cannibalization proven from present data.</x:v>
      </x:c>
      <x:c r="N39" s="8" t="str">
        <x:v>Current inventory and verified specs, luggage and restrictions</x:v>
      </x:c>
      <x:c r="O39" s="8" t="str">
        <x:v>SRC-REPO</x:v>
      </x:c>
      <x:c r="P39" s="8" t="str">
        <x:v>PROPOSED</x:v>
      </x:c>
      <x:c r="Q39" s="8" t="str">
        <x:v>No phrase-level demand validated in sample</x:v>
      </x:c>
    </x:row>
    <x:row r="40" ht="48" customHeight="1">
      <x:c r="A40" s="9" t="str">
        <x:v>C-en-fleet</x:v>
      </x:c>
      <x:c r="B40" s="9" t="str">
        <x:v>English</x:v>
      </x:c>
      <x:c r="C40" s="9" t="str">
        <x:v>GB</x:v>
      </x:c>
      <x:c r="D40" s="9" t="str">
        <x:v>Compare vehicles and luggage</x:v>
      </x:c>
      <x:c r="E40" s="11" t="str">
        <x:v>https://naxos-carrentals.com/en/fleet/cars</x:v>
      </x:c>
      <x:c r="F40" s="11" t="str">
        <x:v>EXISTING</x:v>
      </x:c>
      <x:c r="G40" s="9" t="str">
        <x:v>OPTIMIZE</x:v>
      </x:c>
      <x:c r="H40" s="9"/>
      <x:c r="I40" s="9" t="str"/>
      <x:c r="J40" s="9" t="str"/>
      <x:c r="K40" s="9" t="str">
        <x:v>Inventory category</x:v>
      </x:c>
      <x:c r="L40" s="9" t="str">
        <x:v>Existing focused route serves a distinct decision. Keep spelling and long-tail variations on the same owner.</x:v>
      </x:c>
      <x:c r="M40" s="9" t="str">
        <x:v>Do not create a page per variant. No harmful cannibalization proven from present data.</x:v>
      </x:c>
      <x:c r="N40" s="9" t="str">
        <x:v>Current inventory and verified specs, luggage and restrictions</x:v>
      </x:c>
      <x:c r="O40" s="9" t="str">
        <x:v>SRC-REPO</x:v>
      </x:c>
      <x:c r="P40" s="9" t="str">
        <x:v>PROPOSED</x:v>
      </x:c>
      <x:c r="Q40" s="9" t="str">
        <x:v>No phrase-level demand validated in sample</x:v>
      </x:c>
    </x:row>
    <x:row r="41" ht="48" customHeight="1">
      <x:c r="A41" s="8" t="str">
        <x:v>C-el-automatic</x:v>
      </x:c>
      <x:c r="B41" s="8" t="str">
        <x:v>Greek</x:v>
      </x:c>
      <x:c r="C41" s="8" t="str">
        <x:v>GR</x:v>
      </x:c>
      <x:c r="D41" s="8" t="str">
        <x:v>Choose an automatic car</x:v>
      </x:c>
      <x:c r="E41" s="10" t="str">
        <x:v>https://naxos-carrentals.com/el/fleet/collections/automatic</x:v>
      </x:c>
      <x:c r="F41" s="10" t="str">
        <x:v>EXISTING</x:v>
      </x:c>
      <x:c r="G41" s="8" t="str">
        <x:v>OPTIMIZE</x:v>
      </x:c>
      <x:c r="H41" s="8"/>
      <x:c r="I41" s="8" t="str"/>
      <x:c r="J41" s="8" t="str"/>
      <x:c r="K41" s="8" t="str">
        <x:v>Focused commercial / service page</x:v>
      </x:c>
      <x:c r="L41" s="8" t="str">
        <x:v>Existing focused route serves a distinct decision. Keep spelling and long-tail variations on the same owner.</x:v>
      </x:c>
      <x:c r="M41" s="8" t="str">
        <x:v>Do not create a page per variant. No harmful cannibalization proven from present data.</x:v>
      </x:c>
      <x:c r="N41" s="8" t="str">
        <x:v>Current inventory and verified specs, luggage and restrictions</x:v>
      </x:c>
      <x:c r="O41" s="8" t="str">
        <x:v>SRC-REPO</x:v>
      </x:c>
      <x:c r="P41" s="8" t="str">
        <x:v>PROPOSED</x:v>
      </x:c>
      <x:c r="Q41" s="8" t="str">
        <x:v>No phrase-level demand validated in sample</x:v>
      </x:c>
    </x:row>
    <x:row r="42" ht="48" customHeight="1">
      <x:c r="A42" s="9" t="str">
        <x:v>C-el-family</x:v>
      </x:c>
      <x:c r="B42" s="9" t="str">
        <x:v>Greek</x:v>
      </x:c>
      <x:c r="C42" s="9" t="str">
        <x:v>GR</x:v>
      </x:c>
      <x:c r="D42" s="9" t="str">
        <x:v>Travel with seven passengers</x:v>
      </x:c>
      <x:c r="E42" s="11" t="str">
        <x:v>https://naxos-carrentals.com/el/fleet/collections/family-7-seater</x:v>
      </x:c>
      <x:c r="F42" s="11" t="str">
        <x:v>EXISTING</x:v>
      </x:c>
      <x:c r="G42" s="9" t="str">
        <x:v>OPTIMIZE</x:v>
      </x:c>
      <x:c r="H42" s="9"/>
      <x:c r="I42" s="9" t="str"/>
      <x:c r="J42" s="9" t="str"/>
      <x:c r="K42" s="9" t="str">
        <x:v>Focused commercial / service page</x:v>
      </x:c>
      <x:c r="L42" s="9" t="str">
        <x:v>Existing focused route serves a distinct decision. Keep spelling and long-tail variations on the same owner.</x:v>
      </x:c>
      <x:c r="M42" s="9" t="str">
        <x:v>Do not create a page per variant. No harmful cannibalization proven from present data.</x:v>
      </x:c>
      <x:c r="N42" s="9" t="str">
        <x:v>Current inventory and verified specs, luggage and restrictions</x:v>
      </x:c>
      <x:c r="O42" s="9" t="str">
        <x:v>SRC-REPO</x:v>
      </x:c>
      <x:c r="P42" s="9" t="str">
        <x:v>PROPOSED</x:v>
      </x:c>
      <x:c r="Q42" s="9" t="str">
        <x:v>No phrase-level demand validated in sample</x:v>
      </x:c>
    </x:row>
    <x:row r="43" ht="48" customHeight="1">
      <x:c r="A43" s="8" t="str">
        <x:v>C-el-suv</x:v>
      </x:c>
      <x:c r="B43" s="8" t="str">
        <x:v>Greek</x:v>
      </x:c>
      <x:c r="C43" s="8" t="str">
        <x:v>GR</x:v>
      </x:c>
      <x:c r="D43" s="8" t="str">
        <x:v>Compare SUV and 4x4</x:v>
      </x:c>
      <x:c r="E43" s="10" t="str">
        <x:v>https://naxos-carrentals.com/el/fleet/collections/suv-4x4</x:v>
      </x:c>
      <x:c r="F43" s="10" t="str">
        <x:v>EXISTING</x:v>
      </x:c>
      <x:c r="G43" s="8" t="str">
        <x:v>OPTIMIZE</x:v>
      </x:c>
      <x:c r="H43" s="8"/>
      <x:c r="I43" s="8" t="str"/>
      <x:c r="J43" s="8" t="str"/>
      <x:c r="K43" s="8" t="str">
        <x:v>Focused commercial / service page</x:v>
      </x:c>
      <x:c r="L43" s="8" t="str">
        <x:v>Existing focused route serves a distinct decision. Keep spelling and long-tail variations on the same owner.</x:v>
      </x:c>
      <x:c r="M43" s="8" t="str">
        <x:v>Do not create a page per variant. No harmful cannibalization proven from present data.</x:v>
      </x:c>
      <x:c r="N43" s="8" t="str">
        <x:v>Current inventory and verified specs, luggage and restrictions</x:v>
      </x:c>
      <x:c r="O43" s="8" t="str">
        <x:v>SRC-REPO</x:v>
      </x:c>
      <x:c r="P43" s="8" t="str">
        <x:v>PROPOSED</x:v>
      </x:c>
      <x:c r="Q43" s="8" t="str">
        <x:v>No phrase-level demand validated in sample</x:v>
      </x:c>
    </x:row>
    <x:row r="44" ht="48" customHeight="1">
      <x:c r="A44" s="9" t="str">
        <x:v>C-el-insurance</x:v>
      </x:c>
      <x:c r="B44" s="9" t="str">
        <x:v>Greek</x:v>
      </x:c>
      <x:c r="C44" s="9" t="str">
        <x:v>GR</x:v>
      </x:c>
      <x:c r="D44" s="9" t="str">
        <x:v>Understand cover and excess</x:v>
      </x:c>
      <x:c r="E44" s="11" t="str">
        <x:v>https://naxos-carrentals.com/el/insurance</x:v>
      </x:c>
      <x:c r="F44" s="11" t="str">
        <x:v>EXISTING</x:v>
      </x:c>
      <x:c r="G44" s="9" t="str">
        <x:v>OPTIMIZE</x:v>
      </x:c>
      <x:c r="H44" s="9"/>
      <x:c r="I44" s="9" t="str"/>
      <x:c r="J44" s="9" t="str"/>
      <x:c r="K44" s="9" t="str">
        <x:v>Focused commercial / service page</x:v>
      </x:c>
      <x:c r="L44" s="9" t="str">
        <x:v>Existing focused route serves a distinct decision. Keep spelling and long-tail variations on the same owner.</x:v>
      </x:c>
      <x:c r="M44" s="9" t="str">
        <x:v>Do not create a page per variant. No harmful cannibalization proven from present data.</x:v>
      </x:c>
      <x:c r="N44" s="9" t="str">
        <x:v>Current inventory and verified specs, luggage and restrictions</x:v>
      </x:c>
      <x:c r="O44" s="9" t="str">
        <x:v>SRC-REPO</x:v>
      </x:c>
      <x:c r="P44" s="9" t="str">
        <x:v>PROPOSED</x:v>
      </x:c>
      <x:c r="Q44" s="9" t="str">
        <x:v>No phrase-level demand validated in sample</x:v>
      </x:c>
    </x:row>
    <x:row r="45" ht="48" customHeight="1">
      <x:c r="A45" s="8" t="str">
        <x:v>C-el-fleet</x:v>
      </x:c>
      <x:c r="B45" s="8" t="str">
        <x:v>Greek</x:v>
      </x:c>
      <x:c r="C45" s="8" t="str">
        <x:v>GR</x:v>
      </x:c>
      <x:c r="D45" s="8" t="str">
        <x:v>Compare vehicles and luggage</x:v>
      </x:c>
      <x:c r="E45" s="10" t="str">
        <x:v>https://naxos-carrentals.com/el/fleet/cars</x:v>
      </x:c>
      <x:c r="F45" s="10" t="str">
        <x:v>EXISTING</x:v>
      </x:c>
      <x:c r="G45" s="8" t="str">
        <x:v>OPTIMIZE</x:v>
      </x:c>
      <x:c r="H45" s="8"/>
      <x:c r="I45" s="8" t="str"/>
      <x:c r="J45" s="8" t="str"/>
      <x:c r="K45" s="8" t="str">
        <x:v>Inventory category</x:v>
      </x:c>
      <x:c r="L45" s="8" t="str">
        <x:v>Existing focused route serves a distinct decision. Keep spelling and long-tail variations on the same owner.</x:v>
      </x:c>
      <x:c r="M45" s="8" t="str">
        <x:v>Do not create a page per variant. No harmful cannibalization proven from present data.</x:v>
      </x:c>
      <x:c r="N45" s="8" t="str">
        <x:v>Current inventory and verified specs, luggage and restrictions</x:v>
      </x:c>
      <x:c r="O45" s="8" t="str">
        <x:v>SRC-REPO</x:v>
      </x:c>
      <x:c r="P45" s="8" t="str">
        <x:v>PROPOSED</x:v>
      </x:c>
      <x:c r="Q45" s="8" t="str">
        <x:v>No phrase-level demand validated in sample</x:v>
      </x:c>
    </x:row>
    <x:row r="46" ht="48" customHeight="1">
      <x:c r="A46" s="9" t="str">
        <x:v>C-it-automatic</x:v>
      </x:c>
      <x:c r="B46" s="9" t="str">
        <x:v>Italian</x:v>
      </x:c>
      <x:c r="C46" s="9" t="str">
        <x:v>IT</x:v>
      </x:c>
      <x:c r="D46" s="9" t="str">
        <x:v>Choose an automatic car</x:v>
      </x:c>
      <x:c r="E46" s="11" t="str">
        <x:v>https://naxos-carrentals.com/it/fleet/collections/automatic</x:v>
      </x:c>
      <x:c r="F46" s="11" t="str">
        <x:v>EXISTING</x:v>
      </x:c>
      <x:c r="G46" s="9" t="str">
        <x:v>OPTIMIZE</x:v>
      </x:c>
      <x:c r="H46" s="9"/>
      <x:c r="I46" s="9" t="str"/>
      <x:c r="J46" s="9" t="str"/>
      <x:c r="K46" s="9" t="str">
        <x:v>Focused commercial / service page</x:v>
      </x:c>
      <x:c r="L46" s="9" t="str">
        <x:v>Existing focused route serves a distinct decision. Keep spelling and long-tail variations on the same owner.</x:v>
      </x:c>
      <x:c r="M46" s="9" t="str">
        <x:v>Do not create a page per variant. No harmful cannibalization proven from present data.</x:v>
      </x:c>
      <x:c r="N46" s="9" t="str">
        <x:v>Current inventory and verified specs, luggage and restrictions</x:v>
      </x:c>
      <x:c r="O46" s="9" t="str">
        <x:v>SRC-REPO</x:v>
      </x:c>
      <x:c r="P46" s="9" t="str">
        <x:v>PROPOSED</x:v>
      </x:c>
      <x:c r="Q46" s="9" t="str">
        <x:v>No phrase-level demand validated in sample</x:v>
      </x:c>
    </x:row>
    <x:row r="47" ht="48" customHeight="1">
      <x:c r="A47" s="8" t="str">
        <x:v>C-it-family</x:v>
      </x:c>
      <x:c r="B47" s="8" t="str">
        <x:v>Italian</x:v>
      </x:c>
      <x:c r="C47" s="8" t="str">
        <x:v>IT</x:v>
      </x:c>
      <x:c r="D47" s="8" t="str">
        <x:v>Travel with seven passengers</x:v>
      </x:c>
      <x:c r="E47" s="10" t="str">
        <x:v>https://naxos-carrentals.com/it/fleet/collections/family-7-seater</x:v>
      </x:c>
      <x:c r="F47" s="10" t="str">
        <x:v>EXISTING</x:v>
      </x:c>
      <x:c r="G47" s="8" t="str">
        <x:v>OPTIMIZE</x:v>
      </x:c>
      <x:c r="H47" s="8"/>
      <x:c r="I47" s="8" t="str"/>
      <x:c r="J47" s="8" t="str"/>
      <x:c r="K47" s="8" t="str">
        <x:v>Focused commercial / service page</x:v>
      </x:c>
      <x:c r="L47" s="8" t="str">
        <x:v>Existing focused route serves a distinct decision. Keep spelling and long-tail variations on the same owner.</x:v>
      </x:c>
      <x:c r="M47" s="8" t="str">
        <x:v>Do not create a page per variant. No harmful cannibalization proven from present data.</x:v>
      </x:c>
      <x:c r="N47" s="8" t="str">
        <x:v>Current inventory and verified specs, luggage and restrictions</x:v>
      </x:c>
      <x:c r="O47" s="8" t="str">
        <x:v>SRC-REPO</x:v>
      </x:c>
      <x:c r="P47" s="8" t="str">
        <x:v>PROPOSED</x:v>
      </x:c>
      <x:c r="Q47" s="8" t="str">
        <x:v>No phrase-level demand validated in sample</x:v>
      </x:c>
    </x:row>
    <x:row r="48" ht="48" customHeight="1">
      <x:c r="A48" s="9" t="str">
        <x:v>C-it-suv</x:v>
      </x:c>
      <x:c r="B48" s="9" t="str">
        <x:v>Italian</x:v>
      </x:c>
      <x:c r="C48" s="9" t="str">
        <x:v>IT</x:v>
      </x:c>
      <x:c r="D48" s="9" t="str">
        <x:v>Compare SUV and 4x4</x:v>
      </x:c>
      <x:c r="E48" s="11" t="str">
        <x:v>https://naxos-carrentals.com/it/fleet/collections/suv-4x4</x:v>
      </x:c>
      <x:c r="F48" s="11" t="str">
        <x:v>EXISTING</x:v>
      </x:c>
      <x:c r="G48" s="9" t="str">
        <x:v>OPTIMIZE</x:v>
      </x:c>
      <x:c r="H48" s="9"/>
      <x:c r="I48" s="9" t="str"/>
      <x:c r="J48" s="9" t="str"/>
      <x:c r="K48" s="9" t="str">
        <x:v>Focused commercial / service page</x:v>
      </x:c>
      <x:c r="L48" s="9" t="str">
        <x:v>Existing focused route serves a distinct decision. Keep spelling and long-tail variations on the same owner.</x:v>
      </x:c>
      <x:c r="M48" s="9" t="str">
        <x:v>Do not create a page per variant. No harmful cannibalization proven from present data.</x:v>
      </x:c>
      <x:c r="N48" s="9" t="str">
        <x:v>Current inventory and verified specs, luggage and restrictions</x:v>
      </x:c>
      <x:c r="O48" s="9" t="str">
        <x:v>SRC-REPO</x:v>
      </x:c>
      <x:c r="P48" s="9" t="str">
        <x:v>PROPOSED</x:v>
      </x:c>
      <x:c r="Q48" s="9" t="str">
        <x:v>No phrase-level demand validated in sample</x:v>
      </x:c>
    </x:row>
    <x:row r="49" ht="48" customHeight="1">
      <x:c r="A49" s="8" t="str">
        <x:v>C-it-insurance</x:v>
      </x:c>
      <x:c r="B49" s="8" t="str">
        <x:v>Italian</x:v>
      </x:c>
      <x:c r="C49" s="8" t="str">
        <x:v>IT</x:v>
      </x:c>
      <x:c r="D49" s="8" t="str">
        <x:v>Understand cover and excess</x:v>
      </x:c>
      <x:c r="E49" s="10" t="str">
        <x:v>https://naxos-carrentals.com/it/insurance</x:v>
      </x:c>
      <x:c r="F49" s="10" t="str">
        <x:v>EXISTING</x:v>
      </x:c>
      <x:c r="G49" s="8" t="str">
        <x:v>OPTIMIZE</x:v>
      </x:c>
      <x:c r="H49" s="8"/>
      <x:c r="I49" s="8" t="str"/>
      <x:c r="J49" s="8" t="str"/>
      <x:c r="K49" s="8" t="str">
        <x:v>Focused commercial / service page</x:v>
      </x:c>
      <x:c r="L49" s="8" t="str">
        <x:v>Existing focused route serves a distinct decision. Keep spelling and long-tail variations on the same owner.</x:v>
      </x:c>
      <x:c r="M49" s="8" t="str">
        <x:v>Do not create a page per variant. No harmful cannibalization proven from present data.</x:v>
      </x:c>
      <x:c r="N49" s="8" t="str">
        <x:v>Current inventory and verified specs, luggage and restrictions</x:v>
      </x:c>
      <x:c r="O49" s="8" t="str">
        <x:v>SRC-REPO</x:v>
      </x:c>
      <x:c r="P49" s="8" t="str">
        <x:v>PROPOSED</x:v>
      </x:c>
      <x:c r="Q49" s="8" t="str">
        <x:v>No phrase-level demand validated in sample</x:v>
      </x:c>
    </x:row>
    <x:row r="50" ht="48" customHeight="1">
      <x:c r="A50" s="9" t="str">
        <x:v>C-it-fleet</x:v>
      </x:c>
      <x:c r="B50" s="9" t="str">
        <x:v>Italian</x:v>
      </x:c>
      <x:c r="C50" s="9" t="str">
        <x:v>IT</x:v>
      </x:c>
      <x:c r="D50" s="9" t="str">
        <x:v>Compare vehicles and luggage</x:v>
      </x:c>
      <x:c r="E50" s="11" t="str">
        <x:v>https://naxos-carrentals.com/it/fleet/cars</x:v>
      </x:c>
      <x:c r="F50" s="11" t="str">
        <x:v>EXISTING</x:v>
      </x:c>
      <x:c r="G50" s="9" t="str">
        <x:v>OPTIMIZE</x:v>
      </x:c>
      <x:c r="H50" s="9"/>
      <x:c r="I50" s="9" t="str"/>
      <x:c r="J50" s="9" t="str"/>
      <x:c r="K50" s="9" t="str">
        <x:v>Inventory category</x:v>
      </x:c>
      <x:c r="L50" s="9" t="str">
        <x:v>Existing focused route serves a distinct decision. Keep spelling and long-tail variations on the same owner.</x:v>
      </x:c>
      <x:c r="M50" s="9" t="str">
        <x:v>Do not create a page per variant. No harmful cannibalization proven from present data.</x:v>
      </x:c>
      <x:c r="N50" s="9" t="str">
        <x:v>Current inventory and verified specs, luggage and restrictions</x:v>
      </x:c>
      <x:c r="O50" s="9" t="str">
        <x:v>SRC-REPO</x:v>
      </x:c>
      <x:c r="P50" s="9" t="str">
        <x:v>PROPOSED</x:v>
      </x:c>
      <x:c r="Q50" s="9" t="str">
        <x:v>No phrase-level demand validated in sample</x:v>
      </x:c>
    </x:row>
    <x:row r="51" ht="48" customHeight="1">
      <x:c r="A51" s="8" t="str">
        <x:v>C-fr-automatic</x:v>
      </x:c>
      <x:c r="B51" s="8" t="str">
        <x:v>French</x:v>
      </x:c>
      <x:c r="C51" s="8" t="str">
        <x:v>FR</x:v>
      </x:c>
      <x:c r="D51" s="8" t="str">
        <x:v>Choose an automatic car</x:v>
      </x:c>
      <x:c r="E51" s="10" t="str">
        <x:v>https://naxos-carrentals.com/fr/fleet/collections/automatic</x:v>
      </x:c>
      <x:c r="F51" s="10" t="str">
        <x:v>EXISTING</x:v>
      </x:c>
      <x:c r="G51" s="8" t="str">
        <x:v>OPTIMIZE</x:v>
      </x:c>
      <x:c r="H51" s="8"/>
      <x:c r="I51" s="8" t="str"/>
      <x:c r="J51" s="8" t="str"/>
      <x:c r="K51" s="8" t="str">
        <x:v>Focused commercial / service page</x:v>
      </x:c>
      <x:c r="L51" s="8" t="str">
        <x:v>Existing focused route serves a distinct decision. Keep spelling and long-tail variations on the same owner.</x:v>
      </x:c>
      <x:c r="M51" s="8" t="str">
        <x:v>Do not create a page per variant. No harmful cannibalization proven from present data.</x:v>
      </x:c>
      <x:c r="N51" s="8" t="str">
        <x:v>Current inventory and verified specs, luggage and restrictions</x:v>
      </x:c>
      <x:c r="O51" s="8" t="str">
        <x:v>SRC-REPO</x:v>
      </x:c>
      <x:c r="P51" s="8" t="str">
        <x:v>PROPOSED</x:v>
      </x:c>
      <x:c r="Q51" s="8" t="str">
        <x:v>No phrase-level demand validated in sample</x:v>
      </x:c>
    </x:row>
    <x:row r="52" ht="48" customHeight="1">
      <x:c r="A52" s="9" t="str">
        <x:v>C-fr-family</x:v>
      </x:c>
      <x:c r="B52" s="9" t="str">
        <x:v>French</x:v>
      </x:c>
      <x:c r="C52" s="9" t="str">
        <x:v>FR</x:v>
      </x:c>
      <x:c r="D52" s="9" t="str">
        <x:v>Travel with seven passengers</x:v>
      </x:c>
      <x:c r="E52" s="11" t="str">
        <x:v>https://naxos-carrentals.com/fr/fleet/collections/family-7-seater</x:v>
      </x:c>
      <x:c r="F52" s="11" t="str">
        <x:v>EXISTING</x:v>
      </x:c>
      <x:c r="G52" s="9" t="str">
        <x:v>OPTIMIZE</x:v>
      </x:c>
      <x:c r="H52" s="9"/>
      <x:c r="I52" s="9" t="str"/>
      <x:c r="J52" s="9" t="str"/>
      <x:c r="K52" s="9" t="str">
        <x:v>Focused commercial / service page</x:v>
      </x:c>
      <x:c r="L52" s="9" t="str">
        <x:v>Existing focused route serves a distinct decision. Keep spelling and long-tail variations on the same owner.</x:v>
      </x:c>
      <x:c r="M52" s="9" t="str">
        <x:v>Do not create a page per variant. No harmful cannibalization proven from present data.</x:v>
      </x:c>
      <x:c r="N52" s="9" t="str">
        <x:v>Current inventory and verified specs, luggage and restrictions</x:v>
      </x:c>
      <x:c r="O52" s="9" t="str">
        <x:v>SRC-REPO</x:v>
      </x:c>
      <x:c r="P52" s="9" t="str">
        <x:v>PROPOSED</x:v>
      </x:c>
      <x:c r="Q52" s="9" t="str">
        <x:v>No phrase-level demand validated in sample</x:v>
      </x:c>
    </x:row>
    <x:row r="53" ht="48" customHeight="1">
      <x:c r="A53" s="8" t="str">
        <x:v>C-fr-suv</x:v>
      </x:c>
      <x:c r="B53" s="8" t="str">
        <x:v>French</x:v>
      </x:c>
      <x:c r="C53" s="8" t="str">
        <x:v>FR</x:v>
      </x:c>
      <x:c r="D53" s="8" t="str">
        <x:v>Compare SUV and 4x4</x:v>
      </x:c>
      <x:c r="E53" s="10" t="str">
        <x:v>https://naxos-carrentals.com/fr/fleet/collections/suv-4x4</x:v>
      </x:c>
      <x:c r="F53" s="10" t="str">
        <x:v>EXISTING</x:v>
      </x:c>
      <x:c r="G53" s="8" t="str">
        <x:v>OPTIMIZE</x:v>
      </x:c>
      <x:c r="H53" s="8"/>
      <x:c r="I53" s="8" t="str"/>
      <x:c r="J53" s="8" t="str"/>
      <x:c r="K53" s="8" t="str">
        <x:v>Focused commercial / service page</x:v>
      </x:c>
      <x:c r="L53" s="8" t="str">
        <x:v>Existing focused route serves a distinct decision. Keep spelling and long-tail variations on the same owner.</x:v>
      </x:c>
      <x:c r="M53" s="8" t="str">
        <x:v>Do not create a page per variant. No harmful cannibalization proven from present data.</x:v>
      </x:c>
      <x:c r="N53" s="8" t="str">
        <x:v>Current inventory and verified specs, luggage and restrictions</x:v>
      </x:c>
      <x:c r="O53" s="8" t="str">
        <x:v>SRC-REPO</x:v>
      </x:c>
      <x:c r="P53" s="8" t="str">
        <x:v>PROPOSED</x:v>
      </x:c>
      <x:c r="Q53" s="8" t="str">
        <x:v>No phrase-level demand validated in sample</x:v>
      </x:c>
    </x:row>
    <x:row r="54" ht="48" customHeight="1">
      <x:c r="A54" s="9" t="str">
        <x:v>C-fr-insurance</x:v>
      </x:c>
      <x:c r="B54" s="9" t="str">
        <x:v>French</x:v>
      </x:c>
      <x:c r="C54" s="9" t="str">
        <x:v>FR</x:v>
      </x:c>
      <x:c r="D54" s="9" t="str">
        <x:v>Understand cover and excess</x:v>
      </x:c>
      <x:c r="E54" s="11" t="str">
        <x:v>https://naxos-carrentals.com/fr/insurance</x:v>
      </x:c>
      <x:c r="F54" s="11" t="str">
        <x:v>EXISTING</x:v>
      </x:c>
      <x:c r="G54" s="9" t="str">
        <x:v>OPTIMIZE</x:v>
      </x:c>
      <x:c r="H54" s="9"/>
      <x:c r="I54" s="9" t="str"/>
      <x:c r="J54" s="9" t="str"/>
      <x:c r="K54" s="9" t="str">
        <x:v>Focused commercial / service page</x:v>
      </x:c>
      <x:c r="L54" s="9" t="str">
        <x:v>Existing focused route serves a distinct decision. Keep spelling and long-tail variations on the same owner.</x:v>
      </x:c>
      <x:c r="M54" s="9" t="str">
        <x:v>Do not create a page per variant. No harmful cannibalization proven from present data.</x:v>
      </x:c>
      <x:c r="N54" s="9" t="str">
        <x:v>Current inventory and verified specs, luggage and restrictions</x:v>
      </x:c>
      <x:c r="O54" s="9" t="str">
        <x:v>SRC-REPO</x:v>
      </x:c>
      <x:c r="P54" s="9" t="str">
        <x:v>PROPOSED</x:v>
      </x:c>
      <x:c r="Q54" s="9" t="str">
        <x:v>No phrase-level demand validated in sample</x:v>
      </x:c>
    </x:row>
    <x:row r="55" ht="48" customHeight="1">
      <x:c r="A55" s="8" t="str">
        <x:v>C-fr-fleet</x:v>
      </x:c>
      <x:c r="B55" s="8" t="str">
        <x:v>French</x:v>
      </x:c>
      <x:c r="C55" s="8" t="str">
        <x:v>FR</x:v>
      </x:c>
      <x:c r="D55" s="8" t="str">
        <x:v>Compare vehicles and luggage</x:v>
      </x:c>
      <x:c r="E55" s="10" t="str">
        <x:v>https://naxos-carrentals.com/fr/fleet/cars</x:v>
      </x:c>
      <x:c r="F55" s="10" t="str">
        <x:v>EXISTING</x:v>
      </x:c>
      <x:c r="G55" s="8" t="str">
        <x:v>OPTIMIZE</x:v>
      </x:c>
      <x:c r="H55" s="8"/>
      <x:c r="I55" s="8" t="str"/>
      <x:c r="J55" s="8" t="str"/>
      <x:c r="K55" s="8" t="str">
        <x:v>Inventory category</x:v>
      </x:c>
      <x:c r="L55" s="8" t="str">
        <x:v>Existing focused route serves a distinct decision. Keep spelling and long-tail variations on the same owner.</x:v>
      </x:c>
      <x:c r="M55" s="8" t="str">
        <x:v>Do not create a page per variant. No harmful cannibalization proven from present data.</x:v>
      </x:c>
      <x:c r="N55" s="8" t="str">
        <x:v>Current inventory and verified specs, luggage and restrictions</x:v>
      </x:c>
      <x:c r="O55" s="8" t="str">
        <x:v>SRC-REPO</x:v>
      </x:c>
      <x:c r="P55" s="8" t="str">
        <x:v>PROPOSED</x:v>
      </x:c>
      <x:c r="Q55" s="8" t="str">
        <x:v>No phrase-level demand validated in sample</x:v>
      </x:c>
    </x:row>
    <x:row r="56" ht="48" customHeight="1">
      <x:c r="A56" s="9" t="str">
        <x:v>C-de-automatic</x:v>
      </x:c>
      <x:c r="B56" s="9" t="str">
        <x:v>German</x:v>
      </x:c>
      <x:c r="C56" s="9" t="str">
        <x:v>DE</x:v>
      </x:c>
      <x:c r="D56" s="9" t="str">
        <x:v>Choose an automatic car</x:v>
      </x:c>
      <x:c r="E56" s="11" t="str">
        <x:v>https://naxos-carrentals.com/de/fleet/collections/automatic</x:v>
      </x:c>
      <x:c r="F56" s="11" t="str">
        <x:v>EXISTING</x:v>
      </x:c>
      <x:c r="G56" s="9" t="str">
        <x:v>OPTIMIZE</x:v>
      </x:c>
      <x:c r="H56" s="9"/>
      <x:c r="I56" s="9" t="str"/>
      <x:c r="J56" s="9" t="str"/>
      <x:c r="K56" s="9" t="str">
        <x:v>Focused commercial / service page</x:v>
      </x:c>
      <x:c r="L56" s="9" t="str">
        <x:v>Existing focused route serves a distinct decision. Keep spelling and long-tail variations on the same owner.</x:v>
      </x:c>
      <x:c r="M56" s="9" t="str">
        <x:v>Do not create a page per variant. No harmful cannibalization proven from present data.</x:v>
      </x:c>
      <x:c r="N56" s="9" t="str">
        <x:v>Current inventory and verified specs, luggage and restrictions</x:v>
      </x:c>
      <x:c r="O56" s="9" t="str">
        <x:v>SRC-REPO</x:v>
      </x:c>
      <x:c r="P56" s="9" t="str">
        <x:v>PROPOSED</x:v>
      </x:c>
      <x:c r="Q56" s="9" t="str">
        <x:v>No phrase-level demand validated in sample</x:v>
      </x:c>
    </x:row>
    <x:row r="57" ht="48" customHeight="1">
      <x:c r="A57" s="8" t="str">
        <x:v>C-de-family</x:v>
      </x:c>
      <x:c r="B57" s="8" t="str">
        <x:v>German</x:v>
      </x:c>
      <x:c r="C57" s="8" t="str">
        <x:v>DE</x:v>
      </x:c>
      <x:c r="D57" s="8" t="str">
        <x:v>Travel with seven passengers</x:v>
      </x:c>
      <x:c r="E57" s="10" t="str">
        <x:v>https://naxos-carrentals.com/de/fleet/collections/family-7-seater</x:v>
      </x:c>
      <x:c r="F57" s="10" t="str">
        <x:v>EXISTING</x:v>
      </x:c>
      <x:c r="G57" s="8" t="str">
        <x:v>OPTIMIZE</x:v>
      </x:c>
      <x:c r="H57" s="8"/>
      <x:c r="I57" s="8" t="str"/>
      <x:c r="J57" s="8" t="str"/>
      <x:c r="K57" s="8" t="str">
        <x:v>Focused commercial / service page</x:v>
      </x:c>
      <x:c r="L57" s="8" t="str">
        <x:v>Existing focused route serves a distinct decision. Keep spelling and long-tail variations on the same owner.</x:v>
      </x:c>
      <x:c r="M57" s="8" t="str">
        <x:v>Do not create a page per variant. No harmful cannibalization proven from present data.</x:v>
      </x:c>
      <x:c r="N57" s="8" t="str">
        <x:v>Current inventory and verified specs, luggage and restrictions</x:v>
      </x:c>
      <x:c r="O57" s="8" t="str">
        <x:v>SRC-REPO</x:v>
      </x:c>
      <x:c r="P57" s="8" t="str">
        <x:v>PROPOSED</x:v>
      </x:c>
      <x:c r="Q57" s="8" t="str">
        <x:v>No phrase-level demand validated in sample</x:v>
      </x:c>
    </x:row>
    <x:row r="58" ht="48" customHeight="1">
      <x:c r="A58" s="9" t="str">
        <x:v>C-de-suv</x:v>
      </x:c>
      <x:c r="B58" s="9" t="str">
        <x:v>German</x:v>
      </x:c>
      <x:c r="C58" s="9" t="str">
        <x:v>DE</x:v>
      </x:c>
      <x:c r="D58" s="9" t="str">
        <x:v>Compare SUV and 4x4</x:v>
      </x:c>
      <x:c r="E58" s="11" t="str">
        <x:v>https://naxos-carrentals.com/de/fleet/collections/suv-4x4</x:v>
      </x:c>
      <x:c r="F58" s="11" t="str">
        <x:v>EXISTING</x:v>
      </x:c>
      <x:c r="G58" s="9" t="str">
        <x:v>OPTIMIZE</x:v>
      </x:c>
      <x:c r="H58" s="9"/>
      <x:c r="I58" s="9" t="str"/>
      <x:c r="J58" s="9" t="str"/>
      <x:c r="K58" s="9" t="str">
        <x:v>Focused commercial / service page</x:v>
      </x:c>
      <x:c r="L58" s="9" t="str">
        <x:v>Existing focused route serves a distinct decision. Keep spelling and long-tail variations on the same owner.</x:v>
      </x:c>
      <x:c r="M58" s="9" t="str">
        <x:v>Do not create a page per variant. No harmful cannibalization proven from present data.</x:v>
      </x:c>
      <x:c r="N58" s="9" t="str">
        <x:v>Current inventory and verified specs, luggage and restrictions</x:v>
      </x:c>
      <x:c r="O58" s="9" t="str">
        <x:v>SRC-REPO</x:v>
      </x:c>
      <x:c r="P58" s="9" t="str">
        <x:v>PROPOSED</x:v>
      </x:c>
      <x:c r="Q58" s="9" t="str">
        <x:v>No phrase-level demand validated in sample</x:v>
      </x:c>
    </x:row>
    <x:row r="59" ht="48" customHeight="1">
      <x:c r="A59" s="8" t="str">
        <x:v>C-de-fleet</x:v>
      </x:c>
      <x:c r="B59" s="8" t="str">
        <x:v>German</x:v>
      </x:c>
      <x:c r="C59" s="8" t="str">
        <x:v>DE</x:v>
      </x:c>
      <x:c r="D59" s="8" t="str">
        <x:v>Compare vehicles and luggage</x:v>
      </x:c>
      <x:c r="E59" s="10" t="str">
        <x:v>https://naxos-carrentals.com/de/fleet/cars</x:v>
      </x:c>
      <x:c r="F59" s="10" t="str">
        <x:v>EXISTING</x:v>
      </x:c>
      <x:c r="G59" s="8" t="str">
        <x:v>OPTIMIZE</x:v>
      </x:c>
      <x:c r="H59" s="8"/>
      <x:c r="I59" s="8" t="str"/>
      <x:c r="J59" s="8" t="str"/>
      <x:c r="K59" s="8" t="str">
        <x:v>Inventory category</x:v>
      </x:c>
      <x:c r="L59" s="8" t="str">
        <x:v>Existing focused route serves a distinct decision. Keep spelling and long-tail variations on the same owner.</x:v>
      </x:c>
      <x:c r="M59" s="8" t="str">
        <x:v>Do not create a page per variant. No harmful cannibalization proven from present data.</x:v>
      </x:c>
      <x:c r="N59" s="8" t="str">
        <x:v>Current inventory and verified specs, luggage and restrictions</x:v>
      </x:c>
      <x:c r="O59" s="8" t="str">
        <x:v>SRC-REPO</x:v>
      </x:c>
      <x:c r="P59" s="8" t="str">
        <x:v>PROPOSED</x:v>
      </x:c>
      <x:c r="Q59" s="8" t="str">
        <x:v>No phrase-level demand validated in sample</x:v>
      </x:c>
    </x:row>
    <x:row r="60" ht="54" customHeight="1">
      <x:c r="A60" s="9" t="str">
        <x:v>C-en-need-car</x:v>
      </x:c>
      <x:c r="B60" s="9" t="str">
        <x:v>English</x:v>
      </x:c>
      <x:c r="C60" s="9" t="str">
        <x:v>GB, US</x:v>
      </x:c>
      <x:c r="D60" s="9" t="str">
        <x:v>Decide whether to rent a car</x:v>
      </x:c>
      <x:c r="E60" s="11" t="str">
        <x:v>https://naxos-carrentals.com/en/guides/do-you-need-a-car-in-naxos</x:v>
      </x:c>
      <x:c r="F60" s="11" t="str">
        <x:v>EXISTING</x:v>
      </x:c>
      <x:c r="G60" s="9" t="str">
        <x:v>OPTIMIZE</x:v>
      </x:c>
      <x:c r="H60" s="9" t="str">
        <x:v>do you need a car in naxos</x:v>
      </x:c>
      <x:c r="I60" s="9" t="str">
        <x:v>K014, K044, K048, K055, K059, K148</x:v>
      </x:c>
      <x:c r="J60" s="9" t="str">
        <x:v>do you need a car in naxos; things to do in naxos without a car; where to stay in naxos without a car; best area to stay in naxos without a car; do you need a car for naxos; do you need a car in naxos</x:v>
      </x:c>
      <x:c r="K60" s="9" t="str">
        <x:v>Decision guide</x:v>
      </x:c>
      <x:c r="L60" s="9" t="str">
        <x:v>Existing focused route serves a distinct decision. Keep spelling and long-tail variations on the same owner.</x:v>
      </x:c>
      <x:c r="M60" s="9" t="str">
        <x:v>Do not create a page per variant. No harmful cannibalization proven from present data.</x:v>
      </x:c>
      <x:c r="N60" s="9" t="str">
        <x:v>Named local expertise, current terms and transparent booking</x:v>
      </x:c>
      <x:c r="O60" s="9" t="str">
        <x:v>kw-us</x:v>
      </x:c>
      <x:c r="P60" s="9" t="str">
        <x:v>INFERRED</x:v>
      </x:c>
      <x:c r="Q60" s="9" t="str">
        <x:v>Google vendor data; no Bing SERP validation</x:v>
      </x:c>
    </x:row>
    <x:row r="61" ht="48" customHeight="1">
      <x:c r="A61" s="8" t="str">
        <x:v>C-el-need-car</x:v>
      </x:c>
      <x:c r="B61" s="8" t="str">
        <x:v>Greek</x:v>
      </x:c>
      <x:c r="C61" s="8" t="str">
        <x:v>GR</x:v>
      </x:c>
      <x:c r="D61" s="8" t="str">
        <x:v>Decide whether to rent a car</x:v>
      </x:c>
      <x:c r="E61" s="10" t="str">
        <x:v>https://naxos-carrentals.com/el/guides/do-you-need-a-car-in-naxos</x:v>
      </x:c>
      <x:c r="F61" s="10" t="str">
        <x:v>EXISTING</x:v>
      </x:c>
      <x:c r="G61" s="8" t="str">
        <x:v>OPTIMIZE</x:v>
      </x:c>
      <x:c r="H61" s="8" t="str">
        <x:v>πειραιας ναξος τιμη αυτοκινητο</x:v>
      </x:c>
      <x:c r="I61" s="8" t="str">
        <x:v>K023, K028, K029, K031</x:v>
      </x:c>
      <x:c r="J61" s="8" t="str">
        <x:v>πειραιας ναξος τιμη αυτοκινητο; ναξος ακτοπλοικα αυτοκινητο; ραφηνα ναξος αυτοκινητο; πειραιας ναξος αυτοκινητο</x:v>
      </x:c>
      <x:c r="K61" s="8" t="str">
        <x:v>Decision guide</x:v>
      </x:c>
      <x:c r="L61" s="8" t="str">
        <x:v>Existing focused route serves a distinct decision. Keep spelling and long-tail variations on the same owner.</x:v>
      </x:c>
      <x:c r="M61" s="8" t="str">
        <x:v>Do not create a page per variant. No harmful cannibalization proven from present data.</x:v>
      </x:c>
      <x:c r="N61" s="8" t="str">
        <x:v>Named local expertise, current terms and transparent booking</x:v>
      </x:c>
      <x:c r="O61" s="8" t="str">
        <x:v>discover-el</x:v>
      </x:c>
      <x:c r="P61" s="8" t="str">
        <x:v>INFERRED</x:v>
      </x:c>
      <x:c r="Q61" s="8" t="str">
        <x:v>Google vendor data; no Bing SERP validation</x:v>
      </x:c>
    </x:row>
    <x:row r="62" ht="48" customHeight="1">
      <x:c r="A62" s="9" t="str">
        <x:v>C-en-driving</x:v>
      </x:c>
      <x:c r="B62" s="9" t="str">
        <x:v>English</x:v>
      </x:c>
      <x:c r="C62" s="9" t="str">
        <x:v>GB</x:v>
      </x:c>
      <x:c r="D62" s="9" t="str">
        <x:v>Plan a practical driving route</x:v>
      </x:c>
      <x:c r="E62" s="11" t="str">
        <x:v>https://naxos-carrentals.com/en/guides/driving-in-naxos</x:v>
      </x:c>
      <x:c r="F62" s="11" t="str">
        <x:v>EXISTING</x:v>
      </x:c>
      <x:c r="G62" s="9" t="str">
        <x:v>OPTIMIZE</x:v>
      </x:c>
      <x:c r="H62" s="9" t="str">
        <x:v>driving in naxos</x:v>
      </x:c>
      <x:c r="I62" s="9" t="str">
        <x:v>K016</x:v>
      </x:c>
      <x:c r="J62" s="9" t="str">
        <x:v>driving in naxos</x:v>
      </x:c>
      <x:c r="K62" s="9" t="str">
        <x:v>Decision guide</x:v>
      </x:c>
      <x:c r="L62" s="9" t="str">
        <x:v>Existing focused route serves a distinct decision. Keep spelling and long-tail variations on the same owner.</x:v>
      </x:c>
      <x:c r="M62" s="9" t="str">
        <x:v>Do not create a page per variant. No harmful cannibalization proven from present data.</x:v>
      </x:c>
      <x:c r="N62" s="9" t="str">
        <x:v>Named local expertise, current terms and transparent booking</x:v>
      </x:c>
      <x:c r="O62" s="9" t="str">
        <x:v>kw-gb, discover-en</x:v>
      </x:c>
      <x:c r="P62" s="9" t="str">
        <x:v>INFERRED</x:v>
      </x:c>
      <x:c r="Q62" s="9" t="str">
        <x:v>Google vendor data; no Bing SERP validation</x:v>
      </x:c>
    </x:row>
    <x:row r="63" ht="48" customHeight="1">
      <x:c r="A63" s="8" t="str">
        <x:v>C-fr-need-car</x:v>
      </x:c>
      <x:c r="B63" s="8" t="str">
        <x:v>French</x:v>
      </x:c>
      <x:c r="C63" s="8" t="str">
        <x:v>FR</x:v>
      </x:c>
      <x:c r="D63" s="8" t="str">
        <x:v>Decide whether to rent a car</x:v>
      </x:c>
      <x:c r="E63" s="10" t="str">
        <x:v>https://naxos-carrentals.com/fr/guides/do-you-need-a-car-in-naxos</x:v>
      </x:c>
      <x:c r="F63" s="10" t="str">
        <x:v>EXISTING</x:v>
      </x:c>
      <x:c r="G63" s="8" t="str">
        <x:v>OPTIMIZE</x:v>
      </x:c>
      <x:c r="H63" s="8" t="str">
        <x:v>faut il louer une voiture à naxos</x:v>
      </x:c>
      <x:c r="I63" s="8" t="str">
        <x:v>K077, K080, K081, K086, K094</x:v>
      </x:c>
      <x:c r="J63" s="8" t="str">
        <x:v>faut il louer une voiture à naxos; naxos sans voiture; visiter naxos sans voiture; ou loger a naxos sans voiture; que faire a naxos sans voiture</x:v>
      </x:c>
      <x:c r="K63" s="8" t="str">
        <x:v>Decision guide</x:v>
      </x:c>
      <x:c r="L63" s="8" t="str">
        <x:v>Existing focused route serves a distinct decision. Keep spelling and long-tail variations on the same owner.</x:v>
      </x:c>
      <x:c r="M63" s="8" t="str">
        <x:v>Do not create a page per variant. No harmful cannibalization proven from present data.</x:v>
      </x:c>
      <x:c r="N63" s="8" t="str">
        <x:v>Named local expertise, current terms and transparent booking</x:v>
      </x:c>
      <x:c r="O63" s="8" t="str">
        <x:v>discover-fr</x:v>
      </x:c>
      <x:c r="P63" s="8" t="str">
        <x:v>INFERRED</x:v>
      </x:c>
      <x:c r="Q63" s="8" t="str">
        <x:v>Google vendor data; no Bing SERP validation</x:v>
      </x:c>
    </x:row>
    <x:row r="64" ht="48" customHeight="1">
      <x:c r="A64" s="9" t="str">
        <x:v>C-fr-driving</x:v>
      </x:c>
      <x:c r="B64" s="9" t="str">
        <x:v>French</x:v>
      </x:c>
      <x:c r="C64" s="9" t="str">
        <x:v>FR</x:v>
      </x:c>
      <x:c r="D64" s="9" t="str">
        <x:v>Plan a practical driving route</x:v>
      </x:c>
      <x:c r="E64" s="11" t="str">
        <x:v>https://naxos-carrentals.com/fr/guides/driving-in-naxos</x:v>
      </x:c>
      <x:c r="F64" s="11" t="str">
        <x:v>EXISTING</x:v>
      </x:c>
      <x:c r="G64" s="9" t="str">
        <x:v>OPTIMIZE</x:v>
      </x:c>
      <x:c r="H64" s="9" t="str">
        <x:v>naxos en voiture</x:v>
      </x:c>
      <x:c r="I64" s="9" t="str">
        <x:v>K090</x:v>
      </x:c>
      <x:c r="J64" s="9" t="str">
        <x:v>naxos en voiture</x:v>
      </x:c>
      <x:c r="K64" s="9" t="str">
        <x:v>Decision guide</x:v>
      </x:c>
      <x:c r="L64" s="9" t="str">
        <x:v>Existing focused route serves a distinct decision. Keep spelling and long-tail variations on the same owner.</x:v>
      </x:c>
      <x:c r="M64" s="9" t="str">
        <x:v>Do not create a page per variant. No harmful cannibalization proven from present data.</x:v>
      </x:c>
      <x:c r="N64" s="9" t="str">
        <x:v>Named local expertise, current terms and transparent booking</x:v>
      </x:c>
      <x:c r="O64" s="9" t="str">
        <x:v>discover-fr</x:v>
      </x:c>
      <x:c r="P64" s="9" t="str">
        <x:v>INFERRED</x:v>
      </x:c>
      <x:c r="Q64" s="9" t="str">
        <x:v>Google vendor data; no Bing SERP validation</x:v>
      </x:c>
    </x:row>
    <x:row r="65" ht="48" customHeight="1">
      <x:c r="A65" s="8" t="str">
        <x:v>C-de-driving</x:v>
      </x:c>
      <x:c r="B65" s="8" t="str">
        <x:v>German</x:v>
      </x:c>
      <x:c r="C65" s="8" t="str">
        <x:v>DE</x:v>
      </x:c>
      <x:c r="D65" s="8" t="str">
        <x:v>Plan a practical driving route</x:v>
      </x:c>
      <x:c r="E65" s="10" t="str">
        <x:v>https://naxos-carrentals.com/de/guides/driving-in-naxos</x:v>
      </x:c>
      <x:c r="F65" s="10" t="str">
        <x:v>EXISTING</x:v>
      </x:c>
      <x:c r="G65" s="8" t="str">
        <x:v>OPTIMIZE</x:v>
      </x:c>
      <x:c r="H65" s="8" t="str">
        <x:v>naxos mit dem auto erkunden</x:v>
      </x:c>
      <x:c r="I65" s="8" t="str">
        <x:v>K132</x:v>
      </x:c>
      <x:c r="J65" s="8" t="str">
        <x:v>naxos mit dem auto erkunden</x:v>
      </x:c>
      <x:c r="K65" s="8" t="str">
        <x:v>Decision guide</x:v>
      </x:c>
      <x:c r="L65" s="8" t="str">
        <x:v>Existing focused route serves a distinct decision. Keep spelling and long-tail variations on the same owner.</x:v>
      </x:c>
      <x:c r="M65" s="8" t="str">
        <x:v>Do not create a page per variant. No harmful cannibalization proven from present data.</x:v>
      </x:c>
      <x:c r="N65" s="8" t="str">
        <x:v>Named local expertise, current terms and transparent booking</x:v>
      </x:c>
      <x:c r="O65" s="8" t="str">
        <x:v>discover-de</x:v>
      </x:c>
      <x:c r="P65" s="8" t="str">
        <x:v>INFERRED</x:v>
      </x:c>
      <x:c r="Q65" s="8" t="str">
        <x:v>Google vendor data; no Bing SERP validation</x:v>
      </x:c>
    </x:row>
    <x:row r="66" ht="48" customHeight="1">
      <x:c r="A66" s="9" t="str">
        <x:v>C-de-need-car</x:v>
      </x:c>
      <x:c r="B66" s="9" t="str">
        <x:v>German</x:v>
      </x:c>
      <x:c r="C66" s="9" t="str">
        <x:v>DE</x:v>
      </x:c>
      <x:c r="D66" s="9" t="str">
        <x:v>Decide whether to rent a car</x:v>
      </x:c>
      <x:c r="E66" s="11" t="str">
        <x:v>https://naxos-carrentals.com/de/guides/do-you-need-a-car-in-naxos</x:v>
      </x:c>
      <x:c r="F66" s="11" t="str">
        <x:v>EXISTING</x:v>
      </x:c>
      <x:c r="G66" s="9" t="str">
        <x:v>OPTIMIZE</x:v>
      </x:c>
      <x:c r="H66" s="9" t="str">
        <x:v>braucht man auf naxos ein auto</x:v>
      </x:c>
      <x:c r="I66" s="9" t="str">
        <x:v>K141, K144</x:v>
      </x:c>
      <x:c r="J66" s="9" t="str">
        <x:v>braucht man auf naxos ein auto; naxos ohne auto</x:v>
      </x:c>
      <x:c r="K66" s="9" t="str">
        <x:v>Decision guide</x:v>
      </x:c>
      <x:c r="L66" s="9" t="str">
        <x:v>Existing focused route serves a distinct decision. Keep spelling and long-tail variations on the same owner.</x:v>
      </x:c>
      <x:c r="M66" s="9" t="str">
        <x:v>Do not create a page per variant. No harmful cannibalization proven from present data.</x:v>
      </x:c>
      <x:c r="N66" s="9" t="str">
        <x:v>Named local expertise, current terms and transparent booking</x:v>
      </x:c>
      <x:c r="O66" s="9" t="str">
        <x:v>discover-de</x:v>
      </x:c>
      <x:c r="P66" s="9" t="str">
        <x:v>INFERRED</x:v>
      </x:c>
      <x:c r="Q66" s="9" t="str">
        <x:v>Google vendor data; no Bing SERP validation</x:v>
      </x:c>
    </x:row>
    <x:row r="67" ht="48" customHeight="1">
      <x:c r="A67" s="8" t="str">
        <x:v>C-en-scooter</x:v>
      </x:c>
      <x:c r="B67" s="8" t="str">
        <x:v>English</x:v>
      </x:c>
      <x:c r="C67" s="8" t="str">
        <x:v>GB</x:v>
      </x:c>
      <x:c r="D67" s="8" t="str">
        <x:v>Compare cars and scooters honestly</x:v>
      </x:c>
      <x:c r="E67" s="10" t="str">
        <x:v>https://naxos-carrentals.com/en/fleet/scooters</x:v>
      </x:c>
      <x:c r="F67" s="10" t="str">
        <x:v>EXISTING</x:v>
      </x:c>
      <x:c r="G67" s="8" t="str">
        <x:v>OPTIMIZE</x:v>
      </x:c>
      <x:c r="H67" s="8" t="str">
        <x:v>scooter rental naxos</x:v>
      </x:c>
      <x:c r="I67" s="8" t="str">
        <x:v>K051, K052</x:v>
      </x:c>
      <x:c r="J67" s="8" t="str">
        <x:v>scooter rental naxos; naxos scooter rental</x:v>
      </x:c>
      <x:c r="K67" s="8" t="str">
        <x:v>Decision guide</x:v>
      </x:c>
      <x:c r="L67" s="8" t="str">
        <x:v>Existing focused route serves a distinct decision. Keep spelling and long-tail variations on the same owner.</x:v>
      </x:c>
      <x:c r="M67" s="8" t="str">
        <x:v>Do not create a page per variant. No harmful cannibalization proven from present data.</x:v>
      </x:c>
      <x:c r="N67" s="8" t="str">
        <x:v>Named local expertise, current terms and transparent booking</x:v>
      </x:c>
      <x:c r="O67" s="8" t="str">
        <x:v>discover-en</x:v>
      </x:c>
      <x:c r="P67" s="8" t="str">
        <x:v>INFERRED</x:v>
      </x:c>
      <x:c r="Q67" s="8" t="str">
        <x:v>Google vendor data; no Bing SERP validation</x:v>
      </x:c>
    </x:row>
    <x:row r="68" ht="48" customHeight="1">
      <x:c r="A68" s="9" t="str">
        <x:v>C-it-scooter</x:v>
      </x:c>
      <x:c r="B68" s="9" t="str">
        <x:v>Italian</x:v>
      </x:c>
      <x:c r="C68" s="9" t="str">
        <x:v>IT</x:v>
      </x:c>
      <x:c r="D68" s="9" t="str">
        <x:v>Compare cars and scooters honestly</x:v>
      </x:c>
      <x:c r="E68" s="11" t="str">
        <x:v>https://naxos-carrentals.com/it/fleet/scooters</x:v>
      </x:c>
      <x:c r="F68" s="11" t="str">
        <x:v>EXISTING</x:v>
      </x:c>
      <x:c r="G68" s="9" t="str">
        <x:v>OPTIMIZE</x:v>
      </x:c>
      <x:c r="H68" s="9" t="str">
        <x:v>naxos noleggio auto o scooter</x:v>
      </x:c>
      <x:c r="I68" s="9" t="str">
        <x:v>K114, K115, K119, K124</x:v>
      </x:c>
      <x:c r="J68" s="9" t="str">
        <x:v>naxos noleggio auto o scooter; naxos auto o scooter; naxos scooter o auto; naxos motorino o auto</x:v>
      </x:c>
      <x:c r="K68" s="9" t="str">
        <x:v>Decision guide</x:v>
      </x:c>
      <x:c r="L68" s="9" t="str">
        <x:v>Existing focused route serves a distinct decision. Keep spelling and long-tail variations on the same owner.</x:v>
      </x:c>
      <x:c r="M68" s="9" t="str">
        <x:v>Do not create a page per variant. No harmful cannibalization proven from present data.</x:v>
      </x:c>
      <x:c r="N68" s="9" t="str">
        <x:v>Named local expertise, current terms and transparent booking</x:v>
      </x:c>
      <x:c r="O68" s="9" t="str">
        <x:v>discover-it</x:v>
      </x:c>
      <x:c r="P68" s="9" t="str">
        <x:v>INFERRED</x:v>
      </x:c>
      <x:c r="Q68" s="9" t="str">
        <x:v>Google vendor data; no Bing SERP validation</x:v>
      </x:c>
    </x:row>
    <x:row r="69" ht="48" customHeight="1">
      <x:c r="A69" s="8" t="str">
        <x:v>C-de-scooter</x:v>
      </x:c>
      <x:c r="B69" s="8" t="str">
        <x:v>German</x:v>
      </x:c>
      <x:c r="C69" s="8" t="str">
        <x:v>DE</x:v>
      </x:c>
      <x:c r="D69" s="8" t="str">
        <x:v>Compare cars and scooters honestly</x:v>
      </x:c>
      <x:c r="E69" s="10" t="str">
        <x:v>https://naxos-carrentals.com/de/fleet/scooters</x:v>
      </x:c>
      <x:c r="F69" s="10" t="str">
        <x:v>EXISTING</x:v>
      </x:c>
      <x:c r="G69" s="8" t="str">
        <x:v>OPTIMIZE</x:v>
      </x:c>
      <x:c r="H69" s="8" t="str">
        <x:v>naxos roller oder auto</x:v>
      </x:c>
      <x:c r="I69" s="8" t="str">
        <x:v>K137</x:v>
      </x:c>
      <x:c r="J69" s="8" t="str">
        <x:v>naxos roller oder auto</x:v>
      </x:c>
      <x:c r="K69" s="8" t="str">
        <x:v>Decision guide</x:v>
      </x:c>
      <x:c r="L69" s="8" t="str">
        <x:v>Existing focused route serves a distinct decision. Keep spelling and long-tail variations on the same owner.</x:v>
      </x:c>
      <x:c r="M69" s="8" t="str">
        <x:v>Do not create a page per variant. No harmful cannibalization proven from present data.</x:v>
      </x:c>
      <x:c r="N69" s="8" t="str">
        <x:v>Named local expertise, current terms and transparent booking</x:v>
      </x:c>
      <x:c r="O69" s="8" t="str">
        <x:v>discover-de</x:v>
      </x:c>
      <x:c r="P69" s="8" t="str">
        <x:v>INFERRED</x:v>
      </x:c>
      <x:c r="Q69" s="8" t="str">
        <x:v>Google vendor data; no Bing SERP validation</x:v>
      </x:c>
    </x:row>
    <x:row r="70" ht="48" customHeight="1">
      <x:c r="A70" s="9" t="str">
        <x:v>C-fr-private</x:v>
      </x:c>
      <x:c r="B70" s="9" t="str">
        <x:v>French</x:v>
      </x:c>
      <x:c r="C70" s="9" t="str">
        <x:v>FR</x:v>
      </x:c>
      <x:c r="D70" s="9" t="str">
        <x:v>Private-hire intent review</x:v>
      </x:c>
      <x:c r="E70" s="11" t="str">
        <x:v>https://naxos-carrentals.com/fr/terms</x:v>
      </x:c>
      <x:c r="F70" s="11" t="str">
        <x:v>EXISTING</x:v>
      </x:c>
      <x:c r="G70" s="9" t="str">
        <x:v>DEPRIORITIZE</x:v>
      </x:c>
      <x:c r="H70" s="9" t="str">
        <x:v>location voiture naxos particulier</x:v>
      </x:c>
      <x:c r="I70" s="9" t="str">
        <x:v>K087</x:v>
      </x:c>
      <x:c r="J70" s="9" t="str">
        <x:v>location voiture naxos particulier</x:v>
      </x:c>
      <x:c r="K70" s="9" t="str">
        <x:v>Focused commercial / service page</x:v>
      </x:c>
      <x:c r="L70" s="9" t="str">
        <x:v>Existing focused route serves a distinct decision. Keep spelling and long-tail variations on the same owner.</x:v>
      </x:c>
      <x:c r="M70" s="9" t="str">
        <x:v>Private owner intent does not match this rental company. Explain terms only.</x:v>
      </x:c>
      <x:c r="N70" s="9" t="str">
        <x:v>Named local expertise, current terms and transparent booking</x:v>
      </x:c>
      <x:c r="O70" s="9" t="str">
        <x:v>discover-fr</x:v>
      </x:c>
      <x:c r="P70" s="9" t="str">
        <x:v>INFERRED</x:v>
      </x:c>
      <x:c r="Q70" s="9" t="str">
        <x:v>Google vendor data; no Bing SERP validation</x:v>
      </x:c>
    </x:row>
  </x:sheetData>
  <x:mergeCells>
    <x:mergeCell ref="A1:E1"/>
    <x:mergeCell ref="A2:F2"/>
  </x:mergeCells>
  <x:conditionalFormatting sqref="F5:F70">
    <x:cfRule type="containsText" dxfId="3" priority="1" operator="containsText" text="UNAVAILABLE"/>
  </x:conditionalFormatting>
  <x:conditionalFormatting sqref="P5:P70">
    <x:cfRule type="containsText" dxfId="4" priority="2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82691aecbd9b4029"/>
  </x:tableParts>
</x:worksheet>
</file>

<file path=xl/worksheets/sheet5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70" hidden="0" customWidth="1"/>
    <x:col min="3" max="3" width="20" hidden="0" customWidth="1"/>
    <x:col min="4" max="4" width="22" hidden="0" customWidth="1"/>
    <x:col min="5" max="5" width="18" hidden="0" customWidth="1"/>
    <x:col min="6" max="6" width="22" hidden="0" customWidth="1"/>
    <x:col min="7" max="7" width="29" hidden="0" customWidth="1"/>
    <x:col min="8" max="8" width="20" hidden="0" customWidth="1"/>
    <x:col min="9" max="9" width="36" hidden="0" customWidth="1"/>
    <x:col min="10" max="10" width="80" hidden="0" customWidth="1"/>
    <x:col min="11" max="11" width="40" hidden="0" customWidth="1"/>
    <x:col min="12" max="12" width="22" hidden="0" customWidth="1"/>
    <x:col min="13" max="13" width="29" hidden="0" customWidth="1"/>
    <x:col min="14" max="14" width="54" hidden="0" customWidth="1"/>
  </x:cols>
  <x:sheetData>
    <x:row r="1" ht="34" customHeight="1">
      <x:c r="A1" s="4" t="str">
        <x:v>Existing Opportunities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4" customHeight="1">
      <x:c r="A2" s="5" t="str">
        <x:v>Historical GSC export preserved from the repository. Performance is NOT current. Never confuse GSC average position with a point-in-time Ahrefs rank.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42" customHeight="1">
      <x:c r="A4" s="7" t="str">
        <x:v>ID</x:v>
      </x:c>
      <x:c r="B4" s="7" t="str">
        <x:v>Landing URL</x:v>
      </x:c>
      <x:c r="C4" s="7" t="str">
        <x:v>Historical clicks</x:v>
      </x:c>
      <x:c r="D4" s="7" t="str">
        <x:v>Historical impressions</x:v>
      </x:c>
      <x:c r="E4" s="7" t="str">
        <x:v>Calculated CTR</x:v>
      </x:c>
      <x:c r="F4" s="7" t="str">
        <x:v>GSC average position</x:v>
      </x:c>
      <x:c r="G4" s="7" t="str">
        <x:v>Performance period</x:v>
      </x:c>
      <x:c r="H4" s="7" t="str">
        <x:v>Current sampled HTTP</x:v>
      </x:c>
      <x:c r="I4" s="7" t="str">
        <x:v>Current status evidence</x:v>
      </x:c>
      <x:c r="J4" s="7" t="str">
        <x:v>Recommendation</x:v>
      </x:c>
      <x:c r="K4" s="7" t="str">
        <x:v>Source IDs</x:v>
      </x:c>
      <x:c r="L4" s="7" t="str">
        <x:v>Evidence status</x:v>
      </x:c>
      <x:c r="M4" s="7" t="str">
        <x:v>Metric type</x:v>
      </x:c>
      <x:c r="N4" s="7" t="str">
        <x:v>Limitation</x:v>
      </x:c>
    </x:row>
    <x:row r="5" ht="48" customHeight="1">
      <x:c r="A5" s="8" t="str">
        <x:v>E001</x:v>
      </x:c>
      <x:c r="B5" s="10" t="str">
        <x:v>https://naxos-carrentals.com/en/fleet/scooters</x:v>
      </x:c>
      <x:c r="C5" s="8" t="n">
        <x:v>100</x:v>
      </x:c>
      <x:c r="D5" s="8" t="n">
        <x:v>2800</x:v>
      </x:c>
      <x:c r="E5" s="16" t="n">
        <x:f>IF(D5=0,"",C5/D5)</x:f>
        <x:v>0.03571428571428571</x:v>
      </x:c>
      <x:c r="F5" s="14" t="n">
        <x:v>10.58</x:v>
      </x:c>
      <x:c r="G5" s="8" t="str">
        <x:v>2026-06-14 to 2026-08-20</x:v>
      </x:c>
      <x:c r="H5" s="8" t="n">
        <x:v>200</x:v>
      </x:c>
      <x:c r="I5" s="8" t="str">
        <x:v>Live HTTP sample 2026-09-24</x:v>
      </x:c>
      <x:c r="J5" s="8" t="str">
        <x:v>Keep honest car-versus-scooter answer. Current live status200: prior404 is resolved. Wrong-product traffic is not rental demand</x:v>
      </x:c>
      <x:c r="K5" s="8" t="str">
        <x:v>SRC-GSC-PAGES; SRC-LIVE</x:v>
      </x:c>
      <x:c r="L5" s="8" t="str">
        <x:v>OBSERVED</x:v>
      </x:c>
      <x:c r="M5" s="8" t="str">
        <x:v>FIRST-PARTY MEASUREMENT</x:v>
      </x:c>
      <x:c r="N5" s="8" t="str">
        <x:v>Archived export; no current or YoY first-party baseline</x:v>
      </x:c>
    </x:row>
    <x:row r="6" ht="48" customHeight="1">
      <x:c r="A6" s="9" t="str">
        <x:v>E002</x:v>
      </x:c>
      <x:c r="B6" s="11" t="str">
        <x:v>https://naxos-carrentals.com/en/guides/best-car-rental-naxos-reviews-comparison</x:v>
      </x:c>
      <x:c r="C6" s="9" t="n">
        <x:v>31</x:v>
      </x:c>
      <x:c r="D6" s="9" t="n">
        <x:v>1442</x:v>
      </x:c>
      <x:c r="E6" s="17" t="n">
        <x:f>IF(D6=0,"",C6/D6)</x:f>
        <x:v>0.021497919556171984</x:v>
      </x:c>
      <x:c r="F6" s="15" t="n">
        <x:v>7.89</x:v>
      </x:c>
      <x:c r="G6" s="9" t="str">
        <x:v>2026-06-14 to 2026-08-20</x:v>
      </x:c>
      <x:c r="H6" s="9"/>
      <x:c r="I6" s="9" t="str">
        <x:v>Current live route not sampled</x:v>
      </x:c>
      <x:c r="J6" s="9" t="str">
        <x:v>Refresh native content and verify current canonical route. Archived redirects are historical, not current defects</x:v>
      </x:c>
      <x:c r="K6" s="9" t="str">
        <x:v>SRC-GSC-PAGES; SRC-REPO</x:v>
      </x:c>
      <x:c r="L6" s="9" t="str">
        <x:v>OBSERVED</x:v>
      </x:c>
      <x:c r="M6" s="9" t="str">
        <x:v>FIRST-PARTY MEASUREMENT</x:v>
      </x:c>
      <x:c r="N6" s="9" t="str">
        <x:v>Archived export; no current or YoY first-party baseline</x:v>
      </x:c>
    </x:row>
    <x:row r="7" ht="48" customHeight="1">
      <x:c r="A7" s="8" t="str">
        <x:v>E003</x:v>
      </x:c>
      <x:c r="B7" s="10" t="str">
        <x:v>https://naxos-carrentals.com/it/guides/parking-in-naxos</x:v>
      </x:c>
      <x:c r="C7" s="8" t="n">
        <x:v>18</x:v>
      </x:c>
      <x:c r="D7" s="8" t="n">
        <x:v>536</x:v>
      </x:c>
      <x:c r="E7" s="16" t="n">
        <x:f>IF(D7=0,"",C7/D7)</x:f>
        <x:v>0.033582089552238806</x:v>
      </x:c>
      <x:c r="F7" s="14" t="n">
        <x:v>5.9</x:v>
      </x:c>
      <x:c r="G7" s="8" t="str">
        <x:v>2026-06-14 to 2026-08-20</x:v>
      </x:c>
      <x:c r="H7" s="8"/>
      <x:c r="I7" s="8" t="str">
        <x:v>Current live route not sampled</x:v>
      </x:c>
      <x:c r="J7" s="8" t="str">
        <x:v>Refresh native content and verify current canonical route. Archived redirects are historical, not current defects</x:v>
      </x:c>
      <x:c r="K7" s="8" t="str">
        <x:v>SRC-GSC-PAGES; SRC-REPO</x:v>
      </x:c>
      <x:c r="L7" s="8" t="str">
        <x:v>OBSERVED</x:v>
      </x:c>
      <x:c r="M7" s="8" t="str">
        <x:v>FIRST-PARTY MEASUREMENT</x:v>
      </x:c>
      <x:c r="N7" s="8" t="str">
        <x:v>Archived export; no current or YoY first-party baseline</x:v>
      </x:c>
    </x:row>
    <x:row r="8" ht="48" customHeight="1">
      <x:c r="A8" s="9" t="str">
        <x:v>E004</x:v>
      </x:c>
      <x:c r="B8" s="11" t="str">
        <x:v>https://naxos-carrentals.com/en/guides/idp-greece-rules</x:v>
      </x:c>
      <x:c r="C8" s="9" t="n">
        <x:v>12</x:v>
      </x:c>
      <x:c r="D8" s="9" t="n">
        <x:v>1390</x:v>
      </x:c>
      <x:c r="E8" s="17" t="n">
        <x:f>IF(D8=0,"",C8/D8)</x:f>
        <x:v>0.008633093525179856</x:v>
      </x:c>
      <x:c r="F8" s="15" t="n">
        <x:v>8.31</x:v>
      </x:c>
      <x:c r="G8" s="9" t="str">
        <x:v>2026-06-14 to 2026-08-20</x:v>
      </x:c>
      <x:c r="H8" s="9"/>
      <x:c r="I8" s="9" t="str">
        <x:v>Current live route not sampled</x:v>
      </x:c>
      <x:c r="J8" s="9" t="str">
        <x:v>Refresh native content and verify current canonical route. Archived redirects are historical, not current defects</x:v>
      </x:c>
      <x:c r="K8" s="9" t="str">
        <x:v>SRC-GSC-PAGES; SRC-REPO</x:v>
      </x:c>
      <x:c r="L8" s="9" t="str">
        <x:v>OBSERVED</x:v>
      </x:c>
      <x:c r="M8" s="9" t="str">
        <x:v>FIRST-PARTY MEASUREMENT</x:v>
      </x:c>
      <x:c r="N8" s="9" t="str">
        <x:v>Archived export; no current or YoY first-party baseline</x:v>
      </x:c>
    </x:row>
    <x:row r="9" ht="48" customHeight="1">
      <x:c r="A9" s="8" t="str">
        <x:v>E005</x:v>
      </x:c>
      <x:c r="B9" s="10" t="str">
        <x:v>https://naxos-carrentals.com/en</x:v>
      </x:c>
      <x:c r="C9" s="8" t="n">
        <x:v>12</x:v>
      </x:c>
      <x:c r="D9" s="8" t="n">
        <x:v>1248</x:v>
      </x:c>
      <x:c r="E9" s="16" t="n">
        <x:f>IF(D9=0,"",C9/D9)</x:f>
        <x:v>0.009615384615384616</x:v>
      </x:c>
      <x:c r="F9" s="14" t="n">
        <x:v>7.79</x:v>
      </x:c>
      <x:c r="G9" s="8" t="str">
        <x:v>2026-06-14 to 2026-08-20</x:v>
      </x:c>
      <x:c r="H9" s="8" t="n">
        <x:v>200</x:v>
      </x:c>
      <x:c r="I9" s="8" t="str">
        <x:v>Live HTTP sample 2026-09-24</x:v>
      </x:c>
      <x:c r="J9" s="8" t="str">
        <x:v>Optimize core commercial page. Historical 1,248 impressions and 12 clicks justify review, not a current CTR forecast</x:v>
      </x:c>
      <x:c r="K9" s="8" t="str">
        <x:v>SRC-GSC-PAGES; SRC-LIVE</x:v>
      </x:c>
      <x:c r="L9" s="8" t="str">
        <x:v>OBSERVED</x:v>
      </x:c>
      <x:c r="M9" s="8" t="str">
        <x:v>FIRST-PARTY MEASUREMENT</x:v>
      </x:c>
      <x:c r="N9" s="8" t="str">
        <x:v>Archived export; no current or YoY first-party baseline</x:v>
      </x:c>
    </x:row>
    <x:row r="10" ht="48" customHeight="1">
      <x:c r="A10" s="9" t="str">
        <x:v>E006</x:v>
      </x:c>
      <x:c r="B10" s="11" t="str">
        <x:v>https://naxos-carrentals.com/en/insurance</x:v>
      </x:c>
      <x:c r="C10" s="9" t="n">
        <x:v>9</x:v>
      </x:c>
      <x:c r="D10" s="9" t="n">
        <x:v>173</x:v>
      </x:c>
      <x:c r="E10" s="17" t="n">
        <x:f>IF(D10=0,"",C10/D10)</x:f>
        <x:v>0.05202312138728324</x:v>
      </x:c>
      <x:c r="F10" s="15" t="n">
        <x:v>6.69</x:v>
      </x:c>
      <x:c r="G10" s="9" t="str">
        <x:v>2026-06-14 to 2026-08-20</x:v>
      </x:c>
      <x:c r="H10" s="9" t="n">
        <x:v>200</x:v>
      </x:c>
      <x:c r="I10" s="9" t="str">
        <x:v>Live HTTP sample 2026-09-24</x:v>
      </x:c>
      <x:c r="J10" s="9" t="str">
        <x:v>Review historical demand against a fresh complete GSC period before prioritizing</x:v>
      </x:c>
      <x:c r="K10" s="9" t="str">
        <x:v>SRC-GSC-PAGES; SRC-LIVE</x:v>
      </x:c>
      <x:c r="L10" s="9" t="str">
        <x:v>OBSERVED</x:v>
      </x:c>
      <x:c r="M10" s="9" t="str">
        <x:v>FIRST-PARTY MEASUREMENT</x:v>
      </x:c>
      <x:c r="N10" s="9" t="str">
        <x:v>Archived export; no current or YoY first-party baseline</x:v>
      </x:c>
    </x:row>
    <x:row r="11" ht="48" customHeight="1">
      <x:c r="A11" s="8" t="str">
        <x:v>E007</x:v>
      </x:c>
      <x:c r="B11" s="10" t="str">
        <x:v>https://naxos-carrentals.com/en/fleet/cars/suzuki-jimny</x:v>
      </x:c>
      <x:c r="C11" s="8" t="n">
        <x:v>9</x:v>
      </x:c>
      <x:c r="D11" s="8" t="n">
        <x:v>58</x:v>
      </x:c>
      <x:c r="E11" s="16" t="n">
        <x:f>IF(D11=0,"",C11/D11)</x:f>
        <x:v>0.15517241379310345</x:v>
      </x:c>
      <x:c r="F11" s="14" t="n">
        <x:v>4.19</x:v>
      </x:c>
      <x:c r="G11" s="8" t="str">
        <x:v>2026-06-14 to 2026-08-20</x:v>
      </x:c>
      <x:c r="H11" s="8"/>
      <x:c r="I11" s="8" t="str">
        <x:v>Current live route not sampled</x:v>
      </x:c>
      <x:c r="J11" s="8" t="str">
        <x:v>Review historical demand against a fresh complete GSC period before prioritizing</x:v>
      </x:c>
      <x:c r="K11" s="8" t="str">
        <x:v>SRC-GSC-PAGES; SRC-REPO</x:v>
      </x:c>
      <x:c r="L11" s="8" t="str">
        <x:v>OBSERVED</x:v>
      </x:c>
      <x:c r="M11" s="8" t="str">
        <x:v>FIRST-PARTY MEASUREMENT</x:v>
      </x:c>
      <x:c r="N11" s="8" t="str">
        <x:v>Archived export; no current or YoY first-party baseline</x:v>
      </x:c>
    </x:row>
    <x:row r="12" ht="48" customHeight="1">
      <x:c r="A12" s="9" t="str">
        <x:v>E008</x:v>
      </x:c>
      <x:c r="B12" s="11" t="str">
        <x:v>https://naxos-carrentals.com/en/guides/naxos-car-rental-without-credit-card-insurance</x:v>
      </x:c>
      <x:c r="C12" s="9" t="n">
        <x:v>7</x:v>
      </x:c>
      <x:c r="D12" s="9" t="n">
        <x:v>161</x:v>
      </x:c>
      <x:c r="E12" s="17" t="n">
        <x:f>IF(D12=0,"",C12/D12)</x:f>
        <x:v>0.043478260869565216</x:v>
      </x:c>
      <x:c r="F12" s="15" t="n">
        <x:v>6.43</x:v>
      </x:c>
      <x:c r="G12" s="9" t="str">
        <x:v>2026-06-14 to 2026-08-20</x:v>
      </x:c>
      <x:c r="H12" s="9"/>
      <x:c r="I12" s="9" t="str">
        <x:v>Current live route not sampled</x:v>
      </x:c>
      <x:c r="J12" s="9" t="str">
        <x:v>Refresh native content and verify current canonical route. Archived redirects are historical, not current defects</x:v>
      </x:c>
      <x:c r="K12" s="9" t="str">
        <x:v>SRC-GSC-PAGES; SRC-REPO</x:v>
      </x:c>
      <x:c r="L12" s="9" t="str">
        <x:v>OBSERVED</x:v>
      </x:c>
      <x:c r="M12" s="9" t="str">
        <x:v>FIRST-PARTY MEASUREMENT</x:v>
      </x:c>
      <x:c r="N12" s="9" t="str">
        <x:v>Archived export; no current or YoY first-party baseline</x:v>
      </x:c>
    </x:row>
    <x:row r="13" ht="48" customHeight="1">
      <x:c r="A13" s="8" t="str">
        <x:v>E009</x:v>
      </x:c>
      <x:c r="B13" s="10" t="str">
        <x:v>https://naxos-carrentals.com/</x:v>
      </x:c>
      <x:c r="C13" s="8" t="n">
        <x:v>5</x:v>
      </x:c>
      <x:c r="D13" s="8" t="n">
        <x:v>52</x:v>
      </x:c>
      <x:c r="E13" s="16" t="n">
        <x:f>IF(D13=0,"",C13/D13)</x:f>
        <x:v>0.09615384615384616</x:v>
      </x:c>
      <x:c r="F13" s="14" t="n">
        <x:v>14.44</x:v>
      </x:c>
      <x:c r="G13" s="8" t="str">
        <x:v>2026-06-14 to 2026-08-20</x:v>
      </x:c>
      <x:c r="H13" s="8"/>
      <x:c r="I13" s="8" t="str">
        <x:v>Current live route not sampled</x:v>
      </x:c>
      <x:c r="J13" s="8" t="str">
        <x:v>Review historical demand against a fresh complete GSC period before prioritizing</x:v>
      </x:c>
      <x:c r="K13" s="8" t="str">
        <x:v>SRC-GSC-PAGES; SRC-REPO</x:v>
      </x:c>
      <x:c r="L13" s="8" t="str">
        <x:v>OBSERVED</x:v>
      </x:c>
      <x:c r="M13" s="8" t="str">
        <x:v>FIRST-PARTY MEASUREMENT</x:v>
      </x:c>
      <x:c r="N13" s="8" t="str">
        <x:v>Archived export; no current or YoY first-party baseline</x:v>
      </x:c>
    </x:row>
    <x:row r="14" ht="48" customHeight="1">
      <x:c r="A14" s="9" t="str">
        <x:v>E010</x:v>
      </x:c>
      <x:c r="B14" s="11" t="str">
        <x:v>https://naxos-carrentals.com/it/guides/best-car-rental-naxos-reviews-comparison</x:v>
      </x:c>
      <x:c r="C14" s="9" t="n">
        <x:v>4</x:v>
      </x:c>
      <x:c r="D14" s="9" t="n">
        <x:v>77</x:v>
      </x:c>
      <x:c r="E14" s="17" t="n">
        <x:f>IF(D14=0,"",C14/D14)</x:f>
        <x:v>0.05194805194805195</x:v>
      </x:c>
      <x:c r="F14" s="15" t="n">
        <x:v>7.84</x:v>
      </x:c>
      <x:c r="G14" s="9" t="str">
        <x:v>2026-06-14 to 2026-08-20</x:v>
      </x:c>
      <x:c r="H14" s="9"/>
      <x:c r="I14" s="9" t="str">
        <x:v>Current live route not sampled</x:v>
      </x:c>
      <x:c r="J14" s="9" t="str">
        <x:v>Refresh native content and verify current canonical route. Archived redirects are historical, not current defects</x:v>
      </x:c>
      <x:c r="K14" s="9" t="str">
        <x:v>SRC-GSC-PAGES; SRC-REPO</x:v>
      </x:c>
      <x:c r="L14" s="9" t="str">
        <x:v>OBSERVED</x:v>
      </x:c>
      <x:c r="M14" s="9" t="str">
        <x:v>FIRST-PARTY MEASUREMENT</x:v>
      </x:c>
      <x:c r="N14" s="9" t="str">
        <x:v>Archived export; no current or YoY first-party baseline</x:v>
      </x:c>
    </x:row>
    <x:row r="15" ht="48" customHeight="1">
      <x:c r="A15" s="8" t="str">
        <x:v>E011</x:v>
      </x:c>
      <x:c r="B15" s="10" t="str">
        <x:v>https://naxos-carrentals.com/it/guides/naxos-car-rental-without-credit-card-insurance</x:v>
      </x:c>
      <x:c r="C15" s="8" t="n">
        <x:v>4</x:v>
      </x:c>
      <x:c r="D15" s="8" t="n">
        <x:v>60</x:v>
      </x:c>
      <x:c r="E15" s="16" t="n">
        <x:f>IF(D15=0,"",C15/D15)</x:f>
        <x:v>0.06666666666666667</x:v>
      </x:c>
      <x:c r="F15" s="14" t="n">
        <x:v>9.6</x:v>
      </x:c>
      <x:c r="G15" s="8" t="str">
        <x:v>2026-06-14 to 2026-08-20</x:v>
      </x:c>
      <x:c r="H15" s="8"/>
      <x:c r="I15" s="8" t="str">
        <x:v>Current live route not sampled</x:v>
      </x:c>
      <x:c r="J15" s="8" t="str">
        <x:v>Refresh native content and verify current canonical route. Archived redirects are historical, not current defects</x:v>
      </x:c>
      <x:c r="K15" s="8" t="str">
        <x:v>SRC-GSC-PAGES; SRC-REPO</x:v>
      </x:c>
      <x:c r="L15" s="8" t="str">
        <x:v>OBSERVED</x:v>
      </x:c>
      <x:c r="M15" s="8" t="str">
        <x:v>FIRST-PARTY MEASUREMENT</x:v>
      </x:c>
      <x:c r="N15" s="8" t="str">
        <x:v>Archived export; no current or YoY first-party baseline</x:v>
      </x:c>
    </x:row>
    <x:row r="16" ht="48" customHeight="1">
      <x:c r="A16" s="9" t="str">
        <x:v>E012</x:v>
      </x:c>
      <x:c r="B16" s="11" t="str">
        <x:v>https://naxos-carrentals.com/en/guides/do-you-need-a-car-in-naxos</x:v>
      </x:c>
      <x:c r="C16" s="9" t="n">
        <x:v>3</x:v>
      </x:c>
      <x:c r="D16" s="9" t="n">
        <x:v>194</x:v>
      </x:c>
      <x:c r="E16" s="17" t="n">
        <x:f>IF(D16=0,"",C16/D16)</x:f>
        <x:v>0.015463917525773196</x:v>
      </x:c>
      <x:c r="F16" s="15" t="n">
        <x:v>7.24</x:v>
      </x:c>
      <x:c r="G16" s="9" t="str">
        <x:v>2026-06-14 to 2026-08-20</x:v>
      </x:c>
      <x:c r="H16" s="9" t="n">
        <x:v>200</x:v>
      </x:c>
      <x:c r="I16" s="9" t="str">
        <x:v>Live HTTP sample 2026-09-24</x:v>
      </x:c>
      <x:c r="J16" s="9" t="str">
        <x:v>Refresh native content and verify current canonical route. Archived redirects are historical, not current defects</x:v>
      </x:c>
      <x:c r="K16" s="9" t="str">
        <x:v>SRC-GSC-PAGES; SRC-LIVE</x:v>
      </x:c>
      <x:c r="L16" s="9" t="str">
        <x:v>OBSERVED</x:v>
      </x:c>
      <x:c r="M16" s="9" t="str">
        <x:v>FIRST-PARTY MEASUREMENT</x:v>
      </x:c>
      <x:c r="N16" s="9" t="str">
        <x:v>Archived export; no current or YoY first-party baseline</x:v>
      </x:c>
    </x:row>
    <x:row r="17" ht="48" customHeight="1">
      <x:c r="A17" s="8" t="str">
        <x:v>E013</x:v>
      </x:c>
      <x:c r="B17" s="10" t="str">
        <x:v>https://naxos-carrentals.com/el/faq</x:v>
      </x:c>
      <x:c r="C17" s="8" t="n">
        <x:v>3</x:v>
      </x:c>
      <x:c r="D17" s="8" t="n">
        <x:v>87</x:v>
      </x:c>
      <x:c r="E17" s="16" t="n">
        <x:f>IF(D17=0,"",C17/D17)</x:f>
        <x:v>0.034482758620689655</x:v>
      </x:c>
      <x:c r="F17" s="14" t="n">
        <x:v>25.53</x:v>
      </x:c>
      <x:c r="G17" s="8" t="str">
        <x:v>2026-06-14 to 2026-08-20</x:v>
      </x:c>
      <x:c r="H17" s="8"/>
      <x:c r="I17" s="8" t="str">
        <x:v>Current live route not sampled</x:v>
      </x:c>
      <x:c r="J17" s="8" t="str">
        <x:v>Review historical demand against a fresh complete GSC period before prioritizing</x:v>
      </x:c>
      <x:c r="K17" s="8" t="str">
        <x:v>SRC-GSC-PAGES; SRC-REPO</x:v>
      </x:c>
      <x:c r="L17" s="8" t="str">
        <x:v>OBSERVED</x:v>
      </x:c>
      <x:c r="M17" s="8" t="str">
        <x:v>FIRST-PARTY MEASUREMENT</x:v>
      </x:c>
      <x:c r="N17" s="8" t="str">
        <x:v>Archived export; no current or YoY first-party baseline</x:v>
      </x:c>
    </x:row>
    <x:row r="18" ht="48" customHeight="1">
      <x:c r="A18" s="9" t="str">
        <x:v>E014</x:v>
      </x:c>
      <x:c r="B18" s="11" t="str">
        <x:v>https://naxos-carrentals.com/en/locations/agia-anna</x:v>
      </x:c>
      <x:c r="C18" s="9" t="n">
        <x:v>3</x:v>
      </x:c>
      <x:c r="D18" s="9" t="n">
        <x:v>69</x:v>
      </x:c>
      <x:c r="E18" s="17" t="n">
        <x:f>IF(D18=0,"",C18/D18)</x:f>
        <x:v>0.043478260869565216</x:v>
      </x:c>
      <x:c r="F18" s="15" t="n">
        <x:v>7.45</x:v>
      </x:c>
      <x:c r="G18" s="9" t="str">
        <x:v>2026-06-14 to 2026-08-20</x:v>
      </x:c>
      <x:c r="H18" s="9"/>
      <x:c r="I18" s="9" t="str">
        <x:v>Current live route not sampled</x:v>
      </x:c>
      <x:c r="J18" s="9" t="str">
        <x:v>Review historical demand against a fresh complete GSC period before prioritizing</x:v>
      </x:c>
      <x:c r="K18" s="9" t="str">
        <x:v>SRC-GSC-PAGES; SRC-REPO</x:v>
      </x:c>
      <x:c r="L18" s="9" t="str">
        <x:v>OBSERVED</x:v>
      </x:c>
      <x:c r="M18" s="9" t="str">
        <x:v>FIRST-PARTY MEASUREMENT</x:v>
      </x:c>
      <x:c r="N18" s="9" t="str">
        <x:v>Archived export; no current or YoY first-party baseline</x:v>
      </x:c>
    </x:row>
    <x:row r="19" ht="48" customHeight="1">
      <x:c r="A19" s="8" t="str">
        <x:v>E015</x:v>
      </x:c>
      <x:c r="B19" s="10" t="str">
        <x:v>https://naxos-carrentals.com/de/guides/naxos-car-rental-without-credit-card-insurance</x:v>
      </x:c>
      <x:c r="C19" s="8" t="n">
        <x:v>3</x:v>
      </x:c>
      <x:c r="D19" s="8" t="n">
        <x:v>16</x:v>
      </x:c>
      <x:c r="E19" s="16" t="n">
        <x:f>IF(D19=0,"",C19/D19)</x:f>
        <x:v>0.1875</x:v>
      </x:c>
      <x:c r="F19" s="14" t="n">
        <x:v>4.31</x:v>
      </x:c>
      <x:c r="G19" s="8" t="str">
        <x:v>2026-06-14 to 2026-08-20</x:v>
      </x:c>
      <x:c r="H19" s="8"/>
      <x:c r="I19" s="8" t="str">
        <x:v>Current live route not sampled</x:v>
      </x:c>
      <x:c r="J19" s="8" t="str">
        <x:v>Refresh native content and verify current canonical route. Archived redirects are historical, not current defects</x:v>
      </x:c>
      <x:c r="K19" s="8" t="str">
        <x:v>SRC-GSC-PAGES; SRC-REPO</x:v>
      </x:c>
      <x:c r="L19" s="8" t="str">
        <x:v>OBSERVED</x:v>
      </x:c>
      <x:c r="M19" s="8" t="str">
        <x:v>FIRST-PARTY MEASUREMENT</x:v>
      </x:c>
      <x:c r="N19" s="8" t="str">
        <x:v>Archived export; no current or YoY first-party baseline</x:v>
      </x:c>
    </x:row>
    <x:row r="20" ht="48" customHeight="1">
      <x:c r="A20" s="9" t="str">
        <x:v>E016</x:v>
      </x:c>
      <x:c r="B20" s="11" t="str">
        <x:v>https://naxos-carrentals.com/en/guides/new-greek-traffic-code-2026</x:v>
      </x:c>
      <x:c r="C20" s="9" t="n">
        <x:v>2</x:v>
      </x:c>
      <x:c r="D20" s="9" t="n">
        <x:v>380</x:v>
      </x:c>
      <x:c r="E20" s="17" t="n">
        <x:f>IF(D20=0,"",C20/D20)</x:f>
        <x:v>0.005263157894736842</x:v>
      </x:c>
      <x:c r="F20" s="15" t="n">
        <x:v>5.53</x:v>
      </x:c>
      <x:c r="G20" s="9" t="str">
        <x:v>2026-06-14 to 2026-08-20</x:v>
      </x:c>
      <x:c r="H20" s="9"/>
      <x:c r="I20" s="9" t="str">
        <x:v>Current live route not sampled</x:v>
      </x:c>
      <x:c r="J20" s="9" t="str">
        <x:v>Refresh native content and verify current canonical route. Archived redirects are historical, not current defects</x:v>
      </x:c>
      <x:c r="K20" s="9" t="str">
        <x:v>SRC-GSC-PAGES; SRC-REPO</x:v>
      </x:c>
      <x:c r="L20" s="9" t="str">
        <x:v>OBSERVED</x:v>
      </x:c>
      <x:c r="M20" s="9" t="str">
        <x:v>FIRST-PARTY MEASUREMENT</x:v>
      </x:c>
      <x:c r="N20" s="9" t="str">
        <x:v>Archived export; no current or YoY first-party baseline</x:v>
      </x:c>
    </x:row>
    <x:row r="21" ht="48" customHeight="1">
      <x:c r="A21" s="8" t="str">
        <x:v>E017</x:v>
      </x:c>
      <x:c r="B21" s="10" t="str">
        <x:v>https://naxos-carrentals.com/en/guides/rent-a-car-naxos-port-vs-airport-pickup-guide</x:v>
      </x:c>
      <x:c r="C21" s="8" t="n">
        <x:v>2</x:v>
      </x:c>
      <x:c r="D21" s="8" t="n">
        <x:v>148</x:v>
      </x:c>
      <x:c r="E21" s="16" t="n">
        <x:f>IF(D21=0,"",C21/D21)</x:f>
        <x:v>0.013513513513513514</x:v>
      </x:c>
      <x:c r="F21" s="14" t="n">
        <x:v>10.28</x:v>
      </x:c>
      <x:c r="G21" s="8" t="str">
        <x:v>2026-06-14 to 2026-08-20</x:v>
      </x:c>
      <x:c r="H21" s="8"/>
      <x:c r="I21" s="8" t="str">
        <x:v>Current live route not sampled</x:v>
      </x:c>
      <x:c r="J21" s="8" t="str">
        <x:v>Refresh native content and verify current canonical route. Archived redirects are historical, not current defects</x:v>
      </x:c>
      <x:c r="K21" s="8" t="str">
        <x:v>SRC-GSC-PAGES; SRC-REPO</x:v>
      </x:c>
      <x:c r="L21" s="8" t="str">
        <x:v>OBSERVED</x:v>
      </x:c>
      <x:c r="M21" s="8" t="str">
        <x:v>FIRST-PARTY MEASUREMENT</x:v>
      </x:c>
      <x:c r="N21" s="8" t="str">
        <x:v>Archived export; no current or YoY first-party baseline</x:v>
      </x:c>
    </x:row>
    <x:row r="22" ht="48" customHeight="1">
      <x:c r="A22" s="9" t="str">
        <x:v>E018</x:v>
      </x:c>
      <x:c r="B22" s="11" t="str">
        <x:v>https://naxos-carrentals.com/el/guides/naxos-rent-a-car-prices-cost-breakdown</x:v>
      </x:c>
      <x:c r="C22" s="9" t="n">
        <x:v>2</x:v>
      </x:c>
      <x:c r="D22" s="9" t="n">
        <x:v>116</x:v>
      </x:c>
      <x:c r="E22" s="17" t="n">
        <x:f>IF(D22=0,"",C22/D22)</x:f>
        <x:v>0.017241379310344827</x:v>
      </x:c>
      <x:c r="F22" s="15" t="n">
        <x:v>20.58</x:v>
      </x:c>
      <x:c r="G22" s="9" t="str">
        <x:v>2026-06-14 to 2026-08-20</x:v>
      </x:c>
      <x:c r="H22" s="9"/>
      <x:c r="I22" s="9" t="str">
        <x:v>Current live route not sampled</x:v>
      </x:c>
      <x:c r="J22" s="9" t="str">
        <x:v>Refresh native content and verify current canonical route. Archived redirects are historical, not current defects</x:v>
      </x:c>
      <x:c r="K22" s="9" t="str">
        <x:v>SRC-GSC-PAGES; SRC-REPO</x:v>
      </x:c>
      <x:c r="L22" s="9" t="str">
        <x:v>OBSERVED</x:v>
      </x:c>
      <x:c r="M22" s="9" t="str">
        <x:v>FIRST-PARTY MEASUREMENT</x:v>
      </x:c>
      <x:c r="N22" s="9" t="str">
        <x:v>Archived export; no current or YoY first-party baseline</x:v>
      </x:c>
    </x:row>
    <x:row r="23" ht="48" customHeight="1">
      <x:c r="A23" s="8" t="str">
        <x:v>E019</x:v>
      </x:c>
      <x:c r="B23" s="10" t="str">
        <x:v>https://naxos-carrentals.com/en/fleet/cars</x:v>
      </x:c>
      <x:c r="C23" s="8" t="n">
        <x:v>2</x:v>
      </x:c>
      <x:c r="D23" s="8" t="n">
        <x:v>100</x:v>
      </x:c>
      <x:c r="E23" s="16" t="n">
        <x:f>IF(D23=0,"",C23/D23)</x:f>
        <x:v>0.02</x:v>
      </x:c>
      <x:c r="F23" s="14" t="n">
        <x:v>15.5</x:v>
      </x:c>
      <x:c r="G23" s="8" t="str">
        <x:v>2026-06-14 to 2026-08-20</x:v>
      </x:c>
      <x:c r="H23" s="8" t="n">
        <x:v>200</x:v>
      </x:c>
      <x:c r="I23" s="8" t="str">
        <x:v>Live HTTP sample 2026-09-24</x:v>
      </x:c>
      <x:c r="J23" s="8" t="str">
        <x:v>Review historical demand against a fresh complete GSC period before prioritizing</x:v>
      </x:c>
      <x:c r="K23" s="8" t="str">
        <x:v>SRC-GSC-PAGES; SRC-LIVE</x:v>
      </x:c>
      <x:c r="L23" s="8" t="str">
        <x:v>OBSERVED</x:v>
      </x:c>
      <x:c r="M23" s="8" t="str">
        <x:v>FIRST-PARTY MEASUREMENT</x:v>
      </x:c>
      <x:c r="N23" s="8" t="str">
        <x:v>Archived export; no current or YoY first-party baseline</x:v>
      </x:c>
    </x:row>
    <x:row r="24" ht="48" customHeight="1">
      <x:c r="A24" s="9" t="str">
        <x:v>E020</x:v>
      </x:c>
      <x:c r="B24" s="11" t="str">
        <x:v>https://naxos-carrentals.com/el/guides/naxos-car-rental-without-credit-card-insurance</x:v>
      </x:c>
      <x:c r="C24" s="9" t="n">
        <x:v>2</x:v>
      </x:c>
      <x:c r="D24" s="9" t="n">
        <x:v>82</x:v>
      </x:c>
      <x:c r="E24" s="17" t="n">
        <x:f>IF(D24=0,"",C24/D24)</x:f>
        <x:v>0.024390243902439025</x:v>
      </x:c>
      <x:c r="F24" s="15" t="n">
        <x:v>23.22</x:v>
      </x:c>
      <x:c r="G24" s="9" t="str">
        <x:v>2026-06-14 to 2026-08-20</x:v>
      </x:c>
      <x:c r="H24" s="9"/>
      <x:c r="I24" s="9" t="str">
        <x:v>Current live route not sampled</x:v>
      </x:c>
      <x:c r="J24" s="9" t="str">
        <x:v>Refresh native content and verify current canonical route. Archived redirects are historical, not current defects</x:v>
      </x:c>
      <x:c r="K24" s="9" t="str">
        <x:v>SRC-GSC-PAGES; SRC-REPO</x:v>
      </x:c>
      <x:c r="L24" s="9" t="str">
        <x:v>OBSERVED</x:v>
      </x:c>
      <x:c r="M24" s="9" t="str">
        <x:v>FIRST-PARTY MEASUREMENT</x:v>
      </x:c>
      <x:c r="N24" s="9" t="str">
        <x:v>Archived export; no current or YoY first-party baseline</x:v>
      </x:c>
    </x:row>
    <x:row r="25" ht="48" customHeight="1">
      <x:c r="A25" s="8" t="str">
        <x:v>E021</x:v>
      </x:c>
      <x:c r="B25" s="10" t="str">
        <x:v>https://naxos-carrentals.com/de/guides/best-car-rental-naxos-reviews-comparison</x:v>
      </x:c>
      <x:c r="C25" s="8" t="n">
        <x:v>2</x:v>
      </x:c>
      <x:c r="D25" s="8" t="n">
        <x:v>81</x:v>
      </x:c>
      <x:c r="E25" s="16" t="n">
        <x:f>IF(D25=0,"",C25/D25)</x:f>
        <x:v>0.024691358024691357</x:v>
      </x:c>
      <x:c r="F25" s="14" t="n">
        <x:v>11.73</x:v>
      </x:c>
      <x:c r="G25" s="8" t="str">
        <x:v>2026-06-14 to 2026-08-20</x:v>
      </x:c>
      <x:c r="H25" s="8"/>
      <x:c r="I25" s="8" t="str">
        <x:v>Current live route not sampled</x:v>
      </x:c>
      <x:c r="J25" s="8" t="str">
        <x:v>Refresh native content and verify current canonical route. Archived redirects are historical, not current defects</x:v>
      </x:c>
      <x:c r="K25" s="8" t="str">
        <x:v>SRC-GSC-PAGES; SRC-REPO</x:v>
      </x:c>
      <x:c r="L25" s="8" t="str">
        <x:v>OBSERVED</x:v>
      </x:c>
      <x:c r="M25" s="8" t="str">
        <x:v>FIRST-PARTY MEASUREMENT</x:v>
      </x:c>
      <x:c r="N25" s="8" t="str">
        <x:v>Archived export; no current or YoY first-party baseline</x:v>
      </x:c>
    </x:row>
    <x:row r="26" ht="48" customHeight="1">
      <x:c r="A26" s="9" t="str">
        <x:v>E022</x:v>
      </x:c>
      <x:c r="B26" s="11" t="str">
        <x:v>https://naxos-carrentals.com/el/fleet/cars/toyota-aygo</x:v>
      </x:c>
      <x:c r="C26" s="9" t="n">
        <x:v>2</x:v>
      </x:c>
      <x:c r="D26" s="9" t="n">
        <x:v>7</x:v>
      </x:c>
      <x:c r="E26" s="17" t="n">
        <x:f>IF(D26=0,"",C26/D26)</x:f>
        <x:v>0.2857142857142857</x:v>
      </x:c>
      <x:c r="F26" s="15" t="n">
        <x:v>6.86</x:v>
      </x:c>
      <x:c r="G26" s="9" t="str">
        <x:v>2026-06-14 to 2026-08-20</x:v>
      </x:c>
      <x:c r="H26" s="9"/>
      <x:c r="I26" s="9" t="str">
        <x:v>Current live route not sampled</x:v>
      </x:c>
      <x:c r="J26" s="9" t="str">
        <x:v>Review historical demand against a fresh complete GSC period before prioritizing</x:v>
      </x:c>
      <x:c r="K26" s="9" t="str">
        <x:v>SRC-GSC-PAGES; SRC-REPO</x:v>
      </x:c>
      <x:c r="L26" s="9" t="str">
        <x:v>OBSERVED</x:v>
      </x:c>
      <x:c r="M26" s="9" t="str">
        <x:v>FIRST-PARTY MEASUREMENT</x:v>
      </x:c>
      <x:c r="N26" s="9" t="str">
        <x:v>Archived export; no current or YoY first-party baseline</x:v>
      </x:c>
    </x:row>
    <x:row r="27" ht="48" customHeight="1">
      <x:c r="A27" s="8" t="str">
        <x:v>E023</x:v>
      </x:c>
      <x:c r="B27" s="10" t="str">
        <x:v>https://naxos-carrentals.com/en/guides/naxos-rent-a-car-prices-cost-breakdown</x:v>
      </x:c>
      <x:c r="C27" s="8" t="n">
        <x:v>1</x:v>
      </x:c>
      <x:c r="D27" s="8" t="n">
        <x:v>467</x:v>
      </x:c>
      <x:c r="E27" s="16" t="n">
        <x:f>IF(D27=0,"",C27/D27)</x:f>
        <x:v>0.0021413276231263384</x:v>
      </x:c>
      <x:c r="F27" s="14" t="n">
        <x:v>5.37</x:v>
      </x:c>
      <x:c r="G27" s="8" t="str">
        <x:v>2026-06-14 to 2026-08-20</x:v>
      </x:c>
      <x:c r="H27" s="8"/>
      <x:c r="I27" s="8" t="str">
        <x:v>Current live route not sampled</x:v>
      </x:c>
      <x:c r="J27" s="8" t="str">
        <x:v>Refresh native content and verify current canonical route. Archived redirects are historical, not current defects</x:v>
      </x:c>
      <x:c r="K27" s="8" t="str">
        <x:v>SRC-GSC-PAGES; SRC-REPO</x:v>
      </x:c>
      <x:c r="L27" s="8" t="str">
        <x:v>OBSERVED</x:v>
      </x:c>
      <x:c r="M27" s="8" t="str">
        <x:v>FIRST-PARTY MEASUREMENT</x:v>
      </x:c>
      <x:c r="N27" s="8" t="str">
        <x:v>Archived export; no current or YoY first-party baseline</x:v>
      </x:c>
    </x:row>
    <x:row r="28" ht="48" customHeight="1">
      <x:c r="A28" s="9" t="str">
        <x:v>E024</x:v>
      </x:c>
      <x:c r="B28" s="11" t="str">
        <x:v>https://naxos-carrentals.com/el/guides/best-car-rental-naxos-reviews-comparison</x:v>
      </x:c>
      <x:c r="C28" s="9" t="n">
        <x:v>1</x:v>
      </x:c>
      <x:c r="D28" s="9" t="n">
        <x:v>71</x:v>
      </x:c>
      <x:c r="E28" s="17" t="n">
        <x:f>IF(D28=0,"",C28/D28)</x:f>
        <x:v>0.014084507042253521</x:v>
      </x:c>
      <x:c r="F28" s="15" t="n">
        <x:v>7.85</x:v>
      </x:c>
      <x:c r="G28" s="9" t="str">
        <x:v>2026-06-14 to 2026-08-20</x:v>
      </x:c>
      <x:c r="H28" s="9"/>
      <x:c r="I28" s="9" t="str">
        <x:v>Current live route not sampled</x:v>
      </x:c>
      <x:c r="J28" s="9" t="str">
        <x:v>Refresh native content and verify current canonical route. Archived redirects are historical, not current defects</x:v>
      </x:c>
      <x:c r="K28" s="9" t="str">
        <x:v>SRC-GSC-PAGES; SRC-REPO</x:v>
      </x:c>
      <x:c r="L28" s="9" t="str">
        <x:v>OBSERVED</x:v>
      </x:c>
      <x:c r="M28" s="9" t="str">
        <x:v>FIRST-PARTY MEASUREMENT</x:v>
      </x:c>
      <x:c r="N28" s="9" t="str">
        <x:v>Archived export; no current or YoY first-party baseline</x:v>
      </x:c>
    </x:row>
    <x:row r="29" ht="48" customHeight="1">
      <x:c r="A29" s="8" t="str">
        <x:v>E025</x:v>
      </x:c>
      <x:c r="B29" s="10" t="str">
        <x:v>https://naxos-carrentals.com/el/book</x:v>
      </x:c>
      <x:c r="C29" s="8" t="n">
        <x:v>1</x:v>
      </x:c>
      <x:c r="D29" s="8" t="n">
        <x:v>51</x:v>
      </x:c>
      <x:c r="E29" s="16" t="n">
        <x:f>IF(D29=0,"",C29/D29)</x:f>
        <x:v>0.0196078431372549</x:v>
      </x:c>
      <x:c r="F29" s="14" t="n">
        <x:v>20.9</x:v>
      </x:c>
      <x:c r="G29" s="8" t="str">
        <x:v>2026-06-14 to 2026-08-20</x:v>
      </x:c>
      <x:c r="H29" s="8"/>
      <x:c r="I29" s="8" t="str">
        <x:v>Current live route not sampled</x:v>
      </x:c>
      <x:c r="J29" s="8" t="str">
        <x:v>Review historical demand against a fresh complete GSC period before prioritizing</x:v>
      </x:c>
      <x:c r="K29" s="8" t="str">
        <x:v>SRC-GSC-PAGES; SRC-REPO</x:v>
      </x:c>
      <x:c r="L29" s="8" t="str">
        <x:v>OBSERVED</x:v>
      </x:c>
      <x:c r="M29" s="8" t="str">
        <x:v>FIRST-PARTY MEASUREMENT</x:v>
      </x:c>
      <x:c r="N29" s="8" t="str">
        <x:v>Archived export; no current or YoY first-party baseline</x:v>
      </x:c>
    </x:row>
    <x:row r="30" ht="48" customHeight="1">
      <x:c r="A30" s="9" t="str">
        <x:v>E026</x:v>
      </x:c>
      <x:c r="B30" s="11" t="str">
        <x:v>https://naxos-carrentals.com/en/guides/naxos-mountain-villages-by-car</x:v>
      </x:c>
      <x:c r="C30" s="9" t="n">
        <x:v>1</x:v>
      </x:c>
      <x:c r="D30" s="9" t="n">
        <x:v>45</x:v>
      </x:c>
      <x:c r="E30" s="17" t="n">
        <x:f>IF(D30=0,"",C30/D30)</x:f>
        <x:v>0.022222222222222223</x:v>
      </x:c>
      <x:c r="F30" s="15" t="n">
        <x:v>7.07</x:v>
      </x:c>
      <x:c r="G30" s="9" t="str">
        <x:v>2026-06-14 to 2026-08-20</x:v>
      </x:c>
      <x:c r="H30" s="9"/>
      <x:c r="I30" s="9" t="str">
        <x:v>Current live route not sampled</x:v>
      </x:c>
      <x:c r="J30" s="9" t="str">
        <x:v>Refresh native content and verify current canonical route. Archived redirects are historical, not current defects</x:v>
      </x:c>
      <x:c r="K30" s="9" t="str">
        <x:v>SRC-GSC-PAGES; SRC-REPO</x:v>
      </x:c>
      <x:c r="L30" s="9" t="str">
        <x:v>OBSERVED</x:v>
      </x:c>
      <x:c r="M30" s="9" t="str">
        <x:v>FIRST-PARTY MEASUREMENT</x:v>
      </x:c>
      <x:c r="N30" s="9" t="str">
        <x:v>Archived export; no current or YoY first-party baseline</x:v>
      </x:c>
    </x:row>
    <x:row r="31" ht="48" customHeight="1">
      <x:c r="A31" s="8" t="str">
        <x:v>E027</x:v>
      </x:c>
      <x:c r="B31" s="10" t="str">
        <x:v>https://naxos-carrentals.com/fr/guides/best-car-rental-naxos-reviews-comparison</x:v>
      </x:c>
      <x:c r="C31" s="8" t="n">
        <x:v>1</x:v>
      </x:c>
      <x:c r="D31" s="8" t="n">
        <x:v>45</x:v>
      </x:c>
      <x:c r="E31" s="16" t="n">
        <x:f>IF(D31=0,"",C31/D31)</x:f>
        <x:v>0.022222222222222223</x:v>
      </x:c>
      <x:c r="F31" s="14" t="n">
        <x:v>8.38</x:v>
      </x:c>
      <x:c r="G31" s="8" t="str">
        <x:v>2026-06-14 to 2026-08-20</x:v>
      </x:c>
      <x:c r="H31" s="8"/>
      <x:c r="I31" s="8" t="str">
        <x:v>Current live route not sampled</x:v>
      </x:c>
      <x:c r="J31" s="8" t="str">
        <x:v>Refresh native content and verify current canonical route. Archived redirects are historical, not current defects</x:v>
      </x:c>
      <x:c r="K31" s="8" t="str">
        <x:v>SRC-GSC-PAGES; SRC-REPO</x:v>
      </x:c>
      <x:c r="L31" s="8" t="str">
        <x:v>OBSERVED</x:v>
      </x:c>
      <x:c r="M31" s="8" t="str">
        <x:v>FIRST-PARTY MEASUREMENT</x:v>
      </x:c>
      <x:c r="N31" s="8" t="str">
        <x:v>Archived export; no current or YoY first-party baseline</x:v>
      </x:c>
    </x:row>
    <x:row r="32" ht="48" customHeight="1">
      <x:c r="A32" s="9" t="str">
        <x:v>E028</x:v>
      </x:c>
      <x:c r="B32" s="11" t="str">
        <x:v>https://naxos-carrentals.com/de/guides/rent-a-car-naxos-port-vs-airport-pickup-guide</x:v>
      </x:c>
      <x:c r="C32" s="9" t="n">
        <x:v>1</x:v>
      </x:c>
      <x:c r="D32" s="9" t="n">
        <x:v>40</x:v>
      </x:c>
      <x:c r="E32" s="17" t="n">
        <x:f>IF(D32=0,"",C32/D32)</x:f>
        <x:v>0.025</x:v>
      </x:c>
      <x:c r="F32" s="15" t="n">
        <x:v>9.57</x:v>
      </x:c>
      <x:c r="G32" s="9" t="str">
        <x:v>2026-06-14 to 2026-08-20</x:v>
      </x:c>
      <x:c r="H32" s="9"/>
      <x:c r="I32" s="9" t="str">
        <x:v>Current live route not sampled</x:v>
      </x:c>
      <x:c r="J32" s="9" t="str">
        <x:v>Refresh native content and verify current canonical route. Archived redirects are historical, not current defects</x:v>
      </x:c>
      <x:c r="K32" s="9" t="str">
        <x:v>SRC-GSC-PAGES; SRC-REPO</x:v>
      </x:c>
      <x:c r="L32" s="9" t="str">
        <x:v>OBSERVED</x:v>
      </x:c>
      <x:c r="M32" s="9" t="str">
        <x:v>FIRST-PARTY MEASUREMENT</x:v>
      </x:c>
      <x:c r="N32" s="9" t="str">
        <x:v>Archived export; no current or YoY first-party baseline</x:v>
      </x:c>
    </x:row>
    <x:row r="33" ht="48" customHeight="1">
      <x:c r="A33" s="8" t="str">
        <x:v>E029</x:v>
      </x:c>
      <x:c r="B33" s="10" t="str">
        <x:v>https://naxos-carrentals.com/fr/locations/agios-prokopios</x:v>
      </x:c>
      <x:c r="C33" s="8" t="n">
        <x:v>1</x:v>
      </x:c>
      <x:c r="D33" s="8" t="n">
        <x:v>32</x:v>
      </x:c>
      <x:c r="E33" s="16" t="n">
        <x:f>IF(D33=0,"",C33/D33)</x:f>
        <x:v>0.03125</x:v>
      </x:c>
      <x:c r="F33" s="14" t="n">
        <x:v>11.44</x:v>
      </x:c>
      <x:c r="G33" s="8" t="str">
        <x:v>2026-06-14 to 2026-08-20</x:v>
      </x:c>
      <x:c r="H33" s="8"/>
      <x:c r="I33" s="8" t="str">
        <x:v>Current live route not sampled</x:v>
      </x:c>
      <x:c r="J33" s="8" t="str">
        <x:v>Review historical demand against a fresh complete GSC period before prioritizing</x:v>
      </x:c>
      <x:c r="K33" s="8" t="str">
        <x:v>SRC-GSC-PAGES; SRC-REPO</x:v>
      </x:c>
      <x:c r="L33" s="8" t="str">
        <x:v>OBSERVED</x:v>
      </x:c>
      <x:c r="M33" s="8" t="str">
        <x:v>FIRST-PARTY MEASUREMENT</x:v>
      </x:c>
      <x:c r="N33" s="8" t="str">
        <x:v>Archived export; no current or YoY first-party baseline</x:v>
      </x:c>
    </x:row>
    <x:row r="34" ht="48" customHeight="1">
      <x:c r="A34" s="9" t="str">
        <x:v>E030</x:v>
      </x:c>
      <x:c r="B34" s="11" t="str">
        <x:v>https://naxos-carrentals.com/it/pricing</x:v>
      </x:c>
      <x:c r="C34" s="9" t="n">
        <x:v>1</x:v>
      </x:c>
      <x:c r="D34" s="9" t="n">
        <x:v>30</x:v>
      </x:c>
      <x:c r="E34" s="17" t="n">
        <x:f>IF(D34=0,"",C34/D34)</x:f>
        <x:v>0.03333333333333333</x:v>
      </x:c>
      <x:c r="F34" s="15" t="n">
        <x:v>9.53</x:v>
      </x:c>
      <x:c r="G34" s="9" t="str">
        <x:v>2026-06-14 to 2026-08-20</x:v>
      </x:c>
      <x:c r="H34" s="9"/>
      <x:c r="I34" s="9" t="str">
        <x:v>Current live route not sampled</x:v>
      </x:c>
      <x:c r="J34" s="9" t="str">
        <x:v>Review historical demand against a fresh complete GSC period before prioritizing</x:v>
      </x:c>
      <x:c r="K34" s="9" t="str">
        <x:v>SRC-GSC-PAGES; SRC-REPO</x:v>
      </x:c>
      <x:c r="L34" s="9" t="str">
        <x:v>OBSERVED</x:v>
      </x:c>
      <x:c r="M34" s="9" t="str">
        <x:v>FIRST-PARTY MEASUREMENT</x:v>
      </x:c>
      <x:c r="N34" s="9" t="str">
        <x:v>Archived export; no current or YoY first-party baseline</x:v>
      </x:c>
    </x:row>
    <x:row r="35" ht="48" customHeight="1">
      <x:c r="A35" s="8" t="str">
        <x:v>E031</x:v>
      </x:c>
      <x:c r="B35" s="10" t="str">
        <x:v>https://naxos-carrentals.com/el/locations</x:v>
      </x:c>
      <x:c r="C35" s="8" t="n">
        <x:v>1</x:v>
      </x:c>
      <x:c r="D35" s="8" t="n">
        <x:v>25</x:v>
      </x:c>
      <x:c r="E35" s="16" t="n">
        <x:f>IF(D35=0,"",C35/D35)</x:f>
        <x:v>0.04</x:v>
      </x:c>
      <x:c r="F35" s="14" t="n">
        <x:v>38.36</x:v>
      </x:c>
      <x:c r="G35" s="8" t="str">
        <x:v>2026-06-14 to 2026-08-20</x:v>
      </x:c>
      <x:c r="H35" s="8"/>
      <x:c r="I35" s="8" t="str">
        <x:v>Current live route not sampled</x:v>
      </x:c>
      <x:c r="J35" s="8" t="str">
        <x:v>Review historical demand against a fresh complete GSC period before prioritizing</x:v>
      </x:c>
      <x:c r="K35" s="8" t="str">
        <x:v>SRC-GSC-PAGES; SRC-REPO</x:v>
      </x:c>
      <x:c r="L35" s="8" t="str">
        <x:v>OBSERVED</x:v>
      </x:c>
      <x:c r="M35" s="8" t="str">
        <x:v>FIRST-PARTY MEASUREMENT</x:v>
      </x:c>
      <x:c r="N35" s="8" t="str">
        <x:v>Archived export; no current or YoY first-party baseline</x:v>
      </x:c>
    </x:row>
    <x:row r="36" ht="48" customHeight="1">
      <x:c r="A36" s="9" t="str">
        <x:v>E032</x:v>
      </x:c>
      <x:c r="B36" s="11" t="str">
        <x:v>https://naxos-carrentals.com/it/guides/naxos-rent-a-car-prices-cost-breakdown</x:v>
      </x:c>
      <x:c r="C36" s="9" t="n">
        <x:v>1</x:v>
      </x:c>
      <x:c r="D36" s="9" t="n">
        <x:v>15</x:v>
      </x:c>
      <x:c r="E36" s="17" t="n">
        <x:f>IF(D36=0,"",C36/D36)</x:f>
        <x:v>0.06666666666666667</x:v>
      </x:c>
      <x:c r="F36" s="15" t="n">
        <x:v>18.87</x:v>
      </x:c>
      <x:c r="G36" s="9" t="str">
        <x:v>2026-06-14 to 2026-08-20</x:v>
      </x:c>
      <x:c r="H36" s="9"/>
      <x:c r="I36" s="9" t="str">
        <x:v>Current live route not sampled</x:v>
      </x:c>
      <x:c r="J36" s="9" t="str">
        <x:v>Refresh native content and verify current canonical route. Archived redirects are historical, not current defects</x:v>
      </x:c>
      <x:c r="K36" s="9" t="str">
        <x:v>SRC-GSC-PAGES; SRC-REPO</x:v>
      </x:c>
      <x:c r="L36" s="9" t="str">
        <x:v>OBSERVED</x:v>
      </x:c>
      <x:c r="M36" s="9" t="str">
        <x:v>FIRST-PARTY MEASUREMENT</x:v>
      </x:c>
      <x:c r="N36" s="9" t="str">
        <x:v>Archived export; no current or YoY first-party baseline</x:v>
      </x:c>
    </x:row>
    <x:row r="37" ht="48" customHeight="1">
      <x:c r="A37" s="8" t="str">
        <x:v>E033</x:v>
      </x:c>
      <x:c r="B37" s="10" t="str">
        <x:v>https://naxos-carrentals.com/fr/guides</x:v>
      </x:c>
      <x:c r="C37" s="8" t="n">
        <x:v>1</x:v>
      </x:c>
      <x:c r="D37" s="8" t="n">
        <x:v>13</x:v>
      </x:c>
      <x:c r="E37" s="16" t="n">
        <x:f>IF(D37=0,"",C37/D37)</x:f>
        <x:v>0.07692307692307693</x:v>
      </x:c>
      <x:c r="F37" s="14" t="n">
        <x:v>8.54</x:v>
      </x:c>
      <x:c r="G37" s="8" t="str">
        <x:v>2026-06-14 to 2026-08-20</x:v>
      </x:c>
      <x:c r="H37" s="8"/>
      <x:c r="I37" s="8" t="str">
        <x:v>Current live route not sampled</x:v>
      </x:c>
      <x:c r="J37" s="8" t="str">
        <x:v>Review historical demand against a fresh complete GSC period before prioritizing</x:v>
      </x:c>
      <x:c r="K37" s="8" t="str">
        <x:v>SRC-GSC-PAGES; SRC-REPO</x:v>
      </x:c>
      <x:c r="L37" s="8" t="str">
        <x:v>OBSERVED</x:v>
      </x:c>
      <x:c r="M37" s="8" t="str">
        <x:v>FIRST-PARTY MEASUREMENT</x:v>
      </x:c>
      <x:c r="N37" s="8" t="str">
        <x:v>Archived export; no current or YoY first-party baseline</x:v>
      </x:c>
    </x:row>
    <x:row r="38" ht="48" customHeight="1">
      <x:c r="A38" s="9" t="str">
        <x:v>E034</x:v>
      </x:c>
      <x:c r="B38" s="11" t="str">
        <x:v>https://naxos-carrentals.com/it</x:v>
      </x:c>
      <x:c r="C38" s="9" t="n">
        <x:v>1</x:v>
      </x:c>
      <x:c r="D38" s="9" t="n">
        <x:v>10</x:v>
      </x:c>
      <x:c r="E38" s="17" t="n">
        <x:f>IF(D38=0,"",C38/D38)</x:f>
        <x:v>0.1</x:v>
      </x:c>
      <x:c r="F38" s="15" t="n">
        <x:v>6.2</x:v>
      </x:c>
      <x:c r="G38" s="9" t="str">
        <x:v>2026-06-14 to 2026-08-20</x:v>
      </x:c>
      <x:c r="H38" s="9" t="n">
        <x:v>200</x:v>
      </x:c>
      <x:c r="I38" s="9" t="str">
        <x:v>Live HTTP sample 2026-09-24</x:v>
      </x:c>
      <x:c r="J38" s="9" t="str">
        <x:v>Review historical demand against a fresh complete GSC period before prioritizing</x:v>
      </x:c>
      <x:c r="K38" s="9" t="str">
        <x:v>SRC-GSC-PAGES; SRC-LIVE</x:v>
      </x:c>
      <x:c r="L38" s="9" t="str">
        <x:v>OBSERVED</x:v>
      </x:c>
      <x:c r="M38" s="9" t="str">
        <x:v>FIRST-PARTY MEASUREMENT</x:v>
      </x:c>
      <x:c r="N38" s="9" t="str">
        <x:v>Archived export; no current or YoY first-party baseline</x:v>
      </x:c>
    </x:row>
    <x:row r="39" ht="48" customHeight="1">
      <x:c r="A39" s="8" t="str">
        <x:v>E035</x:v>
      </x:c>
      <x:c r="B39" s="10" t="str">
        <x:v>https://naxos-carrentals.com/el/locations/agios-prokopios</x:v>
      </x:c>
      <x:c r="C39" s="8" t="n">
        <x:v>1</x:v>
      </x:c>
      <x:c r="D39" s="8" t="n">
        <x:v>9</x:v>
      </x:c>
      <x:c r="E39" s="16" t="n">
        <x:f>IF(D39=0,"",C39/D39)</x:f>
        <x:v>0.1111111111111111</x:v>
      </x:c>
      <x:c r="F39" s="14" t="n">
        <x:v>10.22</x:v>
      </x:c>
      <x:c r="G39" s="8" t="str">
        <x:v>2026-06-14 to 2026-08-20</x:v>
      </x:c>
      <x:c r="H39" s="8"/>
      <x:c r="I39" s="8" t="str">
        <x:v>Current live route not sampled</x:v>
      </x:c>
      <x:c r="J39" s="8" t="str">
        <x:v>Review historical demand against a fresh complete GSC period before prioritizing</x:v>
      </x:c>
      <x:c r="K39" s="8" t="str">
        <x:v>SRC-GSC-PAGES; SRC-REPO</x:v>
      </x:c>
      <x:c r="L39" s="8" t="str">
        <x:v>OBSERVED</x:v>
      </x:c>
      <x:c r="M39" s="8" t="str">
        <x:v>FIRST-PARTY MEASUREMENT</x:v>
      </x:c>
      <x:c r="N39" s="8" t="str">
        <x:v>Archived export; no current or YoY first-party baseline</x:v>
      </x:c>
    </x:row>
    <x:row r="40" ht="48" customHeight="1">
      <x:c r="A40" s="9" t="str">
        <x:v>E036</x:v>
      </x:c>
      <x:c r="B40" s="11" t="str">
        <x:v>https://naxos-carrentals.com/fr/guides/naxos-car-rental-without-credit-card-insurance</x:v>
      </x:c>
      <x:c r="C40" s="9" t="n">
        <x:v>1</x:v>
      </x:c>
      <x:c r="D40" s="9" t="n">
        <x:v>9</x:v>
      </x:c>
      <x:c r="E40" s="17" t="n">
        <x:f>IF(D40=0,"",C40/D40)</x:f>
        <x:v>0.1111111111111111</x:v>
      </x:c>
      <x:c r="F40" s="15" t="n">
        <x:v>18.89</x:v>
      </x:c>
      <x:c r="G40" s="9" t="str">
        <x:v>2026-06-14 to 2026-08-20</x:v>
      </x:c>
      <x:c r="H40" s="9"/>
      <x:c r="I40" s="9" t="str">
        <x:v>Current live route not sampled</x:v>
      </x:c>
      <x:c r="J40" s="9" t="str">
        <x:v>Refresh native content and verify current canonical route. Archived redirects are historical, not current defects</x:v>
      </x:c>
      <x:c r="K40" s="9" t="str">
        <x:v>SRC-GSC-PAGES; SRC-REPO</x:v>
      </x:c>
      <x:c r="L40" s="9" t="str">
        <x:v>OBSERVED</x:v>
      </x:c>
      <x:c r="M40" s="9" t="str">
        <x:v>FIRST-PARTY MEASUREMENT</x:v>
      </x:c>
      <x:c r="N40" s="9" t="str">
        <x:v>Archived export; no current or YoY first-party baseline</x:v>
      </x:c>
    </x:row>
    <x:row r="41" ht="48" customHeight="1">
      <x:c r="A41" s="8" t="str">
        <x:v>E037</x:v>
      </x:c>
      <x:c r="B41" s="10" t="str">
        <x:v>https://naxos-carrentals.com/el/fleet/cars/dacia-duster</x:v>
      </x:c>
      <x:c r="C41" s="8" t="n">
        <x:v>1</x:v>
      </x:c>
      <x:c r="D41" s="8" t="n">
        <x:v>8</x:v>
      </x:c>
      <x:c r="E41" s="16" t="n">
        <x:f>IF(D41=0,"",C41/D41)</x:f>
        <x:v>0.125</x:v>
      </x:c>
      <x:c r="F41" s="14" t="n">
        <x:v>7.75</x:v>
      </x:c>
      <x:c r="G41" s="8" t="str">
        <x:v>2026-06-14 to 2026-08-20</x:v>
      </x:c>
      <x:c r="H41" s="8"/>
      <x:c r="I41" s="8" t="str">
        <x:v>Current live route not sampled</x:v>
      </x:c>
      <x:c r="J41" s="8" t="str">
        <x:v>Review historical demand against a fresh complete GSC period before prioritizing</x:v>
      </x:c>
      <x:c r="K41" s="8" t="str">
        <x:v>SRC-GSC-PAGES; SRC-REPO</x:v>
      </x:c>
      <x:c r="L41" s="8" t="str">
        <x:v>OBSERVED</x:v>
      </x:c>
      <x:c r="M41" s="8" t="str">
        <x:v>FIRST-PARTY MEASUREMENT</x:v>
      </x:c>
      <x:c r="N41" s="8" t="str">
        <x:v>Archived export; no current or YoY first-party baseline</x:v>
      </x:c>
    </x:row>
    <x:row r="42" ht="48" customHeight="1">
      <x:c r="A42" s="9" t="str">
        <x:v>E038</x:v>
      </x:c>
      <x:c r="B42" s="11" t="str">
        <x:v>https://naxos-carrentals.com/it/insurance</x:v>
      </x:c>
      <x:c r="C42" s="9" t="n">
        <x:v>1</x:v>
      </x:c>
      <x:c r="D42" s="9" t="n">
        <x:v>7</x:v>
      </x:c>
      <x:c r="E42" s="17" t="n">
        <x:f>IF(D42=0,"",C42/D42)</x:f>
        <x:v>0.14285714285714285</x:v>
      </x:c>
      <x:c r="F42" s="15" t="n">
        <x:v>3.57</x:v>
      </x:c>
      <x:c r="G42" s="9" t="str">
        <x:v>2026-06-14 to 2026-08-20</x:v>
      </x:c>
      <x:c r="H42" s="9"/>
      <x:c r="I42" s="9" t="str">
        <x:v>Current live route not sampled</x:v>
      </x:c>
      <x:c r="J42" s="9" t="str">
        <x:v>Review historical demand against a fresh complete GSC period before prioritizing</x:v>
      </x:c>
      <x:c r="K42" s="9" t="str">
        <x:v>SRC-GSC-PAGES; SRC-REPO</x:v>
      </x:c>
      <x:c r="L42" s="9" t="str">
        <x:v>OBSERVED</x:v>
      </x:c>
      <x:c r="M42" s="9" t="str">
        <x:v>FIRST-PARTY MEASUREMENT</x:v>
      </x:c>
      <x:c r="N42" s="9" t="str">
        <x:v>Archived export; no current or YoY first-party baseline</x:v>
      </x:c>
    </x:row>
    <x:row r="43" ht="48" customHeight="1">
      <x:c r="A43" s="8" t="str">
        <x:v>E039</x:v>
      </x:c>
      <x:c r="B43" s="10" t="str">
        <x:v>https://naxos-carrentals.com/el/fleet</x:v>
      </x:c>
      <x:c r="C43" s="8" t="n">
        <x:v>0</x:v>
      </x:c>
      <x:c r="D43" s="8" t="n">
        <x:v>93</x:v>
      </x:c>
      <x:c r="E43" s="16" t="n">
        <x:f>IF(D43=0,"",C43/D43)</x:f>
        <x:v>0</x:v>
      </x:c>
      <x:c r="F43" s="14" t="n">
        <x:v>37.63</x:v>
      </x:c>
      <x:c r="G43" s="8" t="str">
        <x:v>2026-06-14 to 2026-08-20</x:v>
      </x:c>
      <x:c r="H43" s="8"/>
      <x:c r="I43" s="8" t="str">
        <x:v>Current live route not sampled</x:v>
      </x:c>
      <x:c r="J43" s="8" t="str">
        <x:v>Review historical demand against a fresh complete GSC period before prioritizing</x:v>
      </x:c>
      <x:c r="K43" s="8" t="str">
        <x:v>SRC-GSC-PAGES; SRC-REPO</x:v>
      </x:c>
      <x:c r="L43" s="8" t="str">
        <x:v>OBSERVED</x:v>
      </x:c>
      <x:c r="M43" s="8" t="str">
        <x:v>FIRST-PARTY MEASUREMENT</x:v>
      </x:c>
      <x:c r="N43" s="8" t="str">
        <x:v>Archived export; no current or YoY first-party baseline</x:v>
      </x:c>
    </x:row>
    <x:row r="44" ht="48" customHeight="1">
      <x:c r="A44" s="9" t="str">
        <x:v>E040</x:v>
      </x:c>
      <x:c r="B44" s="11" t="str">
        <x:v>https://naxos-carrentals.com/en/locations/mikri-vigla</x:v>
      </x:c>
      <x:c r="C44" s="9" t="n">
        <x:v>0</x:v>
      </x:c>
      <x:c r="D44" s="9" t="n">
        <x:v>68</x:v>
      </x:c>
      <x:c r="E44" s="17" t="n">
        <x:f>IF(D44=0,"",C44/D44)</x:f>
        <x:v>0</x:v>
      </x:c>
      <x:c r="F44" s="15" t="n">
        <x:v>12.44</x:v>
      </x:c>
      <x:c r="G44" s="9" t="str">
        <x:v>2026-06-14 to 2026-08-20</x:v>
      </x:c>
      <x:c r="H44" s="9"/>
      <x:c r="I44" s="9" t="str">
        <x:v>Current live route not sampled</x:v>
      </x:c>
      <x:c r="J44" s="9" t="str">
        <x:v>Review historical demand against a fresh complete GSC period before prioritizing</x:v>
      </x:c>
      <x:c r="K44" s="9" t="str">
        <x:v>SRC-GSC-PAGES; SRC-REPO</x:v>
      </x:c>
      <x:c r="L44" s="9" t="str">
        <x:v>OBSERVED</x:v>
      </x:c>
      <x:c r="M44" s="9" t="str">
        <x:v>FIRST-PARTY MEASUREMENT</x:v>
      </x:c>
      <x:c r="N44" s="9" t="str">
        <x:v>Archived export; no current or YoY first-party baseline</x:v>
      </x:c>
    </x:row>
    <x:row r="45" ht="48" customHeight="1">
      <x:c r="A45" s="8" t="str">
        <x:v>E041</x:v>
      </x:c>
      <x:c r="B45" s="10" t="str">
        <x:v>https://naxos-carrentals.com/en/fleet/cars/fiat-panda</x:v>
      </x:c>
      <x:c r="C45" s="8" t="n">
        <x:v>0</x:v>
      </x:c>
      <x:c r="D45" s="8" t="n">
        <x:v>35</x:v>
      </x:c>
      <x:c r="E45" s="16" t="n">
        <x:f>IF(D45=0,"",C45/D45)</x:f>
        <x:v>0</x:v>
      </x:c>
      <x:c r="F45" s="14" t="n">
        <x:v>4.66</x:v>
      </x:c>
      <x:c r="G45" s="8" t="str">
        <x:v>2026-06-14 to 2026-08-20</x:v>
      </x:c>
      <x:c r="H45" s="8"/>
      <x:c r="I45" s="8" t="str">
        <x:v>Current live route not sampled</x:v>
      </x:c>
      <x:c r="J45" s="8" t="str">
        <x:v>Review historical demand against a fresh complete GSC period before prioritizing</x:v>
      </x:c>
      <x:c r="K45" s="8" t="str">
        <x:v>SRC-GSC-PAGES; SRC-REPO</x:v>
      </x:c>
      <x:c r="L45" s="8" t="str">
        <x:v>OBSERVED</x:v>
      </x:c>
      <x:c r="M45" s="8" t="str">
        <x:v>FIRST-PARTY MEASUREMENT</x:v>
      </x:c>
      <x:c r="N45" s="8" t="str">
        <x:v>Archived export; no current or YoY first-party baseline</x:v>
      </x:c>
    </x:row>
    <x:row r="46" ht="48" customHeight="1">
      <x:c r="A46" s="9" t="str">
        <x:v>E042</x:v>
      </x:c>
      <x:c r="B46" s="11" t="str">
        <x:v>https://naxos-carrentals.com/en/faq</x:v>
      </x:c>
      <x:c r="C46" s="9" t="n">
        <x:v>0</x:v>
      </x:c>
      <x:c r="D46" s="9" t="n">
        <x:v>32</x:v>
      </x:c>
      <x:c r="E46" s="17" t="n">
        <x:f>IF(D46=0,"",C46/D46)</x:f>
        <x:v>0</x:v>
      </x:c>
      <x:c r="F46" s="15" t="n">
        <x:v>4.41</x:v>
      </x:c>
      <x:c r="G46" s="9" t="str">
        <x:v>2026-06-14 to 2026-08-20</x:v>
      </x:c>
      <x:c r="H46" s="9"/>
      <x:c r="I46" s="9" t="str">
        <x:v>Current live route not sampled</x:v>
      </x:c>
      <x:c r="J46" s="9" t="str">
        <x:v>Review historical demand against a fresh complete GSC period before prioritizing</x:v>
      </x:c>
      <x:c r="K46" s="9" t="str">
        <x:v>SRC-GSC-PAGES; SRC-REPO</x:v>
      </x:c>
      <x:c r="L46" s="9" t="str">
        <x:v>OBSERVED</x:v>
      </x:c>
      <x:c r="M46" s="9" t="str">
        <x:v>FIRST-PARTY MEASUREMENT</x:v>
      </x:c>
      <x:c r="N46" s="9" t="str">
        <x:v>Archived export; no current or YoY first-party baseline</x:v>
      </x:c>
    </x:row>
    <x:row r="47" ht="48" customHeight="1">
      <x:c r="A47" s="8" t="str">
        <x:v>E043</x:v>
      </x:c>
      <x:c r="B47" s="10" t="str">
        <x:v>https://naxos-carrentals.com/en/guides</x:v>
      </x:c>
      <x:c r="C47" s="8" t="n">
        <x:v>0</x:v>
      </x:c>
      <x:c r="D47" s="8" t="n">
        <x:v>25</x:v>
      </x:c>
      <x:c r="E47" s="16" t="n">
        <x:f>IF(D47=0,"",C47/D47)</x:f>
        <x:v>0</x:v>
      </x:c>
      <x:c r="F47" s="14" t="n">
        <x:v>7.52</x:v>
      </x:c>
      <x:c r="G47" s="8" t="str">
        <x:v>2026-06-14 to 2026-08-20</x:v>
      </x:c>
      <x:c r="H47" s="8"/>
      <x:c r="I47" s="8" t="str">
        <x:v>Current live route not sampled</x:v>
      </x:c>
      <x:c r="J47" s="8" t="str">
        <x:v>Review historical demand against a fresh complete GSC period before prioritizing</x:v>
      </x:c>
      <x:c r="K47" s="8" t="str">
        <x:v>SRC-GSC-PAGES; SRC-REPO</x:v>
      </x:c>
      <x:c r="L47" s="8" t="str">
        <x:v>OBSERVED</x:v>
      </x:c>
      <x:c r="M47" s="8" t="str">
        <x:v>FIRST-PARTY MEASUREMENT</x:v>
      </x:c>
      <x:c r="N47" s="8" t="str">
        <x:v>Archived export; no current or YoY first-party baseline</x:v>
      </x:c>
    </x:row>
    <x:row r="48" ht="48" customHeight="1">
      <x:c r="A48" s="9" t="str">
        <x:v>E044</x:v>
      </x:c>
      <x:c r="B48" s="11" t="str">
        <x:v>https://naxos-carrentals.com/el/guides/rent-a-car-naxos-port-vs-airport-pickup-guide</x:v>
      </x:c>
      <x:c r="C48" s="9" t="n">
        <x:v>0</x:v>
      </x:c>
      <x:c r="D48" s="9" t="n">
        <x:v>24</x:v>
      </x:c>
      <x:c r="E48" s="17" t="n">
        <x:f>IF(D48=0,"",C48/D48)</x:f>
        <x:v>0</x:v>
      </x:c>
      <x:c r="F48" s="15" t="n">
        <x:v>13.62</x:v>
      </x:c>
      <x:c r="G48" s="9" t="str">
        <x:v>2026-06-14 to 2026-08-20</x:v>
      </x:c>
      <x:c r="H48" s="9"/>
      <x:c r="I48" s="9" t="str">
        <x:v>Current live route not sampled</x:v>
      </x:c>
      <x:c r="J48" s="9" t="str">
        <x:v>Refresh native content and verify current canonical route. Archived redirects are historical, not current defects</x:v>
      </x:c>
      <x:c r="K48" s="9" t="str">
        <x:v>SRC-GSC-PAGES; SRC-REPO</x:v>
      </x:c>
      <x:c r="L48" s="9" t="str">
        <x:v>OBSERVED</x:v>
      </x:c>
      <x:c r="M48" s="9" t="str">
        <x:v>FIRST-PARTY MEASUREMENT</x:v>
      </x:c>
      <x:c r="N48" s="9" t="str">
        <x:v>Archived export; no current or YoY first-party baseline</x:v>
      </x:c>
    </x:row>
    <x:row r="49" ht="48" customHeight="1">
      <x:c r="A49" s="8" t="str">
        <x:v>E045</x:v>
      </x:c>
      <x:c r="B49" s="10" t="str">
        <x:v>https://naxos-carrentals.com/de/faq</x:v>
      </x:c>
      <x:c r="C49" s="8" t="n">
        <x:v>0</x:v>
      </x:c>
      <x:c r="D49" s="8" t="n">
        <x:v>23</x:v>
      </x:c>
      <x:c r="E49" s="16" t="n">
        <x:f>IF(D49=0,"",C49/D49)</x:f>
        <x:v>0</x:v>
      </x:c>
      <x:c r="F49" s="14" t="n">
        <x:v>7.26</x:v>
      </x:c>
      <x:c r="G49" s="8" t="str">
        <x:v>2026-06-14 to 2026-08-20</x:v>
      </x:c>
      <x:c r="H49" s="8"/>
      <x:c r="I49" s="8" t="str">
        <x:v>Current live route not sampled</x:v>
      </x:c>
      <x:c r="J49" s="8" t="str">
        <x:v>Review historical demand against a fresh complete GSC period before prioritizing</x:v>
      </x:c>
      <x:c r="K49" s="8" t="str">
        <x:v>SRC-GSC-PAGES; SRC-REPO</x:v>
      </x:c>
      <x:c r="L49" s="8" t="str">
        <x:v>OBSERVED</x:v>
      </x:c>
      <x:c r="M49" s="8" t="str">
        <x:v>FIRST-PARTY MEASUREMENT</x:v>
      </x:c>
      <x:c r="N49" s="8" t="str">
        <x:v>Archived export; no current or YoY first-party baseline</x:v>
      </x:c>
    </x:row>
    <x:row r="50" ht="48" customHeight="1">
      <x:c r="A50" s="9" t="str">
        <x:v>E046</x:v>
      </x:c>
      <x:c r="B50" s="11" t="str">
        <x:v>https://naxos-carrentals.com/en/guides/best-beaches-by-car-naxos</x:v>
      </x:c>
      <x:c r="C50" s="9" t="n">
        <x:v>0</x:v>
      </x:c>
      <x:c r="D50" s="9" t="n">
        <x:v>22</x:v>
      </x:c>
      <x:c r="E50" s="17" t="n">
        <x:f>IF(D50=0,"",C50/D50)</x:f>
        <x:v>0</x:v>
      </x:c>
      <x:c r="F50" s="15" t="n">
        <x:v>10.09</x:v>
      </x:c>
      <x:c r="G50" s="9" t="str">
        <x:v>2026-06-14 to 2026-08-20</x:v>
      </x:c>
      <x:c r="H50" s="9"/>
      <x:c r="I50" s="9" t="str">
        <x:v>Current live route not sampled</x:v>
      </x:c>
      <x:c r="J50" s="9" t="str">
        <x:v>Refresh native content and verify current canonical route. Archived redirects are historical, not current defects</x:v>
      </x:c>
      <x:c r="K50" s="9" t="str">
        <x:v>SRC-GSC-PAGES; SRC-REPO</x:v>
      </x:c>
      <x:c r="L50" s="9" t="str">
        <x:v>OBSERVED</x:v>
      </x:c>
      <x:c r="M50" s="9" t="str">
        <x:v>FIRST-PARTY MEASUREMENT</x:v>
      </x:c>
      <x:c r="N50" s="9" t="str">
        <x:v>Archived export; no current or YoY first-party baseline</x:v>
      </x:c>
    </x:row>
    <x:row r="51" ht="48" customHeight="1">
      <x:c r="A51" s="8" t="str">
        <x:v>E047</x:v>
      </x:c>
      <x:c r="B51" s="10" t="str">
        <x:v>https://naxos-carrentals.com/de/locations/port-pickup</x:v>
      </x:c>
      <x:c r="C51" s="8" t="n">
        <x:v>0</x:v>
      </x:c>
      <x:c r="D51" s="8" t="n">
        <x:v>22</x:v>
      </x:c>
      <x:c r="E51" s="16" t="n">
        <x:f>IF(D51=0,"",C51/D51)</x:f>
        <x:v>0</x:v>
      </x:c>
      <x:c r="F51" s="14" t="n">
        <x:v>13.73</x:v>
      </x:c>
      <x:c r="G51" s="8" t="str">
        <x:v>2026-06-14 to 2026-08-20</x:v>
      </x:c>
      <x:c r="H51" s="8"/>
      <x:c r="I51" s="8" t="str">
        <x:v>Current live route not sampled</x:v>
      </x:c>
      <x:c r="J51" s="8" t="str">
        <x:v>Review historical demand against a fresh complete GSC period before prioritizing</x:v>
      </x:c>
      <x:c r="K51" s="8" t="str">
        <x:v>SRC-GSC-PAGES; SRC-REPO</x:v>
      </x:c>
      <x:c r="L51" s="8" t="str">
        <x:v>OBSERVED</x:v>
      </x:c>
      <x:c r="M51" s="8" t="str">
        <x:v>FIRST-PARTY MEASUREMENT</x:v>
      </x:c>
      <x:c r="N51" s="8" t="str">
        <x:v>Archived export; no current or YoY first-party baseline</x:v>
      </x:c>
    </x:row>
    <x:row r="52" ht="48" customHeight="1">
      <x:c r="A52" s="9" t="str">
        <x:v>E048</x:v>
      </x:c>
      <x:c r="B52" s="11" t="str">
        <x:v>https://naxos-carrentals.com/el/guides</x:v>
      </x:c>
      <x:c r="C52" s="9" t="n">
        <x:v>0</x:v>
      </x:c>
      <x:c r="D52" s="9" t="n">
        <x:v>21</x:v>
      </x:c>
      <x:c r="E52" s="17" t="n">
        <x:f>IF(D52=0,"",C52/D52)</x:f>
        <x:v>0</x:v>
      </x:c>
      <x:c r="F52" s="15" t="n">
        <x:v>8.38</x:v>
      </x:c>
      <x:c r="G52" s="9" t="str">
        <x:v>2026-06-14 to 2026-08-20</x:v>
      </x:c>
      <x:c r="H52" s="9"/>
      <x:c r="I52" s="9" t="str">
        <x:v>Current live route not sampled</x:v>
      </x:c>
      <x:c r="J52" s="9" t="str">
        <x:v>Review historical demand against a fresh complete GSC period before prioritizing</x:v>
      </x:c>
      <x:c r="K52" s="9" t="str">
        <x:v>SRC-GSC-PAGES; SRC-REPO</x:v>
      </x:c>
      <x:c r="L52" s="9" t="str">
        <x:v>OBSERVED</x:v>
      </x:c>
      <x:c r="M52" s="9" t="str">
        <x:v>FIRST-PARTY MEASUREMENT</x:v>
      </x:c>
      <x:c r="N52" s="9" t="str">
        <x:v>Archived export; no current or YoY first-party baseline</x:v>
      </x:c>
    </x:row>
    <x:row r="53" ht="48" customHeight="1">
      <x:c r="A53" s="8" t="str">
        <x:v>E049</x:v>
      </x:c>
      <x:c r="B53" s="10" t="str">
        <x:v>https://naxos-carrentals.com/el/fleet/collections/automatic</x:v>
      </x:c>
      <x:c r="C53" s="8" t="n">
        <x:v>0</x:v>
      </x:c>
      <x:c r="D53" s="8" t="n">
        <x:v>16</x:v>
      </x:c>
      <x:c r="E53" s="16" t="n">
        <x:f>IF(D53=0,"",C53/D53)</x:f>
        <x:v>0</x:v>
      </x:c>
      <x:c r="F53" s="14" t="n">
        <x:v>27.88</x:v>
      </x:c>
      <x:c r="G53" s="8" t="str">
        <x:v>2026-06-14 to 2026-08-20</x:v>
      </x:c>
      <x:c r="H53" s="8"/>
      <x:c r="I53" s="8" t="str">
        <x:v>Current live route not sampled</x:v>
      </x:c>
      <x:c r="J53" s="8" t="str">
        <x:v>Review historical demand against a fresh complete GSC period before prioritizing</x:v>
      </x:c>
      <x:c r="K53" s="8" t="str">
        <x:v>SRC-GSC-PAGES; SRC-REPO</x:v>
      </x:c>
      <x:c r="L53" s="8" t="str">
        <x:v>OBSERVED</x:v>
      </x:c>
      <x:c r="M53" s="8" t="str">
        <x:v>FIRST-PARTY MEASUREMENT</x:v>
      </x:c>
      <x:c r="N53" s="8" t="str">
        <x:v>Archived export; no current or YoY first-party baseline</x:v>
      </x:c>
    </x:row>
    <x:row r="54" ht="48" customHeight="1">
      <x:c r="A54" s="9" t="str">
        <x:v>E050</x:v>
      </x:c>
      <x:c r="B54" s="11" t="str">
        <x:v>https://naxos-carrentals.com/en/terms</x:v>
      </x:c>
      <x:c r="C54" s="9" t="n">
        <x:v>0</x:v>
      </x:c>
      <x:c r="D54" s="9" t="n">
        <x:v>14</x:v>
      </x:c>
      <x:c r="E54" s="17" t="n">
        <x:f>IF(D54=0,"",C54/D54)</x:f>
        <x:v>0</x:v>
      </x:c>
      <x:c r="F54" s="15" t="n">
        <x:v>5.57</x:v>
      </x:c>
      <x:c r="G54" s="9" t="str">
        <x:v>2026-06-14 to 2026-08-20</x:v>
      </x:c>
      <x:c r="H54" s="9"/>
      <x:c r="I54" s="9" t="str">
        <x:v>Current live route not sampled</x:v>
      </x:c>
      <x:c r="J54" s="9" t="str">
        <x:v>Review historical demand against a fresh complete GSC period before prioritizing</x:v>
      </x:c>
      <x:c r="K54" s="9" t="str">
        <x:v>SRC-GSC-PAGES; SRC-REPO</x:v>
      </x:c>
      <x:c r="L54" s="9" t="str">
        <x:v>OBSERVED</x:v>
      </x:c>
      <x:c r="M54" s="9" t="str">
        <x:v>FIRST-PARTY MEASUREMENT</x:v>
      </x:c>
      <x:c r="N54" s="9" t="str">
        <x:v>Archived export; no current or YoY first-party baseline</x:v>
      </x:c>
    </x:row>
    <x:row r="55" ht="48" customHeight="1">
      <x:c r="A55" s="8" t="str">
        <x:v>E051</x:v>
      </x:c>
      <x:c r="B55" s="10" t="str">
        <x:v>https://naxos-carrentals.com/de/guides/naxos-rent-a-car-prices-cost-breakdown</x:v>
      </x:c>
      <x:c r="C55" s="8" t="n">
        <x:v>0</x:v>
      </x:c>
      <x:c r="D55" s="8" t="n">
        <x:v>14</x:v>
      </x:c>
      <x:c r="E55" s="16" t="n">
        <x:f>IF(D55=0,"",C55/D55)</x:f>
        <x:v>0</x:v>
      </x:c>
      <x:c r="F55" s="14" t="n">
        <x:v>9.14</x:v>
      </x:c>
      <x:c r="G55" s="8" t="str">
        <x:v>2026-06-14 to 2026-08-20</x:v>
      </x:c>
      <x:c r="H55" s="8"/>
      <x:c r="I55" s="8" t="str">
        <x:v>Current live route not sampled</x:v>
      </x:c>
      <x:c r="J55" s="8" t="str">
        <x:v>Refresh native content and verify current canonical route. Archived redirects are historical, not current defects</x:v>
      </x:c>
      <x:c r="K55" s="8" t="str">
        <x:v>SRC-GSC-PAGES; SRC-REPO</x:v>
      </x:c>
      <x:c r="L55" s="8" t="str">
        <x:v>OBSERVED</x:v>
      </x:c>
      <x:c r="M55" s="8" t="str">
        <x:v>FIRST-PARTY MEASUREMENT</x:v>
      </x:c>
      <x:c r="N55" s="8" t="str">
        <x:v>Archived export; no current or YoY first-party baseline</x:v>
      </x:c>
    </x:row>
    <x:row r="56" ht="48" customHeight="1">
      <x:c r="A56" s="9" t="str">
        <x:v>E052</x:v>
      </x:c>
      <x:c r="B56" s="11" t="str">
        <x:v>https://naxos-carrentals.com/el/cancellation</x:v>
      </x:c>
      <x:c r="C56" s="9" t="n">
        <x:v>0</x:v>
      </x:c>
      <x:c r="D56" s="9" t="n">
        <x:v>14</x:v>
      </x:c>
      <x:c r="E56" s="17" t="n">
        <x:f>IF(D56=0,"",C56/D56)</x:f>
        <x:v>0</x:v>
      </x:c>
      <x:c r="F56" s="15" t="n">
        <x:v>67.21</x:v>
      </x:c>
      <x:c r="G56" s="9" t="str">
        <x:v>2026-06-14 to 2026-08-20</x:v>
      </x:c>
      <x:c r="H56" s="9"/>
      <x:c r="I56" s="9" t="str">
        <x:v>Current live route not sampled</x:v>
      </x:c>
      <x:c r="J56" s="9" t="str">
        <x:v>Review historical demand against a fresh complete GSC period before prioritizing</x:v>
      </x:c>
      <x:c r="K56" s="9" t="str">
        <x:v>SRC-GSC-PAGES; SRC-REPO</x:v>
      </x:c>
      <x:c r="L56" s="9" t="str">
        <x:v>OBSERVED</x:v>
      </x:c>
      <x:c r="M56" s="9" t="str">
        <x:v>FIRST-PARTY MEASUREMENT</x:v>
      </x:c>
      <x:c r="N56" s="9" t="str">
        <x:v>Archived export; no current or YoY first-party baseline</x:v>
      </x:c>
    </x:row>
    <x:row r="57" ht="48" customHeight="1">
      <x:c r="A57" s="8" t="str">
        <x:v>E053</x:v>
      </x:c>
      <x:c r="B57" s="10" t="str">
        <x:v>https://naxos-carrentals.com/en/fleet</x:v>
      </x:c>
      <x:c r="C57" s="8" t="n">
        <x:v>0</x:v>
      </x:c>
      <x:c r="D57" s="8" t="n">
        <x:v>13</x:v>
      </x:c>
      <x:c r="E57" s="16" t="n">
        <x:f>IF(D57=0,"",C57/D57)</x:f>
        <x:v>0</x:v>
      </x:c>
      <x:c r="F57" s="14" t="n">
        <x:v>10.54</x:v>
      </x:c>
      <x:c r="G57" s="8" t="str">
        <x:v>2026-06-14 to 2026-08-20</x:v>
      </x:c>
      <x:c r="H57" s="8"/>
      <x:c r="I57" s="8" t="str">
        <x:v>Current live route not sampled</x:v>
      </x:c>
      <x:c r="J57" s="8" t="str">
        <x:v>Review historical demand against a fresh complete GSC period before prioritizing</x:v>
      </x:c>
      <x:c r="K57" s="8" t="str">
        <x:v>SRC-GSC-PAGES; SRC-REPO</x:v>
      </x:c>
      <x:c r="L57" s="8" t="str">
        <x:v>OBSERVED</x:v>
      </x:c>
      <x:c r="M57" s="8" t="str">
        <x:v>FIRST-PARTY MEASUREMENT</x:v>
      </x:c>
      <x:c r="N57" s="8" t="str">
        <x:v>Archived export; no current or YoY first-party baseline</x:v>
      </x:c>
    </x:row>
    <x:row r="58" ht="48" customHeight="1">
      <x:c r="A58" s="9" t="str">
        <x:v>E054</x:v>
      </x:c>
      <x:c r="B58" s="11" t="str">
        <x:v>https://naxos-carrentals.com/it/guides/best-beaches-by-car-naxos</x:v>
      </x:c>
      <x:c r="C58" s="9" t="n">
        <x:v>0</x:v>
      </x:c>
      <x:c r="D58" s="9" t="n">
        <x:v>12</x:v>
      </x:c>
      <x:c r="E58" s="17" t="n">
        <x:f>IF(D58=0,"",C58/D58)</x:f>
        <x:v>0</x:v>
      </x:c>
      <x:c r="F58" s="15" t="n">
        <x:v>6.33</x:v>
      </x:c>
      <x:c r="G58" s="9" t="str">
        <x:v>2026-06-14 to 2026-08-20</x:v>
      </x:c>
      <x:c r="H58" s="9"/>
      <x:c r="I58" s="9" t="str">
        <x:v>Current live route not sampled</x:v>
      </x:c>
      <x:c r="J58" s="9" t="str">
        <x:v>Refresh native content and verify current canonical route. Archived redirects are historical, not current defects</x:v>
      </x:c>
      <x:c r="K58" s="9" t="str">
        <x:v>SRC-GSC-PAGES; SRC-REPO</x:v>
      </x:c>
      <x:c r="L58" s="9" t="str">
        <x:v>OBSERVED</x:v>
      </x:c>
      <x:c r="M58" s="9" t="str">
        <x:v>FIRST-PARTY MEASUREMENT</x:v>
      </x:c>
      <x:c r="N58" s="9" t="str">
        <x:v>Archived export; no current or YoY first-party baseline</x:v>
      </x:c>
    </x:row>
    <x:row r="59" ht="48" customHeight="1">
      <x:c r="A59" s="8" t="str">
        <x:v>E055</x:v>
      </x:c>
      <x:c r="B59" s="10" t="str">
        <x:v>https://naxos-carrentals.com/fr/locations/plaka</x:v>
      </x:c>
      <x:c r="C59" s="8" t="n">
        <x:v>0</x:v>
      </x:c>
      <x:c r="D59" s="8" t="n">
        <x:v>11</x:v>
      </x:c>
      <x:c r="E59" s="16" t="n">
        <x:f>IF(D59=0,"",C59/D59)</x:f>
        <x:v>0</x:v>
      </x:c>
      <x:c r="F59" s="14" t="n">
        <x:v>7.36</x:v>
      </x:c>
      <x:c r="G59" s="8" t="str">
        <x:v>2026-06-14 to 2026-08-20</x:v>
      </x:c>
      <x:c r="H59" s="8"/>
      <x:c r="I59" s="8" t="str">
        <x:v>Current live route not sampled</x:v>
      </x:c>
      <x:c r="J59" s="8" t="str">
        <x:v>Review historical demand against a fresh complete GSC period before prioritizing</x:v>
      </x:c>
      <x:c r="K59" s="8" t="str">
        <x:v>SRC-GSC-PAGES; SRC-REPO</x:v>
      </x:c>
      <x:c r="L59" s="8" t="str">
        <x:v>OBSERVED</x:v>
      </x:c>
      <x:c r="M59" s="8" t="str">
        <x:v>FIRST-PARTY MEASUREMENT</x:v>
      </x:c>
      <x:c r="N59" s="8" t="str">
        <x:v>Archived export; no current or YoY first-party baseline</x:v>
      </x:c>
    </x:row>
    <x:row r="60" ht="48" customHeight="1">
      <x:c r="A60" s="9" t="str">
        <x:v>E056</x:v>
      </x:c>
      <x:c r="B60" s="11" t="str">
        <x:v>https://naxos-carrentals.com/en/locations/naxos-town</x:v>
      </x:c>
      <x:c r="C60" s="9" t="n">
        <x:v>0</x:v>
      </x:c>
      <x:c r="D60" s="9" t="n">
        <x:v>11</x:v>
      </x:c>
      <x:c r="E60" s="17" t="n">
        <x:f>IF(D60=0,"",C60/D60)</x:f>
        <x:v>0</x:v>
      </x:c>
      <x:c r="F60" s="15" t="n">
        <x:v>10</x:v>
      </x:c>
      <x:c r="G60" s="9" t="str">
        <x:v>2026-06-14 to 2026-08-20</x:v>
      </x:c>
      <x:c r="H60" s="9"/>
      <x:c r="I60" s="9" t="str">
        <x:v>Current live route not sampled</x:v>
      </x:c>
      <x:c r="J60" s="9" t="str">
        <x:v>Review historical demand against a fresh complete GSC period before prioritizing</x:v>
      </x:c>
      <x:c r="K60" s="9" t="str">
        <x:v>SRC-GSC-PAGES; SRC-REPO</x:v>
      </x:c>
      <x:c r="L60" s="9" t="str">
        <x:v>OBSERVED</x:v>
      </x:c>
      <x:c r="M60" s="9" t="str">
        <x:v>FIRST-PARTY MEASUREMENT</x:v>
      </x:c>
      <x:c r="N60" s="9" t="str">
        <x:v>Archived export; no current or YoY first-party baseline</x:v>
      </x:c>
    </x:row>
    <x:row r="61" ht="48" customHeight="1">
      <x:c r="A61" s="8" t="str">
        <x:v>E057</x:v>
      </x:c>
      <x:c r="B61" s="10" t="str">
        <x:v>https://naxos-carrentals.com/en/fleet/cars/kia-sportage</x:v>
      </x:c>
      <x:c r="C61" s="8" t="n">
        <x:v>0</x:v>
      </x:c>
      <x:c r="D61" s="8" t="n">
        <x:v>10</x:v>
      </x:c>
      <x:c r="E61" s="16" t="n">
        <x:f>IF(D61=0,"",C61/D61)</x:f>
        <x:v>0</x:v>
      </x:c>
      <x:c r="F61" s="14" t="n">
        <x:v>3.1</x:v>
      </x:c>
      <x:c r="G61" s="8" t="str">
        <x:v>2026-06-14 to 2026-08-20</x:v>
      </x:c>
      <x:c r="H61" s="8"/>
      <x:c r="I61" s="8" t="str">
        <x:v>Current live route not sampled</x:v>
      </x:c>
      <x:c r="J61" s="8" t="str">
        <x:v>Review historical demand against a fresh complete GSC period before prioritizing</x:v>
      </x:c>
      <x:c r="K61" s="8" t="str">
        <x:v>SRC-GSC-PAGES; SRC-REPO</x:v>
      </x:c>
      <x:c r="L61" s="8" t="str">
        <x:v>OBSERVED</x:v>
      </x:c>
      <x:c r="M61" s="8" t="str">
        <x:v>FIRST-PARTY MEASUREMENT</x:v>
      </x:c>
      <x:c r="N61" s="8" t="str">
        <x:v>Archived export; no current or YoY first-party baseline</x:v>
      </x:c>
    </x:row>
    <x:row r="62" ht="48" customHeight="1">
      <x:c r="A62" s="9" t="str">
        <x:v>E058</x:v>
      </x:c>
      <x:c r="B62" s="11" t="str">
        <x:v>https://naxos-carrentals.com/en/contact</x:v>
      </x:c>
      <x:c r="C62" s="9" t="n">
        <x:v>0</x:v>
      </x:c>
      <x:c r="D62" s="9" t="n">
        <x:v>10</x:v>
      </x:c>
      <x:c r="E62" s="17" t="n">
        <x:f>IF(D62=0,"",C62/D62)</x:f>
        <x:v>0</x:v>
      </x:c>
      <x:c r="F62" s="15" t="n">
        <x:v>9.3</x:v>
      </x:c>
      <x:c r="G62" s="9" t="str">
        <x:v>2026-06-14 to 2026-08-20</x:v>
      </x:c>
      <x:c r="H62" s="9"/>
      <x:c r="I62" s="9" t="str">
        <x:v>Current live route not sampled</x:v>
      </x:c>
      <x:c r="J62" s="9" t="str">
        <x:v>Review historical demand against a fresh complete GSC period before prioritizing</x:v>
      </x:c>
      <x:c r="K62" s="9" t="str">
        <x:v>SRC-GSC-PAGES; SRC-REPO</x:v>
      </x:c>
      <x:c r="L62" s="9" t="str">
        <x:v>OBSERVED</x:v>
      </x:c>
      <x:c r="M62" s="9" t="str">
        <x:v>FIRST-PARTY MEASUREMENT</x:v>
      </x:c>
      <x:c r="N62" s="9" t="str">
        <x:v>Archived export; no current or YoY first-party baseline</x:v>
      </x:c>
    </x:row>
    <x:row r="63" ht="48" customHeight="1">
      <x:c r="A63" s="8" t="str">
        <x:v>E059</x:v>
      </x:c>
      <x:c r="B63" s="10" t="str">
        <x:v>https://naxos-carrentals.com/it/locations/naxos-town</x:v>
      </x:c>
      <x:c r="C63" s="8" t="n">
        <x:v>0</x:v>
      </x:c>
      <x:c r="D63" s="8" t="n">
        <x:v>9</x:v>
      </x:c>
      <x:c r="E63" s="16" t="n">
        <x:f>IF(D63=0,"",C63/D63)</x:f>
        <x:v>0</x:v>
      </x:c>
      <x:c r="F63" s="14" t="n">
        <x:v>48.44</x:v>
      </x:c>
      <x:c r="G63" s="8" t="str">
        <x:v>2026-06-14 to 2026-08-20</x:v>
      </x:c>
      <x:c r="H63" s="8"/>
      <x:c r="I63" s="8" t="str">
        <x:v>Current live route not sampled</x:v>
      </x:c>
      <x:c r="J63" s="8" t="str">
        <x:v>Review historical demand against a fresh complete GSC period before prioritizing</x:v>
      </x:c>
      <x:c r="K63" s="8" t="str">
        <x:v>SRC-GSC-PAGES; SRC-REPO</x:v>
      </x:c>
      <x:c r="L63" s="8" t="str">
        <x:v>OBSERVED</x:v>
      </x:c>
      <x:c r="M63" s="8" t="str">
        <x:v>FIRST-PARTY MEASUREMENT</x:v>
      </x:c>
      <x:c r="N63" s="8" t="str">
        <x:v>Archived export; no current or YoY first-party baseline</x:v>
      </x:c>
    </x:row>
    <x:row r="64" ht="48" customHeight="1">
      <x:c r="A64" s="9" t="str">
        <x:v>E060</x:v>
      </x:c>
      <x:c r="B64" s="11" t="str">
        <x:v>https://naxos-carrentals.com/it/fleet</x:v>
      </x:c>
      <x:c r="C64" s="9" t="n">
        <x:v>0</x:v>
      </x:c>
      <x:c r="D64" s="9" t="n">
        <x:v>8</x:v>
      </x:c>
      <x:c r="E64" s="17" t="n">
        <x:f>IF(D64=0,"",C64/D64)</x:f>
        <x:v>0</x:v>
      </x:c>
      <x:c r="F64" s="15" t="n">
        <x:v>6.38</x:v>
      </x:c>
      <x:c r="G64" s="9" t="str">
        <x:v>2026-06-14 to 2026-08-20</x:v>
      </x:c>
      <x:c r="H64" s="9"/>
      <x:c r="I64" s="9" t="str">
        <x:v>Current live route not sampled</x:v>
      </x:c>
      <x:c r="J64" s="9" t="str">
        <x:v>Review historical demand against a fresh complete GSC period before prioritizing</x:v>
      </x:c>
      <x:c r="K64" s="9" t="str">
        <x:v>SRC-GSC-PAGES; SRC-REPO</x:v>
      </x:c>
      <x:c r="L64" s="9" t="str">
        <x:v>OBSERVED</x:v>
      </x:c>
      <x:c r="M64" s="9" t="str">
        <x:v>FIRST-PARTY MEASUREMENT</x:v>
      </x:c>
      <x:c r="N64" s="9" t="str">
        <x:v>Archived export; no current or YoY first-party baseline</x:v>
      </x:c>
    </x:row>
    <x:row r="65" ht="48" customHeight="1">
      <x:c r="A65" s="8" t="str">
        <x:v>E061</x:v>
      </x:c>
      <x:c r="B65" s="10" t="str">
        <x:v>https://naxos-carrentals.com/fr/locations/agia-anna</x:v>
      </x:c>
      <x:c r="C65" s="8" t="n">
        <x:v>0</x:v>
      </x:c>
      <x:c r="D65" s="8" t="n">
        <x:v>8</x:v>
      </x:c>
      <x:c r="E65" s="16" t="n">
        <x:f>IF(D65=0,"",C65/D65)</x:f>
        <x:v>0</x:v>
      </x:c>
      <x:c r="F65" s="14" t="n">
        <x:v>25</x:v>
      </x:c>
      <x:c r="G65" s="8" t="str">
        <x:v>2026-06-14 to 2026-08-20</x:v>
      </x:c>
      <x:c r="H65" s="8"/>
      <x:c r="I65" s="8" t="str">
        <x:v>Current live route not sampled</x:v>
      </x:c>
      <x:c r="J65" s="8" t="str">
        <x:v>Review historical demand against a fresh complete GSC period before prioritizing</x:v>
      </x:c>
      <x:c r="K65" s="8" t="str">
        <x:v>SRC-GSC-PAGES; SRC-REPO</x:v>
      </x:c>
      <x:c r="L65" s="8" t="str">
        <x:v>OBSERVED</x:v>
      </x:c>
      <x:c r="M65" s="8" t="str">
        <x:v>FIRST-PARTY MEASUREMENT</x:v>
      </x:c>
      <x:c r="N65" s="8" t="str">
        <x:v>Archived export; no current or YoY first-party baseline</x:v>
      </x:c>
    </x:row>
    <x:row r="66" ht="48" customHeight="1">
      <x:c r="A66" s="9" t="str">
        <x:v>E062</x:v>
      </x:c>
      <x:c r="B66" s="11" t="str">
        <x:v>https://naxos-carrentals.com/it/guides/rent-a-car-naxos-port-vs-airport-pickup-guide</x:v>
      </x:c>
      <x:c r="C66" s="9" t="n">
        <x:v>0</x:v>
      </x:c>
      <x:c r="D66" s="9" t="n">
        <x:v>6</x:v>
      </x:c>
      <x:c r="E66" s="17" t="n">
        <x:f>IF(D66=0,"",C66/D66)</x:f>
        <x:v>0</x:v>
      </x:c>
      <x:c r="F66" s="15" t="n">
        <x:v>2.5</x:v>
      </x:c>
      <x:c r="G66" s="9" t="str">
        <x:v>2026-06-14 to 2026-08-20</x:v>
      </x:c>
      <x:c r="H66" s="9"/>
      <x:c r="I66" s="9" t="str">
        <x:v>Current live route not sampled</x:v>
      </x:c>
      <x:c r="J66" s="9" t="str">
        <x:v>Refresh native content and verify current canonical route. Archived redirects are historical, not current defects</x:v>
      </x:c>
      <x:c r="K66" s="9" t="str">
        <x:v>SRC-GSC-PAGES; SRC-REPO</x:v>
      </x:c>
      <x:c r="L66" s="9" t="str">
        <x:v>OBSERVED</x:v>
      </x:c>
      <x:c r="M66" s="9" t="str">
        <x:v>FIRST-PARTY MEASUREMENT</x:v>
      </x:c>
      <x:c r="N66" s="9" t="str">
        <x:v>Archived export; no current or YoY first-party baseline</x:v>
      </x:c>
    </x:row>
    <x:row r="67" ht="48" customHeight="1">
      <x:c r="A67" s="8" t="str">
        <x:v>E063</x:v>
      </x:c>
      <x:c r="B67" s="10" t="str">
        <x:v>https://naxos-carrentals.com/el/fleet/cars/kia-picanto</x:v>
      </x:c>
      <x:c r="C67" s="8" t="n">
        <x:v>0</x:v>
      </x:c>
      <x:c r="D67" s="8" t="n">
        <x:v>6</x:v>
      </x:c>
      <x:c r="E67" s="16" t="n">
        <x:f>IF(D67=0,"",C67/D67)</x:f>
        <x:v>0</x:v>
      </x:c>
      <x:c r="F67" s="14" t="n">
        <x:v>5.5</x:v>
      </x:c>
      <x:c r="G67" s="8" t="str">
        <x:v>2026-06-14 to 2026-08-20</x:v>
      </x:c>
      <x:c r="H67" s="8"/>
      <x:c r="I67" s="8" t="str">
        <x:v>Current live route not sampled</x:v>
      </x:c>
      <x:c r="J67" s="8" t="str">
        <x:v>Review historical demand against a fresh complete GSC period before prioritizing</x:v>
      </x:c>
      <x:c r="K67" s="8" t="str">
        <x:v>SRC-GSC-PAGES; SRC-REPO</x:v>
      </x:c>
      <x:c r="L67" s="8" t="str">
        <x:v>OBSERVED</x:v>
      </x:c>
      <x:c r="M67" s="8" t="str">
        <x:v>FIRST-PARTY MEASUREMENT</x:v>
      </x:c>
      <x:c r="N67" s="8" t="str">
        <x:v>Archived export; no current or YoY first-party baseline</x:v>
      </x:c>
    </x:row>
    <x:row r="68" ht="48" customHeight="1">
      <x:c r="A68" s="9" t="str">
        <x:v>E064</x:v>
      </x:c>
      <x:c r="B68" s="11" t="str">
        <x:v>https://naxos-carrentals.com/de/guides</x:v>
      </x:c>
      <x:c r="C68" s="9" t="n">
        <x:v>0</x:v>
      </x:c>
      <x:c r="D68" s="9" t="n">
        <x:v>6</x:v>
      </x:c>
      <x:c r="E68" s="17" t="n">
        <x:f>IF(D68=0,"",C68/D68)</x:f>
        <x:v>0</x:v>
      </x:c>
      <x:c r="F68" s="15" t="n">
        <x:v>8.33</x:v>
      </x:c>
      <x:c r="G68" s="9" t="str">
        <x:v>2026-06-14 to 2026-08-20</x:v>
      </x:c>
      <x:c r="H68" s="9"/>
      <x:c r="I68" s="9" t="str">
        <x:v>Current live route not sampled</x:v>
      </x:c>
      <x:c r="J68" s="9" t="str">
        <x:v>Review historical demand against a fresh complete GSC period before prioritizing</x:v>
      </x:c>
      <x:c r="K68" s="9" t="str">
        <x:v>SRC-GSC-PAGES; SRC-REPO</x:v>
      </x:c>
      <x:c r="L68" s="9" t="str">
        <x:v>OBSERVED</x:v>
      </x:c>
      <x:c r="M68" s="9" t="str">
        <x:v>FIRST-PARTY MEASUREMENT</x:v>
      </x:c>
      <x:c r="N68" s="9" t="str">
        <x:v>Archived export; no current or YoY first-party baseline</x:v>
      </x:c>
    </x:row>
    <x:row r="69" ht="48" customHeight="1">
      <x:c r="A69" s="8" t="str">
        <x:v>E065</x:v>
      </x:c>
      <x:c r="B69" s="10" t="str">
        <x:v>https://naxos-carrentals.com/en/fleet/cars/citroen-c3</x:v>
      </x:c>
      <x:c r="C69" s="8" t="n">
        <x:v>0</x:v>
      </x:c>
      <x:c r="D69" s="8" t="n">
        <x:v>6</x:v>
      </x:c>
      <x:c r="E69" s="16" t="n">
        <x:f>IF(D69=0,"",C69/D69)</x:f>
        <x:v>0</x:v>
      </x:c>
      <x:c r="F69" s="14" t="n">
        <x:v>10.33</x:v>
      </x:c>
      <x:c r="G69" s="8" t="str">
        <x:v>2026-06-14 to 2026-08-20</x:v>
      </x:c>
      <x:c r="H69" s="8"/>
      <x:c r="I69" s="8" t="str">
        <x:v>Current live route not sampled</x:v>
      </x:c>
      <x:c r="J69" s="8" t="str">
        <x:v>Review historical demand against a fresh complete GSC period before prioritizing</x:v>
      </x:c>
      <x:c r="K69" s="8" t="str">
        <x:v>SRC-GSC-PAGES; SRC-REPO</x:v>
      </x:c>
      <x:c r="L69" s="8" t="str">
        <x:v>OBSERVED</x:v>
      </x:c>
      <x:c r="M69" s="8" t="str">
        <x:v>FIRST-PARTY MEASUREMENT</x:v>
      </x:c>
      <x:c r="N69" s="8" t="str">
        <x:v>Archived export; no current or YoY first-party baseline</x:v>
      </x:c>
    </x:row>
    <x:row r="70" ht="48" customHeight="1">
      <x:c r="A70" s="9" t="str">
        <x:v>E066</x:v>
      </x:c>
      <x:c r="B70" s="11" t="str">
        <x:v>https://naxos-carrentals.com/el/insurance</x:v>
      </x:c>
      <x:c r="C70" s="9" t="n">
        <x:v>0</x:v>
      </x:c>
      <x:c r="D70" s="9" t="n">
        <x:v>6</x:v>
      </x:c>
      <x:c r="E70" s="17" t="n">
        <x:f>IF(D70=0,"",C70/D70)</x:f>
        <x:v>0</x:v>
      </x:c>
      <x:c r="F70" s="15" t="n">
        <x:v>56.5</x:v>
      </x:c>
      <x:c r="G70" s="9" t="str">
        <x:v>2026-06-14 to 2026-08-20</x:v>
      </x:c>
      <x:c r="H70" s="9"/>
      <x:c r="I70" s="9" t="str">
        <x:v>Current live route not sampled</x:v>
      </x:c>
      <x:c r="J70" s="9" t="str">
        <x:v>Review historical demand against a fresh complete GSC period before prioritizing</x:v>
      </x:c>
      <x:c r="K70" s="9" t="str">
        <x:v>SRC-GSC-PAGES; SRC-REPO</x:v>
      </x:c>
      <x:c r="L70" s="9" t="str">
        <x:v>OBSERVED</x:v>
      </x:c>
      <x:c r="M70" s="9" t="str">
        <x:v>FIRST-PARTY MEASUREMENT</x:v>
      </x:c>
      <x:c r="N70" s="9" t="str">
        <x:v>Archived export; no current or YoY first-party baseline</x:v>
      </x:c>
    </x:row>
    <x:row r="71" ht="48" customHeight="1">
      <x:c r="A71" s="8" t="str">
        <x:v>E067</x:v>
      </x:c>
      <x:c r="B71" s="10" t="str">
        <x:v>https://naxos-carrentals.com/fr/fleet/cars</x:v>
      </x:c>
      <x:c r="C71" s="8" t="n">
        <x:v>0</x:v>
      </x:c>
      <x:c r="D71" s="8" t="n">
        <x:v>6</x:v>
      </x:c>
      <x:c r="E71" s="16" t="n">
        <x:f>IF(D71=0,"",C71/D71)</x:f>
        <x:v>0</x:v>
      </x:c>
      <x:c r="F71" s="14" t="n">
        <x:v>62.17</x:v>
      </x:c>
      <x:c r="G71" s="8" t="str">
        <x:v>2026-06-14 to 2026-08-20</x:v>
      </x:c>
      <x:c r="H71" s="8"/>
      <x:c r="I71" s="8" t="str">
        <x:v>Current live route not sampled</x:v>
      </x:c>
      <x:c r="J71" s="8" t="str">
        <x:v>Review historical demand against a fresh complete GSC period before prioritizing</x:v>
      </x:c>
      <x:c r="K71" s="8" t="str">
        <x:v>SRC-GSC-PAGES; SRC-REPO</x:v>
      </x:c>
      <x:c r="L71" s="8" t="str">
        <x:v>OBSERVED</x:v>
      </x:c>
      <x:c r="M71" s="8" t="str">
        <x:v>FIRST-PARTY MEASUREMENT</x:v>
      </x:c>
      <x:c r="N71" s="8" t="str">
        <x:v>Archived export; no current or YoY first-party baseline</x:v>
      </x:c>
    </x:row>
    <x:row r="72" ht="48" customHeight="1">
      <x:c r="A72" s="9" t="str">
        <x:v>E068</x:v>
      </x:c>
      <x:c r="B72" s="11" t="str">
        <x:v>https://naxos-carrentals.com/fr</x:v>
      </x:c>
      <x:c r="C72" s="9" t="n">
        <x:v>0</x:v>
      </x:c>
      <x:c r="D72" s="9" t="n">
        <x:v>5</x:v>
      </x:c>
      <x:c r="E72" s="17" t="n">
        <x:f>IF(D72=0,"",C72/D72)</x:f>
        <x:v>0</x:v>
      </x:c>
      <x:c r="F72" s="15" t="n">
        <x:v>4.8</x:v>
      </x:c>
      <x:c r="G72" s="9" t="str">
        <x:v>2026-06-14 to 2026-08-20</x:v>
      </x:c>
      <x:c r="H72" s="9" t="n">
        <x:v>200</x:v>
      </x:c>
      <x:c r="I72" s="9" t="str">
        <x:v>Live HTTP sample 2026-09-24</x:v>
      </x:c>
      <x:c r="J72" s="9" t="str">
        <x:v>Review historical demand against a fresh complete GSC period before prioritizing</x:v>
      </x:c>
      <x:c r="K72" s="9" t="str">
        <x:v>SRC-GSC-PAGES; SRC-LIVE</x:v>
      </x:c>
      <x:c r="L72" s="9" t="str">
        <x:v>OBSERVED</x:v>
      </x:c>
      <x:c r="M72" s="9" t="str">
        <x:v>FIRST-PARTY MEASUREMENT</x:v>
      </x:c>
      <x:c r="N72" s="9" t="str">
        <x:v>Archived export; no current or YoY first-party baseline</x:v>
      </x:c>
    </x:row>
    <x:row r="73" ht="48" customHeight="1">
      <x:c r="A73" s="8" t="str">
        <x:v>E069</x:v>
      </x:c>
      <x:c r="B73" s="10" t="str">
        <x:v>https://naxos-carrentals.com/fr/guides/idp-greece-rules</x:v>
      </x:c>
      <x:c r="C73" s="8" t="n">
        <x:v>0</x:v>
      </x:c>
      <x:c r="D73" s="8" t="n">
        <x:v>5</x:v>
      </x:c>
      <x:c r="E73" s="16" t="n">
        <x:f>IF(D73=0,"",C73/D73)</x:f>
        <x:v>0</x:v>
      </x:c>
      <x:c r="F73" s="14" t="n">
        <x:v>7.6</x:v>
      </x:c>
      <x:c r="G73" s="8" t="str">
        <x:v>2026-06-14 to 2026-08-20</x:v>
      </x:c>
      <x:c r="H73" s="8"/>
      <x:c r="I73" s="8" t="str">
        <x:v>Current live route not sampled</x:v>
      </x:c>
      <x:c r="J73" s="8" t="str">
        <x:v>Refresh native content and verify current canonical route. Archived redirects are historical, not current defects</x:v>
      </x:c>
      <x:c r="K73" s="8" t="str">
        <x:v>SRC-GSC-PAGES; SRC-REPO</x:v>
      </x:c>
      <x:c r="L73" s="8" t="str">
        <x:v>OBSERVED</x:v>
      </x:c>
      <x:c r="M73" s="8" t="str">
        <x:v>FIRST-PARTY MEASUREMENT</x:v>
      </x:c>
      <x:c r="N73" s="8" t="str">
        <x:v>Archived export; no current or YoY first-party baseline</x:v>
      </x:c>
    </x:row>
    <x:row r="74" ht="48" customHeight="1">
      <x:c r="A74" s="9" t="str">
        <x:v>E070</x:v>
      </x:c>
      <x:c r="B74" s="11" t="str">
        <x:v>https://naxos-carrentals.com/fr/guides/rent-a-car-naxos-port-vs-airport-pickup-guide</x:v>
      </x:c>
      <x:c r="C74" s="9" t="n">
        <x:v>0</x:v>
      </x:c>
      <x:c r="D74" s="9" t="n">
        <x:v>5</x:v>
      </x:c>
      <x:c r="E74" s="17" t="n">
        <x:f>IF(D74=0,"",C74/D74)</x:f>
        <x:v>0</x:v>
      </x:c>
      <x:c r="F74" s="15" t="n">
        <x:v>17.2</x:v>
      </x:c>
      <x:c r="G74" s="9" t="str">
        <x:v>2026-06-14 to 2026-08-20</x:v>
      </x:c>
      <x:c r="H74" s="9"/>
      <x:c r="I74" s="9" t="str">
        <x:v>Current live route not sampled</x:v>
      </x:c>
      <x:c r="J74" s="9" t="str">
        <x:v>Refresh native content and verify current canonical route. Archived redirects are historical, not current defects</x:v>
      </x:c>
      <x:c r="K74" s="9" t="str">
        <x:v>SRC-GSC-PAGES; SRC-REPO</x:v>
      </x:c>
      <x:c r="L74" s="9" t="str">
        <x:v>OBSERVED</x:v>
      </x:c>
      <x:c r="M74" s="9" t="str">
        <x:v>FIRST-PARTY MEASUREMENT</x:v>
      </x:c>
      <x:c r="N74" s="9" t="str">
        <x:v>Archived export; no current or YoY first-party baseline</x:v>
      </x:c>
    </x:row>
    <x:row r="75" ht="48" customHeight="1">
      <x:c r="A75" s="8" t="str">
        <x:v>E071</x:v>
      </x:c>
      <x:c r="B75" s="10" t="str">
        <x:v>https://naxos-carrentals.com/fr/fleet/cars/fiat-panda</x:v>
      </x:c>
      <x:c r="C75" s="8" t="n">
        <x:v>0</x:v>
      </x:c>
      <x:c r="D75" s="8" t="n">
        <x:v>3</x:v>
      </x:c>
      <x:c r="E75" s="16" t="n">
        <x:f>IF(D75=0,"",C75/D75)</x:f>
        <x:v>0</x:v>
      </x:c>
      <x:c r="F75" s="14" t="n">
        <x:v>2</x:v>
      </x:c>
      <x:c r="G75" s="8" t="str">
        <x:v>2026-06-14 to 2026-08-20</x:v>
      </x:c>
      <x:c r="H75" s="8"/>
      <x:c r="I75" s="8" t="str">
        <x:v>Current live route not sampled</x:v>
      </x:c>
      <x:c r="J75" s="8" t="str">
        <x:v>Review historical demand against a fresh complete GSC period before prioritizing</x:v>
      </x:c>
      <x:c r="K75" s="8" t="str">
        <x:v>SRC-GSC-PAGES; SRC-REPO</x:v>
      </x:c>
      <x:c r="L75" s="8" t="str">
        <x:v>OBSERVED</x:v>
      </x:c>
      <x:c r="M75" s="8" t="str">
        <x:v>FIRST-PARTY MEASUREMENT</x:v>
      </x:c>
      <x:c r="N75" s="8" t="str">
        <x:v>Archived export; no current or YoY first-party baseline</x:v>
      </x:c>
    </x:row>
    <x:row r="76" ht="48" customHeight="1">
      <x:c r="A76" s="9" t="str">
        <x:v>E072</x:v>
      </x:c>
      <x:c r="B76" s="11" t="str">
        <x:v>https://naxos-carrentals.com/de/cancellation</x:v>
      </x:c>
      <x:c r="C76" s="9" t="n">
        <x:v>0</x:v>
      </x:c>
      <x:c r="D76" s="9" t="n">
        <x:v>3</x:v>
      </x:c>
      <x:c r="E76" s="17" t="n">
        <x:f>IF(D76=0,"",C76/D76)</x:f>
        <x:v>0</x:v>
      </x:c>
      <x:c r="F76" s="15" t="n">
        <x:v>6.33</x:v>
      </x:c>
      <x:c r="G76" s="9" t="str">
        <x:v>2026-06-14 to 2026-08-20</x:v>
      </x:c>
      <x:c r="H76" s="9"/>
      <x:c r="I76" s="9" t="str">
        <x:v>Current live route not sampled</x:v>
      </x:c>
      <x:c r="J76" s="9" t="str">
        <x:v>Review historical demand against a fresh complete GSC period before prioritizing</x:v>
      </x:c>
      <x:c r="K76" s="9" t="str">
        <x:v>SRC-GSC-PAGES; SRC-REPO</x:v>
      </x:c>
      <x:c r="L76" s="9" t="str">
        <x:v>OBSERVED</x:v>
      </x:c>
      <x:c r="M76" s="9" t="str">
        <x:v>FIRST-PARTY MEASUREMENT</x:v>
      </x:c>
      <x:c r="N76" s="9" t="str">
        <x:v>Archived export; no current or YoY first-party baseline</x:v>
      </x:c>
    </x:row>
    <x:row r="77" ht="48" customHeight="1">
      <x:c r="A77" s="8" t="str">
        <x:v>E073</x:v>
      </x:c>
      <x:c r="B77" s="10" t="str">
        <x:v>https://naxos-carrentals.com/it/gdpr</x:v>
      </x:c>
      <x:c r="C77" s="8" t="n">
        <x:v>0</x:v>
      </x:c>
      <x:c r="D77" s="8" t="n">
        <x:v>3</x:v>
      </x:c>
      <x:c r="E77" s="16" t="n">
        <x:f>IF(D77=0,"",C77/D77)</x:f>
        <x:v>0</x:v>
      </x:c>
      <x:c r="F77" s="14" t="n">
        <x:v>22.33</x:v>
      </x:c>
      <x:c r="G77" s="8" t="str">
        <x:v>2026-06-14 to 2026-08-20</x:v>
      </x:c>
      <x:c r="H77" s="8"/>
      <x:c r="I77" s="8" t="str">
        <x:v>Current live route not sampled</x:v>
      </x:c>
      <x:c r="J77" s="8" t="str">
        <x:v>Review historical demand against a fresh complete GSC period before prioritizing</x:v>
      </x:c>
      <x:c r="K77" s="8" t="str">
        <x:v>SRC-GSC-PAGES; SRC-REPO</x:v>
      </x:c>
      <x:c r="L77" s="8" t="str">
        <x:v>OBSERVED</x:v>
      </x:c>
      <x:c r="M77" s="8" t="str">
        <x:v>FIRST-PARTY MEASUREMENT</x:v>
      </x:c>
      <x:c r="N77" s="8" t="str">
        <x:v>Archived export; no current or YoY first-party baseline</x:v>
      </x:c>
    </x:row>
    <x:row r="78" ht="48" customHeight="1">
      <x:c r="A78" s="9" t="str">
        <x:v>E074</x:v>
      </x:c>
      <x:c r="B78" s="11" t="str">
        <x:v>https://naxos-carrentals.com/de/book</x:v>
      </x:c>
      <x:c r="C78" s="9" t="n">
        <x:v>0</x:v>
      </x:c>
      <x:c r="D78" s="9" t="n">
        <x:v>3</x:v>
      </x:c>
      <x:c r="E78" s="17" t="n">
        <x:f>IF(D78=0,"",C78/D78)</x:f>
        <x:v>0</x:v>
      </x:c>
      <x:c r="F78" s="15" t="n">
        <x:v>30.33</x:v>
      </x:c>
      <x:c r="G78" s="9" t="str">
        <x:v>2026-06-14 to 2026-08-20</x:v>
      </x:c>
      <x:c r="H78" s="9"/>
      <x:c r="I78" s="9" t="str">
        <x:v>Current live route not sampled</x:v>
      </x:c>
      <x:c r="J78" s="9" t="str">
        <x:v>Review historical demand against a fresh complete GSC period before prioritizing</x:v>
      </x:c>
      <x:c r="K78" s="9" t="str">
        <x:v>SRC-GSC-PAGES; SRC-REPO</x:v>
      </x:c>
      <x:c r="L78" s="9" t="str">
        <x:v>OBSERVED</x:v>
      </x:c>
      <x:c r="M78" s="9" t="str">
        <x:v>FIRST-PARTY MEASUREMENT</x:v>
      </x:c>
      <x:c r="N78" s="9" t="str">
        <x:v>Archived export; no current or YoY first-party baseline</x:v>
      </x:c>
    </x:row>
    <x:row r="79" ht="48" customHeight="1">
      <x:c r="A79" s="8" t="str">
        <x:v>E075</x:v>
      </x:c>
      <x:c r="B79" s="10" t="str">
        <x:v>https://naxos-carrentals.com/el/fleet/collections/family-7-seater</x:v>
      </x:c>
      <x:c r="C79" s="8" t="n">
        <x:v>0</x:v>
      </x:c>
      <x:c r="D79" s="8" t="n">
        <x:v>3</x:v>
      </x:c>
      <x:c r="E79" s="16" t="n">
        <x:f>IF(D79=0,"",C79/D79)</x:f>
        <x:v>0</x:v>
      </x:c>
      <x:c r="F79" s="14" t="n">
        <x:v>57.67</x:v>
      </x:c>
      <x:c r="G79" s="8" t="str">
        <x:v>2026-06-14 to 2026-08-20</x:v>
      </x:c>
      <x:c r="H79" s="8"/>
      <x:c r="I79" s="8" t="str">
        <x:v>Current live route not sampled</x:v>
      </x:c>
      <x:c r="J79" s="8" t="str">
        <x:v>Review historical demand against a fresh complete GSC period before prioritizing</x:v>
      </x:c>
      <x:c r="K79" s="8" t="str">
        <x:v>SRC-GSC-PAGES; SRC-REPO</x:v>
      </x:c>
      <x:c r="L79" s="8" t="str">
        <x:v>OBSERVED</x:v>
      </x:c>
      <x:c r="M79" s="8" t="str">
        <x:v>FIRST-PARTY MEASUREMENT</x:v>
      </x:c>
      <x:c r="N79" s="8" t="str">
        <x:v>Archived export; no current or YoY first-party baseline</x:v>
      </x:c>
    </x:row>
    <x:row r="80" ht="48" customHeight="1">
      <x:c r="A80" s="9" t="str">
        <x:v>E076</x:v>
      </x:c>
      <x:c r="B80" s="11" t="str">
        <x:v>https://naxos-carrentals.com/el</x:v>
      </x:c>
      <x:c r="C80" s="9" t="n">
        <x:v>0</x:v>
      </x:c>
      <x:c r="D80" s="9" t="n">
        <x:v>2</x:v>
      </x:c>
      <x:c r="E80" s="17" t="n">
        <x:f>IF(D80=0,"",C80/D80)</x:f>
        <x:v>0</x:v>
      </x:c>
      <x:c r="F80" s="15" t="n">
        <x:v>3.5</x:v>
      </x:c>
      <x:c r="G80" s="9" t="str">
        <x:v>2026-06-14 to 2026-08-20</x:v>
      </x:c>
      <x:c r="H80" s="9" t="n">
        <x:v>200</x:v>
      </x:c>
      <x:c r="I80" s="9" t="str">
        <x:v>Live HTTP sample 2026-09-24</x:v>
      </x:c>
      <x:c r="J80" s="9" t="str">
        <x:v>Review historical demand against a fresh complete GSC period before prioritizing</x:v>
      </x:c>
      <x:c r="K80" s="9" t="str">
        <x:v>SRC-GSC-PAGES; SRC-LIVE</x:v>
      </x:c>
      <x:c r="L80" s="9" t="str">
        <x:v>OBSERVED</x:v>
      </x:c>
      <x:c r="M80" s="9" t="str">
        <x:v>FIRST-PARTY MEASUREMENT</x:v>
      </x:c>
      <x:c r="N80" s="9" t="str">
        <x:v>Archived export; no current or YoY first-party baseline</x:v>
      </x:c>
    </x:row>
    <x:row r="81" ht="48" customHeight="1">
      <x:c r="A81" s="8" t="str">
        <x:v>E077</x:v>
      </x:c>
      <x:c r="B81" s="10" t="str">
        <x:v>https://naxos-carrentals.com/en/locations</x:v>
      </x:c>
      <x:c r="C81" s="8" t="n">
        <x:v>0</x:v>
      </x:c>
      <x:c r="D81" s="8" t="n">
        <x:v>2</x:v>
      </x:c>
      <x:c r="E81" s="16" t="n">
        <x:f>IF(D81=0,"",C81/D81)</x:f>
        <x:v>0</x:v>
      </x:c>
      <x:c r="F81" s="14" t="n">
        <x:v>4</x:v>
      </x:c>
      <x:c r="G81" s="8" t="str">
        <x:v>2026-06-14 to 2026-08-20</x:v>
      </x:c>
      <x:c r="H81" s="8"/>
      <x:c r="I81" s="8" t="str">
        <x:v>Current live route not sampled</x:v>
      </x:c>
      <x:c r="J81" s="8" t="str">
        <x:v>Review historical demand against a fresh complete GSC period before prioritizing</x:v>
      </x:c>
      <x:c r="K81" s="8" t="str">
        <x:v>SRC-GSC-PAGES; SRC-REPO</x:v>
      </x:c>
      <x:c r="L81" s="8" t="str">
        <x:v>OBSERVED</x:v>
      </x:c>
      <x:c r="M81" s="8" t="str">
        <x:v>FIRST-PARTY MEASUREMENT</x:v>
      </x:c>
      <x:c r="N81" s="8" t="str">
        <x:v>Archived export; no current or YoY first-party baseline</x:v>
      </x:c>
    </x:row>
    <x:row r="82" ht="48" customHeight="1">
      <x:c r="A82" s="9" t="str">
        <x:v>E078</x:v>
      </x:c>
      <x:c r="B82" s="11" t="str">
        <x:v>https://naxos-carrentals.com/en/fleet/cars/dacia-duster</x:v>
      </x:c>
      <x:c r="C82" s="9" t="n">
        <x:v>0</x:v>
      </x:c>
      <x:c r="D82" s="9" t="n">
        <x:v>2</x:v>
      </x:c>
      <x:c r="E82" s="17" t="n">
        <x:f>IF(D82=0,"",C82/D82)</x:f>
        <x:v>0</x:v>
      </x:c>
      <x:c r="F82" s="15" t="n">
        <x:v>7</x:v>
      </x:c>
      <x:c r="G82" s="9" t="str">
        <x:v>2026-06-14 to 2026-08-20</x:v>
      </x:c>
      <x:c r="H82" s="9"/>
      <x:c r="I82" s="9" t="str">
        <x:v>Current live route not sampled</x:v>
      </x:c>
      <x:c r="J82" s="9" t="str">
        <x:v>Review historical demand against a fresh complete GSC period before prioritizing</x:v>
      </x:c>
      <x:c r="K82" s="9" t="str">
        <x:v>SRC-GSC-PAGES; SRC-REPO</x:v>
      </x:c>
      <x:c r="L82" s="9" t="str">
        <x:v>OBSERVED</x:v>
      </x:c>
      <x:c r="M82" s="9" t="str">
        <x:v>FIRST-PARTY MEASUREMENT</x:v>
      </x:c>
      <x:c r="N82" s="9" t="str">
        <x:v>Archived export; no current or YoY first-party baseline</x:v>
      </x:c>
    </x:row>
    <x:row r="83" ht="48" customHeight="1">
      <x:c r="A83" s="8" t="str">
        <x:v>E079</x:v>
      </x:c>
      <x:c r="B83" s="10" t="str">
        <x:v>https://naxos-carrentals.com/de/fleet/cars</x:v>
      </x:c>
      <x:c r="C83" s="8" t="n">
        <x:v>0</x:v>
      </x:c>
      <x:c r="D83" s="8" t="n">
        <x:v>2</x:v>
      </x:c>
      <x:c r="E83" s="16" t="n">
        <x:f>IF(D83=0,"",C83/D83)</x:f>
        <x:v>0</x:v>
      </x:c>
      <x:c r="F83" s="14" t="n">
        <x:v>8</x:v>
      </x:c>
      <x:c r="G83" s="8" t="str">
        <x:v>2026-06-14 to 2026-08-20</x:v>
      </x:c>
      <x:c r="H83" s="8"/>
      <x:c r="I83" s="8" t="str">
        <x:v>Current live route not sampled</x:v>
      </x:c>
      <x:c r="J83" s="8" t="str">
        <x:v>Review historical demand against a fresh complete GSC period before prioritizing</x:v>
      </x:c>
      <x:c r="K83" s="8" t="str">
        <x:v>SRC-GSC-PAGES; SRC-REPO</x:v>
      </x:c>
      <x:c r="L83" s="8" t="str">
        <x:v>OBSERVED</x:v>
      </x:c>
      <x:c r="M83" s="8" t="str">
        <x:v>FIRST-PARTY MEASUREMENT</x:v>
      </x:c>
      <x:c r="N83" s="8" t="str">
        <x:v>Archived export; no current or YoY first-party baseline</x:v>
      </x:c>
    </x:row>
    <x:row r="84" ht="48" customHeight="1">
      <x:c r="A84" s="9" t="str">
        <x:v>E080</x:v>
      </x:c>
      <x:c r="B84" s="11" t="str">
        <x:v>https://naxos-carrentals.com/de/about</x:v>
      </x:c>
      <x:c r="C84" s="9" t="n">
        <x:v>0</x:v>
      </x:c>
      <x:c r="D84" s="9" t="n">
        <x:v>2</x:v>
      </x:c>
      <x:c r="E84" s="17" t="n">
        <x:f>IF(D84=0,"",C84/D84)</x:f>
        <x:v>0</x:v>
      </x:c>
      <x:c r="F84" s="15" t="n">
        <x:v>8.5</x:v>
      </x:c>
      <x:c r="G84" s="9" t="str">
        <x:v>2026-06-14 to 2026-08-20</x:v>
      </x:c>
      <x:c r="H84" s="9"/>
      <x:c r="I84" s="9" t="str">
        <x:v>Current live route not sampled</x:v>
      </x:c>
      <x:c r="J84" s="9" t="str">
        <x:v>Review historical demand against a fresh complete GSC period before prioritizing</x:v>
      </x:c>
      <x:c r="K84" s="9" t="str">
        <x:v>SRC-GSC-PAGES; SRC-REPO</x:v>
      </x:c>
      <x:c r="L84" s="9" t="str">
        <x:v>OBSERVED</x:v>
      </x:c>
      <x:c r="M84" s="9" t="str">
        <x:v>FIRST-PARTY MEASUREMENT</x:v>
      </x:c>
      <x:c r="N84" s="9" t="str">
        <x:v>Archived export; no current or YoY first-party baseline</x:v>
      </x:c>
    </x:row>
    <x:row r="85" ht="48" customHeight="1">
      <x:c r="A85" s="8" t="str">
        <x:v>E081</x:v>
      </x:c>
      <x:c r="B85" s="10" t="str">
        <x:v>https://naxos-carrentals.com/fr/locations</x:v>
      </x:c>
      <x:c r="C85" s="8" t="n">
        <x:v>0</x:v>
      </x:c>
      <x:c r="D85" s="8" t="n">
        <x:v>2</x:v>
      </x:c>
      <x:c r="E85" s="16" t="n">
        <x:f>IF(D85=0,"",C85/D85)</x:f>
        <x:v>0</x:v>
      </x:c>
      <x:c r="F85" s="14" t="n">
        <x:v>18</x:v>
      </x:c>
      <x:c r="G85" s="8" t="str">
        <x:v>2026-06-14 to 2026-08-20</x:v>
      </x:c>
      <x:c r="H85" s="8"/>
      <x:c r="I85" s="8" t="str">
        <x:v>Current live route not sampled</x:v>
      </x:c>
      <x:c r="J85" s="8" t="str">
        <x:v>Review historical demand against a fresh complete GSC period before prioritizing</x:v>
      </x:c>
      <x:c r="K85" s="8" t="str">
        <x:v>SRC-GSC-PAGES; SRC-REPO</x:v>
      </x:c>
      <x:c r="L85" s="8" t="str">
        <x:v>OBSERVED</x:v>
      </x:c>
      <x:c r="M85" s="8" t="str">
        <x:v>FIRST-PARTY MEASUREMENT</x:v>
      </x:c>
      <x:c r="N85" s="8" t="str">
        <x:v>Archived export; no current or YoY first-party baseline</x:v>
      </x:c>
    </x:row>
    <x:row r="86" ht="48" customHeight="1">
      <x:c r="A86" s="9" t="str">
        <x:v>E082</x:v>
      </x:c>
      <x:c r="B86" s="11" t="str">
        <x:v>https://naxos-carrentals.com/en/fleet/cars/toyota-rav4</x:v>
      </x:c>
      <x:c r="C86" s="9" t="n">
        <x:v>0</x:v>
      </x:c>
      <x:c r="D86" s="9" t="n">
        <x:v>2</x:v>
      </x:c>
      <x:c r="E86" s="17" t="n">
        <x:f>IF(D86=0,"",C86/D86)</x:f>
        <x:v>0</x:v>
      </x:c>
      <x:c r="F86" s="15" t="n">
        <x:v>28.5</x:v>
      </x:c>
      <x:c r="G86" s="9" t="str">
        <x:v>2026-06-14 to 2026-08-20</x:v>
      </x:c>
      <x:c r="H86" s="9"/>
      <x:c r="I86" s="9" t="str">
        <x:v>Current live route not sampled</x:v>
      </x:c>
      <x:c r="J86" s="9" t="str">
        <x:v>Review historical demand against a fresh complete GSC period before prioritizing</x:v>
      </x:c>
      <x:c r="K86" s="9" t="str">
        <x:v>SRC-GSC-PAGES; SRC-REPO</x:v>
      </x:c>
      <x:c r="L86" s="9" t="str">
        <x:v>OBSERVED</x:v>
      </x:c>
      <x:c r="M86" s="9" t="str">
        <x:v>FIRST-PARTY MEASUREMENT</x:v>
      </x:c>
      <x:c r="N86" s="9" t="str">
        <x:v>Archived export; no current or YoY first-party baseline</x:v>
      </x:c>
    </x:row>
    <x:row r="87" ht="48" customHeight="1">
      <x:c r="A87" s="8" t="str">
        <x:v>E083</x:v>
      </x:c>
      <x:c r="B87" s="10" t="str">
        <x:v>https://naxos-carrentals.com/fr/fleet/cars/toyota-aygo</x:v>
      </x:c>
      <x:c r="C87" s="8" t="n">
        <x:v>0</x:v>
      </x:c>
      <x:c r="D87" s="8" t="n">
        <x:v>1</x:v>
      </x:c>
      <x:c r="E87" s="16" t="n">
        <x:f>IF(D87=0,"",C87/D87)</x:f>
        <x:v>0</x:v>
      </x:c>
      <x:c r="F87" s="14" t="n">
        <x:v>1</x:v>
      </x:c>
      <x:c r="G87" s="8" t="str">
        <x:v>2026-06-14 to 2026-08-20</x:v>
      </x:c>
      <x:c r="H87" s="8"/>
      <x:c r="I87" s="8" t="str">
        <x:v>Current live route not sampled</x:v>
      </x:c>
      <x:c r="J87" s="8" t="str">
        <x:v>Review historical demand against a fresh complete GSC period before prioritizing</x:v>
      </x:c>
      <x:c r="K87" s="8" t="str">
        <x:v>SRC-GSC-PAGES; SRC-REPO</x:v>
      </x:c>
      <x:c r="L87" s="8" t="str">
        <x:v>OBSERVED</x:v>
      </x:c>
      <x:c r="M87" s="8" t="str">
        <x:v>FIRST-PARTY MEASUREMENT</x:v>
      </x:c>
      <x:c r="N87" s="8" t="str">
        <x:v>Archived export; no current or YoY first-party baseline</x:v>
      </x:c>
    </x:row>
    <x:row r="88" ht="48" customHeight="1">
      <x:c r="A88" s="9" t="str">
        <x:v>E084</x:v>
      </x:c>
      <x:c r="B88" s="11" t="str">
        <x:v>https://naxos-carrentals.com/it/about</x:v>
      </x:c>
      <x:c r="C88" s="9" t="n">
        <x:v>0</x:v>
      </x:c>
      <x:c r="D88" s="9" t="n">
        <x:v>1</x:v>
      </x:c>
      <x:c r="E88" s="17" t="n">
        <x:f>IF(D88=0,"",C88/D88)</x:f>
        <x:v>0</x:v>
      </x:c>
      <x:c r="F88" s="15" t="n">
        <x:v>1</x:v>
      </x:c>
      <x:c r="G88" s="9" t="str">
        <x:v>2026-06-14 to 2026-08-20</x:v>
      </x:c>
      <x:c r="H88" s="9"/>
      <x:c r="I88" s="9" t="str">
        <x:v>Current live route not sampled</x:v>
      </x:c>
      <x:c r="J88" s="9" t="str">
        <x:v>Review historical demand against a fresh complete GSC period before prioritizing</x:v>
      </x:c>
      <x:c r="K88" s="9" t="str">
        <x:v>SRC-GSC-PAGES; SRC-REPO</x:v>
      </x:c>
      <x:c r="L88" s="9" t="str">
        <x:v>OBSERVED</x:v>
      </x:c>
      <x:c r="M88" s="9" t="str">
        <x:v>FIRST-PARTY MEASUREMENT</x:v>
      </x:c>
      <x:c r="N88" s="9" t="str">
        <x:v>Archived export; no current or YoY first-party baseline</x:v>
      </x:c>
    </x:row>
    <x:row r="89" ht="48" customHeight="1">
      <x:c r="A89" s="8" t="str">
        <x:v>E085</x:v>
      </x:c>
      <x:c r="B89" s="10" t="str">
        <x:v>https://naxos-carrentals.com/de/fleet</x:v>
      </x:c>
      <x:c r="C89" s="8" t="n">
        <x:v>0</x:v>
      </x:c>
      <x:c r="D89" s="8" t="n">
        <x:v>1</x:v>
      </x:c>
      <x:c r="E89" s="16" t="n">
        <x:f>IF(D89=0,"",C89/D89)</x:f>
        <x:v>0</x:v>
      </x:c>
      <x:c r="F89" s="14" t="n">
        <x:v>6</x:v>
      </x:c>
      <x:c r="G89" s="8" t="str">
        <x:v>2026-06-14 to 2026-08-20</x:v>
      </x:c>
      <x:c r="H89" s="8"/>
      <x:c r="I89" s="8" t="str">
        <x:v>Current live route not sampled</x:v>
      </x:c>
      <x:c r="J89" s="8" t="str">
        <x:v>Review historical demand against a fresh complete GSC period before prioritizing</x:v>
      </x:c>
      <x:c r="K89" s="8" t="str">
        <x:v>SRC-GSC-PAGES; SRC-REPO</x:v>
      </x:c>
      <x:c r="L89" s="8" t="str">
        <x:v>OBSERVED</x:v>
      </x:c>
      <x:c r="M89" s="8" t="str">
        <x:v>FIRST-PARTY MEASUREMENT</x:v>
      </x:c>
      <x:c r="N89" s="8" t="str">
        <x:v>Archived export; no current or YoY first-party baseline</x:v>
      </x:c>
    </x:row>
    <x:row r="90" ht="48" customHeight="1">
      <x:c r="A90" s="9" t="str">
        <x:v>E086</x:v>
      </x:c>
      <x:c r="B90" s="11" t="str">
        <x:v>https://naxos-carrentals.com/de/fleet/cars/hyundai-i10</x:v>
      </x:c>
      <x:c r="C90" s="9" t="n">
        <x:v>0</x:v>
      </x:c>
      <x:c r="D90" s="9" t="n">
        <x:v>1</x:v>
      </x:c>
      <x:c r="E90" s="17" t="n">
        <x:f>IF(D90=0,"",C90/D90)</x:f>
        <x:v>0</x:v>
      </x:c>
      <x:c r="F90" s="15" t="n">
        <x:v>6</x:v>
      </x:c>
      <x:c r="G90" s="9" t="str">
        <x:v>2026-06-14 to 2026-08-20</x:v>
      </x:c>
      <x:c r="H90" s="9"/>
      <x:c r="I90" s="9" t="str">
        <x:v>Current live route not sampled</x:v>
      </x:c>
      <x:c r="J90" s="9" t="str">
        <x:v>Align manual specification and prose. Local redesign removes historic description override</x:v>
      </x:c>
      <x:c r="K90" s="9" t="str">
        <x:v>SRC-GSC-PAGES; SRC-REPO</x:v>
      </x:c>
      <x:c r="L90" s="9" t="str">
        <x:v>OBSERVED</x:v>
      </x:c>
      <x:c r="M90" s="9" t="str">
        <x:v>FIRST-PARTY MEASUREMENT</x:v>
      </x:c>
      <x:c r="N90" s="9" t="str">
        <x:v>Archived export; no current or YoY first-party baseline</x:v>
      </x:c>
    </x:row>
    <x:row r="91" ht="48" customHeight="1">
      <x:c r="A91" s="8" t="str">
        <x:v>E087</x:v>
      </x:c>
      <x:c r="B91" s="10" t="str">
        <x:v>https://naxos-carrentals.com/de/fleet/cars/peugeot-208</x:v>
      </x:c>
      <x:c r="C91" s="8" t="n">
        <x:v>0</x:v>
      </x:c>
      <x:c r="D91" s="8" t="n">
        <x:v>1</x:v>
      </x:c>
      <x:c r="E91" s="16" t="n">
        <x:f>IF(D91=0,"",C91/D91)</x:f>
        <x:v>0</x:v>
      </x:c>
      <x:c r="F91" s="14" t="n">
        <x:v>8</x:v>
      </x:c>
      <x:c r="G91" s="8" t="str">
        <x:v>2026-06-14 to 2026-08-20</x:v>
      </x:c>
      <x:c r="H91" s="8"/>
      <x:c r="I91" s="8" t="str">
        <x:v>Current live route not sampled</x:v>
      </x:c>
      <x:c r="J91" s="8" t="str">
        <x:v>Review historical demand against a fresh complete GSC period before prioritizing</x:v>
      </x:c>
      <x:c r="K91" s="8" t="str">
        <x:v>SRC-GSC-PAGES; SRC-REPO</x:v>
      </x:c>
      <x:c r="L91" s="8" t="str">
        <x:v>OBSERVED</x:v>
      </x:c>
      <x:c r="M91" s="8" t="str">
        <x:v>FIRST-PARTY MEASUREMENT</x:v>
      </x:c>
      <x:c r="N91" s="8" t="str">
        <x:v>Archived export; no current or YoY first-party baseline</x:v>
      </x:c>
    </x:row>
    <x:row r="92" ht="48" customHeight="1">
      <x:c r="A92" s="9" t="str">
        <x:v>E088</x:v>
      </x:c>
      <x:c r="B92" s="11" t="str">
        <x:v>https://naxos-carrentals.com/it/naxos</x:v>
      </x:c>
      <x:c r="C92" s="9" t="n">
        <x:v>0</x:v>
      </x:c>
      <x:c r="D92" s="9" t="n">
        <x:v>1</x:v>
      </x:c>
      <x:c r="E92" s="17" t="n">
        <x:f>IF(D92=0,"",C92/D92)</x:f>
        <x:v>0</x:v>
      </x:c>
      <x:c r="F92" s="15" t="n">
        <x:v>8</x:v>
      </x:c>
      <x:c r="G92" s="9" t="str">
        <x:v>2026-06-14 to 2026-08-20</x:v>
      </x:c>
      <x:c r="H92" s="9"/>
      <x:c r="I92" s="9" t="str">
        <x:v>Current live route not sampled</x:v>
      </x:c>
      <x:c r="J92" s="9" t="str">
        <x:v>Review historical demand against a fresh complete GSC period before prioritizing</x:v>
      </x:c>
      <x:c r="K92" s="9" t="str">
        <x:v>SRC-GSC-PAGES; SRC-REPO</x:v>
      </x:c>
      <x:c r="L92" s="9" t="str">
        <x:v>OBSERVED</x:v>
      </x:c>
      <x:c r="M92" s="9" t="str">
        <x:v>FIRST-PARTY MEASUREMENT</x:v>
      </x:c>
      <x:c r="N92" s="9" t="str">
        <x:v>Archived export; no current or YoY first-party baseline</x:v>
      </x:c>
    </x:row>
    <x:row r="93" ht="48" customHeight="1">
      <x:c r="A93" s="8" t="str">
        <x:v>E089</x:v>
      </x:c>
      <x:c r="B93" s="10" t="str">
        <x:v>https://naxos-carrentals.com/fr/contact</x:v>
      </x:c>
      <x:c r="C93" s="8" t="n">
        <x:v>0</x:v>
      </x:c>
      <x:c r="D93" s="8" t="n">
        <x:v>1</x:v>
      </x:c>
      <x:c r="E93" s="16" t="n">
        <x:f>IF(D93=0,"",C93/D93)</x:f>
        <x:v>0</x:v>
      </x:c>
      <x:c r="F93" s="14" t="n">
        <x:v>9</x:v>
      </x:c>
      <x:c r="G93" s="8" t="str">
        <x:v>2026-06-14 to 2026-08-20</x:v>
      </x:c>
      <x:c r="H93" s="8"/>
      <x:c r="I93" s="8" t="str">
        <x:v>Current live route not sampled</x:v>
      </x:c>
      <x:c r="J93" s="8" t="str">
        <x:v>Review historical demand against a fresh complete GSC period before prioritizing</x:v>
      </x:c>
      <x:c r="K93" s="8" t="str">
        <x:v>SRC-GSC-PAGES; SRC-REPO</x:v>
      </x:c>
      <x:c r="L93" s="8" t="str">
        <x:v>OBSERVED</x:v>
      </x:c>
      <x:c r="M93" s="8" t="str">
        <x:v>FIRST-PARTY MEASUREMENT</x:v>
      </x:c>
      <x:c r="N93" s="8" t="str">
        <x:v>Archived export; no current or YoY first-party baseline</x:v>
      </x:c>
    </x:row>
    <x:row r="94" ht="48" customHeight="1">
      <x:c r="A94" s="9" t="str">
        <x:v>E090</x:v>
      </x:c>
      <x:c r="B94" s="11" t="str">
        <x:v>https://naxos-carrentals.com/en/about</x:v>
      </x:c>
      <x:c r="C94" s="9" t="n">
        <x:v>0</x:v>
      </x:c>
      <x:c r="D94" s="9" t="n">
        <x:v>1</x:v>
      </x:c>
      <x:c r="E94" s="17" t="n">
        <x:f>IF(D94=0,"",C94/D94)</x:f>
        <x:v>0</x:v>
      </x:c>
      <x:c r="F94" s="15" t="n">
        <x:v>10</x:v>
      </x:c>
      <x:c r="G94" s="9" t="str">
        <x:v>2026-06-14 to 2026-08-20</x:v>
      </x:c>
      <x:c r="H94" s="9"/>
      <x:c r="I94" s="9" t="str">
        <x:v>Current live route not sampled</x:v>
      </x:c>
      <x:c r="J94" s="9" t="str">
        <x:v>Review historical demand against a fresh complete GSC period before prioritizing</x:v>
      </x:c>
      <x:c r="K94" s="9" t="str">
        <x:v>SRC-GSC-PAGES; SRC-REPO</x:v>
      </x:c>
      <x:c r="L94" s="9" t="str">
        <x:v>OBSERVED</x:v>
      </x:c>
      <x:c r="M94" s="9" t="str">
        <x:v>FIRST-PARTY MEASUREMENT</x:v>
      </x:c>
      <x:c r="N94" s="9" t="str">
        <x:v>Archived export; no current or YoY first-party baseline</x:v>
      </x:c>
    </x:row>
    <x:row r="95" ht="48" customHeight="1">
      <x:c r="A95" s="8" t="str">
        <x:v>E091</x:v>
      </x:c>
      <x:c r="B95" s="10" t="str">
        <x:v>https://naxos-carrentals.com/fr/locations/filoti</x:v>
      </x:c>
      <x:c r="C95" s="8" t="n">
        <x:v>0</x:v>
      </x:c>
      <x:c r="D95" s="8" t="n">
        <x:v>1</x:v>
      </x:c>
      <x:c r="E95" s="16" t="n">
        <x:f>IF(D95=0,"",C95/D95)</x:f>
        <x:v>0</x:v>
      </x:c>
      <x:c r="F95" s="14" t="n">
        <x:v>10</x:v>
      </x:c>
      <x:c r="G95" s="8" t="str">
        <x:v>2026-06-14 to 2026-08-20</x:v>
      </x:c>
      <x:c r="H95" s="8"/>
      <x:c r="I95" s="8" t="str">
        <x:v>Current live route not sampled</x:v>
      </x:c>
      <x:c r="J95" s="8" t="str">
        <x:v>Review historical demand against a fresh complete GSC period before prioritizing</x:v>
      </x:c>
      <x:c r="K95" s="8" t="str">
        <x:v>SRC-GSC-PAGES; SRC-REPO</x:v>
      </x:c>
      <x:c r="L95" s="8" t="str">
        <x:v>OBSERVED</x:v>
      </x:c>
      <x:c r="M95" s="8" t="str">
        <x:v>FIRST-PARTY MEASUREMENT</x:v>
      </x:c>
      <x:c r="N95" s="8" t="str">
        <x:v>Archived export; no current or YoY first-party baseline</x:v>
      </x:c>
    </x:row>
    <x:row r="96" ht="48" customHeight="1">
      <x:c r="A96" s="9" t="str">
        <x:v>E092</x:v>
      </x:c>
      <x:c r="B96" s="11" t="str">
        <x:v>https://naxos-carrentals.com/it/guides</x:v>
      </x:c>
      <x:c r="C96" s="9" t="n">
        <x:v>0</x:v>
      </x:c>
      <x:c r="D96" s="9" t="n">
        <x:v>1</x:v>
      </x:c>
      <x:c r="E96" s="17" t="n">
        <x:f>IF(D96=0,"",C96/D96)</x:f>
        <x:v>0</x:v>
      </x:c>
      <x:c r="F96" s="15" t="n">
        <x:v>12</x:v>
      </x:c>
      <x:c r="G96" s="9" t="str">
        <x:v>2026-06-14 to 2026-08-20</x:v>
      </x:c>
      <x:c r="H96" s="9"/>
      <x:c r="I96" s="9" t="str">
        <x:v>Current live route not sampled</x:v>
      </x:c>
      <x:c r="J96" s="9" t="str">
        <x:v>Review historical demand against a fresh complete GSC period before prioritizing</x:v>
      </x:c>
      <x:c r="K96" s="9" t="str">
        <x:v>SRC-GSC-PAGES; SRC-REPO</x:v>
      </x:c>
      <x:c r="L96" s="9" t="str">
        <x:v>OBSERVED</x:v>
      </x:c>
      <x:c r="M96" s="9" t="str">
        <x:v>FIRST-PARTY MEASUREMENT</x:v>
      </x:c>
      <x:c r="N96" s="9" t="str">
        <x:v>Archived export; no current or YoY first-party baseline</x:v>
      </x:c>
    </x:row>
  </x:sheetData>
  <x:mergeCells>
    <x:mergeCell ref="A1:E1"/>
    <x:mergeCell ref="A2:F2"/>
  </x:mergeCells>
  <x:conditionalFormatting sqref="I5:I96">
    <x:cfRule type="containsText" dxfId="5" priority="1" operator="containsText" text="UNAVAILABLE"/>
  </x:conditionalFormatting>
  <x:conditionalFormatting sqref="L5:L96">
    <x:cfRule type="containsText" dxfId="6" priority="2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8e8aa4439a564dab"/>
  </x:tableParts>
</x:worksheet>
</file>

<file path=xl/worksheets/sheet6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35" hidden="0" customWidth="1"/>
    <x:col min="4" max="4" width="37" hidden="0" customWidth="1"/>
    <x:col min="5" max="5" width="64" hidden="0" customWidth="1"/>
    <x:col min="6" max="6" width="75" hidden="0" customWidth="1"/>
    <x:col min="7" max="7" width="70" hidden="0" customWidth="1"/>
    <x:col min="8" max="8" width="60" hidden="0" customWidth="1"/>
    <x:col min="9" max="9" width="22" hidden="0" customWidth="1"/>
    <x:col min="10" max="10" width="60" hidden="0" customWidth="1"/>
  </x:cols>
  <x:sheetData>
    <x:row r="1" ht="34" customHeight="1">
      <x:c r="A1" s="4" t="str">
        <x:v>Competitors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4" customHeight="1">
      <x:c r="A2" s="5" t="str">
        <x:v>Competitor selection comes from five bounded Google SERP snapshots and public page inspection. No full-domain competitor traffic or backlink audit was performed.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42" customHeight="1">
      <x:c r="A4" s="7" t="str">
        <x:v>Competitor ID</x:v>
      </x:c>
      <x:c r="B4" s="7" t="str">
        <x:v>Name</x:v>
      </x:c>
      <x:c r="C4" s="7" t="str">
        <x:v>Role</x:v>
      </x:c>
      <x:c r="D4" s="7" t="str">
        <x:v>Market evidence</x:v>
      </x:c>
      <x:c r="E4" s="7" t="str">
        <x:v>Source URL</x:v>
      </x:c>
      <x:c r="F4" s="7" t="str">
        <x:v>Observed page pattern</x:v>
      </x:c>
      <x:c r="G4" s="7" t="str">
        <x:v>Implication</x:v>
      </x:c>
      <x:c r="H4" s="7" t="str">
        <x:v>Source IDs</x:v>
      </x:c>
      <x:c r="I4" s="7" t="str">
        <x:v>Evidence status</x:v>
      </x:c>
      <x:c r="J4" s="7" t="str">
        <x:v>Limits</x:v>
      </x:c>
    </x:row>
    <x:row r="5" ht="48" customHeight="1">
      <x:c r="A5" s="8" t="str">
        <x:v>COMP01</x:v>
      </x:c>
      <x:c r="B5" s="8" t="str">
        <x:v>Naction</x:v>
      </x:c>
      <x:c r="C5" s="8" t="str">
        <x:v>Direct local operator</x:v>
      </x:c>
      <x:c r="D5" s="8" t="str">
        <x:v>GB, GR, IT, FR local-pack samples</x:v>
      </x:c>
      <x:c r="E5" s="10" t="str">
        <x:v>https://nactionrentacar.com/</x:v>
      </x:c>
      <x:c r="F5" s="8" t="str">
        <x:v>Six-language navigation, fleet, booking, service and insurance information</x:v>
      </x:c>
      <x:c r="G5" s="8" t="str">
        <x:v>Strong local/service overlap. Publish specific arrival instructions and verified policies</x:v>
      </x:c>
      <x:c r="H5" s="8" t="str">
        <x:v>serp-GB; serp-GR; serp-IT; serp-FR; competitor-sept01; WEB-NACTION</x:v>
      </x:c>
      <x:c r="I5" s="8" t="str">
        <x:v>OBSERVED</x:v>
      </x:c>
      <x:c r="J5" s="8" t="str">
        <x:v>No traffic or link-strength causal claim</x:v>
      </x:c>
    </x:row>
    <x:row r="6" ht="48" customHeight="1">
      <x:c r="A6" s="9" t="str">
        <x:v>COMP02</x:v>
      </x:c>
      <x:c r="B6" s="9" t="str">
        <x:v>Enjoy Naxos</x:v>
      </x:c>
      <x:c r="C6" s="9" t="str">
        <x:v>Direct local operator</x:v>
      </x:c>
      <x:c r="D6" s="9" t="str">
        <x:v>GR, FR local-pack samples</x:v>
      </x:c>
      <x:c r="E6" s="11" t="str">
        <x:v>https://enjoynaxoscar.com/</x:v>
      </x:c>
      <x:c r="F6" s="9" t="str">
        <x:v>Categorized fleet with seats, bags, transmission, price guidance and booking links; EN/GR/FR</x:v>
      </x:c>
      <x:c r="G6" s="9" t="str">
        <x:v>Match useful inventory clarity with correct own specifications</x:v>
      </x:c>
      <x:c r="H6" s="9" t="str">
        <x:v>serp-GR; serp-FR; WEB-ENJOY</x:v>
      </x:c>
      <x:c r="I6" s="9" t="str">
        <x:v>OBSERVED</x:v>
      </x:c>
      <x:c r="J6" s="9" t="str">
        <x:v>Competitor commercial claims are not independently verified</x:v>
      </x:c>
    </x:row>
    <x:row r="7" ht="48" customHeight="1">
      <x:c r="A7" s="8" t="str">
        <x:v>COMP03</x:v>
      </x:c>
      <x:c r="B7" s="8" t="str">
        <x:v>Matha</x:v>
      </x:c>
      <x:c r="C7" s="8" t="str">
        <x:v>Direct local operator</x:v>
      </x:c>
      <x:c r="D7" s="8" t="str">
        <x:v>GB, FR local-pack samples</x:v>
      </x:c>
      <x:c r="E7" s="10" t="str">
        <x:v>https://www.naxos-rentacar.gr/</x:v>
      </x:c>
      <x:c r="F7" s="8" t="str">
        <x:v>Local presence returned for core / port terms</x:v>
      </x:c>
      <x:c r="G7" s="8" t="str">
        <x:v>Distinct port handover proof and accurate local identity</x:v>
      </x:c>
      <x:c r="H7" s="8" t="str">
        <x:v>serp-GB; serp-FR</x:v>
      </x:c>
      <x:c r="I7" s="8" t="str">
        <x:v>OBSERVED</x:v>
      </x:c>
      <x:c r="J7" s="8" t="str">
        <x:v>Detailed content and backlinks not independently assessed</x:v>
      </x:c>
    </x:row>
    <x:row r="8" ht="48" customHeight="1">
      <x:c r="A8" s="9" t="str">
        <x:v>COMP04</x:v>
      </x:c>
      <x:c r="B8" s="9" t="str">
        <x:v>Naxos Rent a Car</x:v>
      </x:c>
      <x:c r="C8" s="9" t="str">
        <x:v>Direct / organic competitor</x:v>
      </x:c>
      <x:c r="D8" s="9" t="str">
        <x:v>GB core query</x:v>
      </x:c>
      <x:c r="E8" s="11" t="str">
        <x:v>https://www.naxosrentacar.com/</x:v>
      </x:c>
      <x:c r="F8" s="9" t="str">
        <x:v>Organic position4 in sampled core SERP</x:v>
      </x:c>
      <x:c r="G8" s="9" t="str">
        <x:v>Local specialist competes alongside aggregators</x:v>
      </x:c>
      <x:c r="H8" s="9" t="str">
        <x:v>serp-GB</x:v>
      </x:c>
      <x:c r="I8" s="9" t="str">
        <x:v>OBSERVED</x:v>
      </x:c>
      <x:c r="J8" s="9" t="str">
        <x:v>Top-five bounded sample only</x:v>
      </x:c>
    </x:row>
    <x:row r="9" ht="48" customHeight="1">
      <x:c r="A9" s="8" t="str">
        <x:v>COMP05</x:v>
      </x:c>
      <x:c r="B9" s="8" t="str">
        <x:v>KAYAK</x:v>
      </x:c>
      <x:c r="C9" s="8" t="str">
        <x:v>Marketplace / organic</x:v>
      </x:c>
      <x:c r="D9" s="8" t="str">
        <x:v>GB, GR, IT; DE AIO</x:v>
      </x:c>
      <x:c r="E9" s="10" t="str">
        <x:v>https://www.kayak.co.uk/Cheap-Naxos-Car-Hire.18102.cars.ksp</x:v>
      </x:c>
      <x:c r="F9" s="8" t="str">
        <x:v>Comparison and selection page type</x:v>
      </x:c>
      <x:c r="G9" s="8" t="str">
        <x:v>Do not emulate marketplace breadth. Make direct operator evidence clear</x:v>
      </x:c>
      <x:c r="H9" s="8" t="str">
        <x:v>serp-GB; serp-GR; serp-IT; serp-DE</x:v>
      </x:c>
      <x:c r="I9" s="8" t="str">
        <x:v>OBSERVED</x:v>
      </x:c>
      <x:c r="J9" s="8" t="str">
        <x:v>Traffic and backlinks not collected</x:v>
      </x:c>
    </x:row>
    <x:row r="10" ht="48" customHeight="1">
      <x:c r="A10" s="9" t="str">
        <x:v>COMP06</x:v>
      </x:c>
      <x:c r="B10" s="9" t="str">
        <x:v>Europcar</x:v>
      </x:c>
      <x:c r="C10" s="9" t="str">
        <x:v>International rental / organic</x:v>
      </x:c>
      <x:c r="D10" s="9" t="str">
        <x:v>GB, GR, IT, FR, DE</x:v>
      </x:c>
      <x:c r="E10" s="11" t="str">
        <x:v>https://www.europcar.de/de-de/places/autovermietung-greece/naxos</x:v>
      </x:c>
      <x:c r="F10" s="9" t="str">
        <x:v>Localized destination landing pages</x:v>
      </x:c>
      <x:c r="G10" s="9" t="str">
        <x:v>Local pickup specificity and actual vehicle detail are credible differentiators</x:v>
      </x:c>
      <x:c r="H10" s="9" t="str">
        <x:v>serp-GB; serp-GR; serp-IT; serp-FR; serp-DE</x:v>
      </x:c>
      <x:c r="I10" s="9" t="str">
        <x:v>OBSERVED</x:v>
      </x:c>
      <x:c r="J10" s="9" t="str">
        <x:v>Not proof one content attribute causes rank</x:v>
      </x:c>
    </x:row>
    <x:row r="11" ht="48" customHeight="1">
      <x:c r="A11" s="8" t="str">
        <x:v>COMP07</x:v>
      </x:c>
      <x:c r="B11" s="8" t="str">
        <x:v>Sunny Cars</x:v>
      </x:c>
      <x:c r="C11" s="8" t="str">
        <x:v>Broker / AI-cited source</x:v>
      </x:c>
      <x:c r="D11" s="8" t="str">
        <x:v>DE</x:v>
      </x:c>
      <x:c r="E11" s="10" t="str">
        <x:v>https://www.sunnycars.de/mietwagen/naxos-hafen/</x:v>
      </x:c>
      <x:c r="F11" s="8" t="str">
        <x:v>Port-focused landing page. Organic1 plus AIO citation in stored DE sample</x:v>
      </x:c>
      <x:c r="G11" s="8" t="str">
        <x:v>Own port page should explain arrival, total cost and restrictions</x:v>
      </x:c>
      <x:c r="H11" s="8" t="str">
        <x:v>serp-DE; WEB-SUNNY</x:v>
      </x:c>
      <x:c r="I11" s="8" t="str">
        <x:v>OBSERVED</x:v>
      </x:c>
      <x:c r="J11" s="8" t="str">
        <x:v>Full page substance could not be confirmed on final fetch (timeout)</x:v>
      </x:c>
    </x:row>
    <x:row r="12" ht="48" customHeight="1">
      <x:c r="A12" s="9" t="str">
        <x:v>COMP08</x:v>
      </x:c>
      <x:c r="B12" s="9" t="str">
        <x:v>CHECK24</x:v>
      </x:c>
      <x:c r="C12" s="9" t="str">
        <x:v>Comparison / AI-cited source</x:v>
      </x:c>
      <x:c r="D12" s="9" t="str">
        <x:v>DE</x:v>
      </x:c>
      <x:c r="E12" s="11" t="str">
        <x:v>https://mietwagen.check24.de/mietwagen/griechenland/naxos</x:v>
      </x:c>
      <x:c r="F12" s="9" t="str">
        <x:v>Destination comparison page. Organic2 and AIO citation</x:v>
      </x:c>
      <x:c r="G12" s="9" t="str">
        <x:v>Transparent like-for-like price and cover comparison on own pricing page</x:v>
      </x:c>
      <x:c r="H12" s="9" t="str">
        <x:v>serp-DE</x:v>
      </x:c>
      <x:c r="I12" s="9" t="str">
        <x:v>OBSERVED</x:v>
      </x:c>
      <x:c r="J12" s="9" t="str">
        <x:v>Cited body not independently inspected</x:v>
      </x:c>
    </x:row>
    <x:row r="13" ht="48" customHeight="1">
      <x:c r="A13" s="8" t="str">
        <x:v>COMP09</x:v>
      </x:c>
      <x:c r="B13" s="8" t="str">
        <x:v>Routard</x:v>
      </x:c>
      <x:c r="C13" s="8" t="str">
        <x:v>Publisher / community</x:v>
      </x:c>
      <x:c r="D13" s="8" t="str">
        <x:v>FR port query</x:v>
      </x:c>
      <x:c r="E13" s="10" t="str">
        <x:v>https://www.routard.com/</x:v>
      </x:c>
      <x:c r="F13" s="8" t="str">
        <x:v>Travel-forum result in sampled French port SERP</x:v>
      </x:c>
      <x:c r="G13" s="8" t="str">
        <x:v>Answer real traveler concerns with dated owner evidence; no mass posting</x:v>
      </x:c>
      <x:c r="H13" s="8" t="str">
        <x:v>serp-FR</x:v>
      </x:c>
      <x:c r="I13" s="8" t="str">
        <x:v>OBSERVED</x:v>
      </x:c>
      <x:c r="J13" s="8" t="str">
        <x:v>Exact forum URL preserved in SERP Samples</x:v>
      </x:c>
    </x:row>
  </x:sheetData>
  <x:mergeCells>
    <x:mergeCell ref="A1:E1"/>
    <x:mergeCell ref="A2:F2"/>
  </x:mergeCells>
  <x:conditionalFormatting sqref="I5:I13">
    <x:cfRule type="containsText" dxfId="7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f7308ae20d0b49b6"/>
  </x:tableParts>
</x:worksheet>
</file>

<file path=xl/worksheets/sheet7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25" hidden="0" customWidth="1"/>
    <x:col min="4" max="4" width="66" hidden="0" customWidth="1"/>
    <x:col min="5" max="5" width="28" hidden="0" customWidth="1"/>
    <x:col min="6" max="6" width="75" hidden="0" customWidth="1"/>
    <x:col min="7" max="7" width="83" hidden="0" customWidth="1"/>
    <x:col min="8" max="8" width="65" hidden="0" customWidth="1"/>
    <x:col min="9" max="9" width="44" hidden="0" customWidth="1"/>
    <x:col min="10" max="10" width="23" hidden="0" customWidth="1"/>
  </x:cols>
  <x:sheetData>
    <x:row r="1" ht="34" customHeight="1">
      <x:c r="A1" s="4" t="str">
        <x:v>Competitor Gaps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4" customHeight="1">
      <x:c r="A2" s="5" t="str">
        <x:v>Gap types distinguish missing evidence, weak existing pages and proposed original resources. A missing target dataset cannot establish a measured keyword gap.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42" customHeight="1">
      <x:c r="A4" s="7" t="str">
        <x:v>Gap ID</x:v>
      </x:c>
      <x:c r="B4" s="7" t="str">
        <x:v>Type</x:v>
      </x:c>
      <x:c r="C4" s="7" t="str">
        <x:v>Cluster ID</x:v>
      </x:c>
      <x:c r="D4" s="7" t="str">
        <x:v>Owner URL</x:v>
      </x:c>
      <x:c r="E4" s="7" t="str">
        <x:v>Competitors</x:v>
      </x:c>
      <x:c r="F4" s="7" t="str">
        <x:v>Evidence</x:v>
      </x:c>
      <x:c r="G4" s="7" t="str">
        <x:v>Recommendation</x:v>
      </x:c>
      <x:c r="H4" s="7" t="str">
        <x:v>Required proof</x:v>
      </x:c>
      <x:c r="I4" s="7" t="str">
        <x:v>Source IDs</x:v>
      </x:c>
      <x:c r="J4" s="7" t="str">
        <x:v>Evidence status</x:v>
      </x:c>
    </x:row>
    <x:row r="5" ht="48" customHeight="1">
      <x:c r="A5" s="8" t="str">
        <x:v>G01</x:v>
      </x:c>
      <x:c r="B5" s="8" t="str">
        <x:v>Weaker existing page</x:v>
      </x:c>
      <x:c r="C5" s="8" t="str">
        <x:v>C-fr-port</x:v>
      </x:c>
      <x:c r="D5" s="10" t="str">
        <x:v>https://naxos-carrentals.com/fr/locations/port-pickup</x:v>
      </x:c>
      <x:c r="E5" s="8" t="str">
        <x:v>COMP01; COMP03</x:v>
      </x:c>
      <x:c r="F5" s="8" t="str">
        <x:v>FR port term200; local and forum results. Existing French port title lacks voiture.</x:v>
      </x:c>
      <x:c r="G5" s="8" t="str">
        <x:v>Local title corrected in redesign. Add photo-led handover instructions, delay procedure and returning the car.</x:v>
      </x:c>
      <x:c r="H5" s="8" t="str">
        <x:v>Meeting point, walking route and owner-approved timing</x:v>
      </x:c>
      <x:c r="I5" s="8" t="str">
        <x:v>serp-FR; kw-fr; SRC-LIVE</x:v>
      </x:c>
      <x:c r="J5" s="8" t="str">
        <x:v>INFERRED</x:v>
      </x:c>
    </x:row>
    <x:row r="6" ht="48" customHeight="1">
      <x:c r="A6" s="9" t="str">
        <x:v>G02</x:v>
      </x:c>
      <x:c r="B6" s="9" t="str">
        <x:v>Weaker existing page</x:v>
      </x:c>
      <x:c r="C6" s="9" t="str">
        <x:v>C-it-core</x:v>
      </x:c>
      <x:c r="D6" s="11" t="str">
        <x:v>https://naxos-carrentals.com/it</x:v>
      </x:c>
      <x:c r="E6" s="9" t="str">
        <x:v>COMP01; COMP06</x:v>
      </x:c>
      <x:c r="F6" s="9" t="str">
        <x:v>Italian core500 and port150. Existing homepage mixes redundant English keyword text.</x:v>
      </x:c>
      <x:c r="G6" s="9" t="str">
        <x:v>Localized homepage and booking-first hierarchy; native-review detailed arrival and terms copy.</x:v>
      </x:c>
      <x:c r="H6" s="9" t="str">
        <x:v>Current operating facts and language support</x:v>
      </x:c>
      <x:c r="I6" s="9" t="str">
        <x:v>kw-it; serp-IT; SRC-LIVE</x:v>
      </x:c>
      <x:c r="J6" s="9" t="str">
        <x:v>INFERRED</x:v>
      </x:c>
    </x:row>
    <x:row r="7" ht="54" customHeight="1">
      <x:c r="A7" s="8" t="str">
        <x:v>G03</x:v>
      </x:c>
      <x:c r="B7" s="8" t="str">
        <x:v>Weaker existing page</x:v>
      </x:c>
      <x:c r="C7" s="8" t="str">
        <x:v>C-en-fleet</x:v>
      </x:c>
      <x:c r="D7" s="10" t="str">
        <x:v>https://naxos-carrentals.com/en/fleet/cars</x:v>
      </x:c>
      <x:c r="E7" s="8" t="str">
        <x:v>COMP02</x:v>
      </x:c>
      <x:c r="F7" s="8" t="str">
        <x:v>Competitor cards expose luggage and transmission. i10 prose contradicted manual data.</x:v>
      </x:c>
      <x:c r="G7" s="8" t="str">
        <x:v>Shared cards show specs; manual prose corrected. All24 assets regenerated, seven Naxos photographs and a Portara film added. Provider inventory still needs confirmation.</x:v>
      </x:c>
      <x:c r="H7" s="8" t="str">
        <x:v>Actual provider inventory and vehicle images</x:v>
      </x:c>
      <x:c r="I7" s="8" t="str">
        <x:v>WEB-ENJOY; SRC-REPO</x:v>
      </x:c>
      <x:c r="J7" s="8" t="str">
        <x:v>OBSERVED</x:v>
      </x:c>
    </x:row>
    <x:row r="8" ht="48" customHeight="1">
      <x:c r="A8" s="9" t="str">
        <x:v>G04</x:v>
      </x:c>
      <x:c r="B8" s="9" t="str">
        <x:v>Original resource</x:v>
      </x:c>
      <x:c r="C8" s="9" t="str">
        <x:v>C-de-insurance</x:v>
      </x:c>
      <x:c r="D8" s="11" t="str">
        <x:v>https://naxos-carrentals.com/de/insurance</x:v>
      </x:c>
      <x:c r="E8" s="9" t="str">
        <x:v>COMP07; COMP08</x:v>
      </x:c>
      <x:c r="F8" s="9" t="str">
        <x:v>AIO cites intermediaries. No owned target citation among eight returned links.</x:v>
      </x:c>
      <x:c r="G8" s="9" t="str">
        <x:v>Publish operator-reviewed cover/excess/exclusions table with a clear effective date.</x:v>
      </x:c>
      <x:c r="H8" s="9" t="str">
        <x:v>Signed policy source, deposits and exceptions</x:v>
      </x:c>
      <x:c r="I8" s="9" t="str">
        <x:v>serp-DE; SRC-REPO</x:v>
      </x:c>
      <x:c r="J8" s="9" t="str">
        <x:v>PROPOSED</x:v>
      </x:c>
    </x:row>
    <x:row r="9" ht="48" customHeight="1">
      <x:c r="A9" s="8" t="str">
        <x:v>G05</x:v>
      </x:c>
      <x:c r="B9" s="8" t="str">
        <x:v>Question coverage</x:v>
      </x:c>
      <x:c r="C9" s="8" t="str">
        <x:v>C-en-need-car</x:v>
      </x:c>
      <x:c r="D9" s="10" t="str">
        <x:v>https://naxos-carrentals.com/en/guides/do-you-need-a-car-in-naxos</x:v>
      </x:c>
      <x:c r="E9" s="8" t="str">
        <x:v>COMP05</x:v>
      </x:c>
      <x:c r="F9" s="8" t="str">
        <x:v>Observed PAA asks if renting is worthwhile and how tourists get around.</x:v>
      </x:c>
      <x:c r="G9" s="8" t="str">
        <x:v>Compare staying in Chora versus villages and beach trips using a real route example.</x:v>
      </x:c>
      <x:c r="H9" s="8" t="str">
        <x:v>Dated bus/parking references; no invented fare totals</x:v>
      </x:c>
      <x:c r="I9" s="8" t="str">
        <x:v>serp-GB</x:v>
      </x:c>
      <x:c r="J9" s="8" t="str">
        <x:v>INFERRED</x:v>
      </x:c>
    </x:row>
    <x:row r="10" ht="48" customHeight="1">
      <x:c r="A10" s="9" t="str">
        <x:v>G06</x:v>
      </x:c>
      <x:c r="B10" s="9" t="str">
        <x:v>Third-party coverage</x:v>
      </x:c>
      <x:c r="C10" s="9" t="str">
        <x:v>C-de-core</x:v>
      </x:c>
      <x:c r="D10" s="11" t="str">
        <x:v>https://naxos-carrentals.com/de</x:v>
      </x:c>
      <x:c r="E10" s="9" t="str">
        <x:v>COMP07; COMP08</x:v>
      </x:c>
      <x:c r="F10" s="9" t="str">
        <x:v>German citations include marketplaces, brokers and a video.</x:v>
      </x:c>
      <x:c r="G10" s="9" t="str">
        <x:v>Audit genuine business listings and partner information. Seek editorial coverage only with useful local evidence.</x:v>
      </x:c>
      <x:c r="H10" s="9" t="str">
        <x:v>Current business identity and truthful source material</x:v>
      </x:c>
      <x:c r="I10" s="9" t="str">
        <x:v>serp-DE</x:v>
      </x:c>
      <x:c r="J10" s="9" t="str">
        <x:v>PROPOSED</x:v>
      </x:c>
    </x:row>
    <x:row r="11" ht="48" customHeight="1">
      <x:c r="A11" s="8" t="str">
        <x:v>G07</x:v>
      </x:c>
      <x:c r="B11" s="8" t="str">
        <x:v>Not a proven keyword gap</x:v>
      </x:c>
      <x:c r="C11" s="8" t="str">
        <x:v>C-en-core</x:v>
      </x:c>
      <x:c r="D11" s="10" t="str">
        <x:v>https://naxos-carrentals.com/en</x:v>
      </x:c>
      <x:c r="E11" s="8" t="str">
        <x:v>COMP01</x:v>
      </x:c>
      <x:c r="F11" s="8" t="str">
        <x:v>Naction four GB keyword records on Sep1. Target same-date endpoint returns empty.</x:v>
      </x:c>
      <x:c r="G11" s="8" t="str">
        <x:v>Treat as competitor-visible candidates; target absence cannot establish missing rankings.</x:v>
      </x:c>
      <x:c r="H11" s="8" t="str">
        <x:v>Fresh GSC and comparable target snapshot</x:v>
      </x:c>
      <x:c r="I11" s="8" t="str">
        <x:v>competitor-sept01; baseline-sept01</x:v>
      </x:c>
      <x:c r="J11" s="8" t="str">
        <x:v>UNAVAILABLE</x:v>
      </x:c>
    </x:row>
  </x:sheetData>
  <x:mergeCells>
    <x:mergeCell ref="A1:E1"/>
    <x:mergeCell ref="A2:F2"/>
  </x:mergeCells>
  <x:conditionalFormatting sqref="J5:J11">
    <x:cfRule type="containsText" dxfId="8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66fc40c9a8dc4995"/>
  </x:tableParts>
</x:worksheet>
</file>

<file path=xl/worksheets/sheet8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15" hidden="0" customWidth="1"/>
    <x:col min="3" max="3" width="14" hidden="0" customWidth="1"/>
    <x:col min="4" max="4" width="38" hidden="0" customWidth="1"/>
    <x:col min="5" max="5" width="14" hidden="0" customWidth="1"/>
    <x:col min="6" max="6" width="36" hidden="0" customWidth="1"/>
    <x:col min="7" max="7" width="68" hidden="0" customWidth="1"/>
    <x:col min="8" max="8" width="80" hidden="0" customWidth="1"/>
    <x:col min="9" max="9" width="46" hidden="0" customWidth="1"/>
    <x:col min="10" max="10" width="29" hidden="0" customWidth="1"/>
    <x:col min="11" max="11" width="29" hidden="0" customWidth="1"/>
    <x:col min="12" max="12" width="22" hidden="0" customWidth="1"/>
    <x:col min="13" max="13" width="22" hidden="0" customWidth="1"/>
    <x:col min="14" max="14" width="25" hidden="0" customWidth="1"/>
    <x:col min="15" max="15" width="65" hidden="0" customWidth="1"/>
  </x:cols>
  <x:sheetData>
    <x:row r="1" ht="34" customHeight="1">
      <x:c r="A1" s="4" t="str">
        <x:v>SERP Samples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44" customHeight="1">
      <x:c r="A2" s="5" t="str">
        <x:v>Ahrefs Google snapshots, top five positions per query. A feature may produce several rows. Underlying dates differ and are preserved. Bing SERPs were not collected.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42" customHeight="1">
      <x:c r="A4" s="7" t="str">
        <x:v>Sample row ID</x:v>
      </x:c>
      <x:c r="B4" s="7" t="str">
        <x:v>Engine</x:v>
      </x:c>
      <x:c r="C4" s="7" t="str">
        <x:v>Country</x:v>
      </x:c>
      <x:c r="D4" s="7" t="str">
        <x:v>Query</x:v>
      </x:c>
      <x:c r="E4" s="7" t="str">
        <x:v>Position</x:v>
      </x:c>
      <x:c r="F4" s="7" t="str">
        <x:v>Result type</x:v>
      </x:c>
      <x:c r="G4" s="7" t="str">
        <x:v>Title / question</x:v>
      </x:c>
      <x:c r="H4" s="7" t="str">
        <x:v>URL</x:v>
      </x:c>
      <x:c r="I4" s="7" t="str">
        <x:v>Vendor page type</x:v>
      </x:c>
      <x:c r="J4" s="7" t="str">
        <x:v>SERP timestamp</x:v>
      </x:c>
      <x:c r="K4" s="7" t="str">
        <x:v>Retrieval timestamp</x:v>
      </x:c>
      <x:c r="L4" s="7" t="str">
        <x:v>Source ID</x:v>
      </x:c>
      <x:c r="M4" s="7" t="str">
        <x:v>Evidence status</x:v>
      </x:c>
      <x:c r="N4" s="7" t="str">
        <x:v>Metric type</x:v>
      </x:c>
      <x:c r="O4" s="7" t="str">
        <x:v>Limits</x:v>
      </x:c>
    </x:row>
    <x:row r="5" ht="48" customHeight="1">
      <x:c r="A5" s="8" t="str">
        <x:v>serp-GB-1</x:v>
      </x:c>
      <x:c r="B5" s="8" t="str">
        <x:v>Google</x:v>
      </x:c>
      <x:c r="C5" s="8" t="str">
        <x:v>GB</x:v>
      </x:c>
      <x:c r="D5" s="8" t="str">
        <x:v>car rental in naxos</x:v>
      </x:c>
      <x:c r="E5" s="8" t="n">
        <x:v>1</x:v>
      </x:c>
      <x:c r="F5" s="8" t="str">
        <x:v>local_pack</x:v>
      </x:c>
      <x:c r="G5" s="8" t="str">
        <x:v>Naxos Rent a Car - Naction</x:v>
      </x:c>
      <x:c r="H5" s="10"/>
      <x:c r="I5" s="8"/>
      <x:c r="J5" s="8" t="n">
        <x:v>46288.68021990741</x:v>
      </x:c>
      <x:c r="K5" s="8" t="n">
        <x:v>46289.740337013885</x:v>
      </x:c>
      <x:c r="L5" s="8" t="str">
        <x:v>serp-GB</x:v>
      </x:c>
      <x:c r="M5" s="8" t="str">
        <x:v>OBSERVED</x:v>
      </x:c>
      <x:c r="N5" s="8" t="str">
        <x:v>VENDOR ESTIMATE</x:v>
      </x:c>
      <x:c r="O5" s="8" t="str">
        <x:v>Top5 positions, including feature children; not a full SERP or live manual test</x:v>
      </x:c>
    </x:row>
    <x:row r="6" ht="48" customHeight="1">
      <x:c r="A6" s="9" t="str">
        <x:v>serp-GB-2</x:v>
      </x:c>
      <x:c r="B6" s="9" t="str">
        <x:v>Google</x:v>
      </x:c>
      <x:c r="C6" s="9" t="str">
        <x:v>GB</x:v>
      </x:c>
      <x:c r="D6" s="9" t="str">
        <x:v>car rental in naxos</x:v>
      </x:c>
      <x:c r="E6" s="9" t="n">
        <x:v>1</x:v>
      </x:c>
      <x:c r="F6" s="9" t="str">
        <x:v>local_pack</x:v>
      </x:c>
      <x:c r="G6" s="9" t="str">
        <x:v>Konstantakis, J. "New Car"</x:v>
      </x:c>
      <x:c r="H6" s="11"/>
      <x:c r="I6" s="9"/>
      <x:c r="J6" s="9" t="n">
        <x:v>46288.68021990741</x:v>
      </x:c>
      <x:c r="K6" s="9" t="n">
        <x:v>46289.740337013885</x:v>
      </x:c>
      <x:c r="L6" s="9" t="str">
        <x:v>serp-GB</x:v>
      </x:c>
      <x:c r="M6" s="9" t="str">
        <x:v>OBSERVED</x:v>
      </x:c>
      <x:c r="N6" s="9" t="str">
        <x:v>VENDOR ESTIMATE</x:v>
      </x:c>
      <x:c r="O6" s="9" t="str">
        <x:v>Top5 positions, including feature children; not a full SERP or live manual test</x:v>
      </x:c>
    </x:row>
    <x:row r="7" ht="48" customHeight="1">
      <x:c r="A7" s="8" t="str">
        <x:v>serp-GB-3</x:v>
      </x:c>
      <x:c r="B7" s="8" t="str">
        <x:v>Google</x:v>
      </x:c>
      <x:c r="C7" s="8" t="str">
        <x:v>GB</x:v>
      </x:c>
      <x:c r="D7" s="8" t="str">
        <x:v>car rental in naxos</x:v>
      </x:c>
      <x:c r="E7" s="8" t="n">
        <x:v>1</x:v>
      </x:c>
      <x:c r="F7" s="8" t="str">
        <x:v>local_pack</x:v>
      </x:c>
      <x:c r="G7" s="8" t="str">
        <x:v>Naxos Rent a Car by Matha Rent</x:v>
      </x:c>
      <x:c r="H7" s="10"/>
      <x:c r="I7" s="8"/>
      <x:c r="J7" s="8" t="n">
        <x:v>46288.68021990741</x:v>
      </x:c>
      <x:c r="K7" s="8" t="n">
        <x:v>46289.740337013885</x:v>
      </x:c>
      <x:c r="L7" s="8" t="str">
        <x:v>serp-GB</x:v>
      </x:c>
      <x:c r="M7" s="8" t="str">
        <x:v>OBSERVED</x:v>
      </x:c>
      <x:c r="N7" s="8" t="str">
        <x:v>VENDOR ESTIMATE</x:v>
      </x:c>
      <x:c r="O7" s="8" t="str">
        <x:v>Top5 positions, including feature children; not a full SERP or live manual test</x:v>
      </x:c>
    </x:row>
    <x:row r="8" ht="48" customHeight="1">
      <x:c r="A8" s="9" t="str">
        <x:v>serp-GB-4</x:v>
      </x:c>
      <x:c r="B8" s="9" t="str">
        <x:v>Google</x:v>
      </x:c>
      <x:c r="C8" s="9" t="str">
        <x:v>GB</x:v>
      </x:c>
      <x:c r="D8" s="9" t="str">
        <x:v>car rental in naxos</x:v>
      </x:c>
      <x:c r="E8" s="9" t="n">
        <x:v>2</x:v>
      </x:c>
      <x:c r="F8" s="9" t="str">
        <x:v>organic</x:v>
      </x:c>
      <x:c r="G8" s="9" t="str">
        <x:v>Car Hire in Naxos from £19/day</x:v>
      </x:c>
      <x:c r="H8" s="11" t="str">
        <x:v>https://www.kayak.co.uk/Cheap-Naxos-Car-Hire.18102.cars.ksp</x:v>
      </x:c>
      <x:c r="I8" s="9" t="str">
        <x:v>/Listing,/Listing/Location</x:v>
      </x:c>
      <x:c r="J8" s="9" t="n">
        <x:v>46288.68021990741</x:v>
      </x:c>
      <x:c r="K8" s="9" t="n">
        <x:v>46289.740337013885</x:v>
      </x:c>
      <x:c r="L8" s="9" t="str">
        <x:v>serp-GB</x:v>
      </x:c>
      <x:c r="M8" s="9" t="str">
        <x:v>OBSERVED</x:v>
      </x:c>
      <x:c r="N8" s="9" t="str">
        <x:v>VENDOR ESTIMATE</x:v>
      </x:c>
      <x:c r="O8" s="9" t="str">
        <x:v>Top5 positions, including feature children; not a full SERP or live manual test</x:v>
      </x:c>
    </x:row>
    <x:row r="9" ht="48" customHeight="1">
      <x:c r="A9" s="8" t="str">
        <x:v>serp-GB-5</x:v>
      </x:c>
      <x:c r="B9" s="8" t="str">
        <x:v>Google</x:v>
      </x:c>
      <x:c r="C9" s="8" t="str">
        <x:v>GB</x:v>
      </x:c>
      <x:c r="D9" s="8" t="str">
        <x:v>car rental in naxos</x:v>
      </x:c>
      <x:c r="E9" s="8" t="n">
        <x:v>3</x:v>
      </x:c>
      <x:c r="F9" s="8" t="str">
        <x:v>organic</x:v>
      </x:c>
      <x:c r="G9" s="8" t="str">
        <x:v>Car hire in Naxos, Greece</x:v>
      </x:c>
      <x:c r="H9" s="10" t="str">
        <x:v>https://www.europcar.co.uk/en-gb/places/car-hire-greece/naxos</x:v>
      </x:c>
      <x:c r="I9" s="8" t="str">
        <x:v>/Landing_Page,/Landing_Page/Location_Page</x:v>
      </x:c>
      <x:c r="J9" s="8" t="n">
        <x:v>46288.68021990741</x:v>
      </x:c>
      <x:c r="K9" s="8" t="n">
        <x:v>46289.740337013885</x:v>
      </x:c>
      <x:c r="L9" s="8" t="str">
        <x:v>serp-GB</x:v>
      </x:c>
      <x:c r="M9" s="8" t="str">
        <x:v>OBSERVED</x:v>
      </x:c>
      <x:c r="N9" s="8" t="str">
        <x:v>VENDOR ESTIMATE</x:v>
      </x:c>
      <x:c r="O9" s="8" t="str">
        <x:v>Top5 positions, including feature children; not a full SERP or live manual test</x:v>
      </x:c>
    </x:row>
    <x:row r="10" ht="48" customHeight="1">
      <x:c r="A10" s="9" t="str">
        <x:v>serp-GB-6</x:v>
      </x:c>
      <x:c r="B10" s="9" t="str">
        <x:v>Google</x:v>
      </x:c>
      <x:c r="C10" s="9" t="str">
        <x:v>GB</x:v>
      </x:c>
      <x:c r="D10" s="9" t="str">
        <x:v>car rental in naxos</x:v>
      </x:c>
      <x:c r="E10" s="9" t="n">
        <x:v>4</x:v>
      </x:c>
      <x:c r="F10" s="9" t="str">
        <x:v>organic</x:v>
      </x:c>
      <x:c r="G10" s="9" t="str">
        <x:v>Naxos Rent a Car</x:v>
      </x:c>
      <x:c r="H10" s="11" t="str">
        <x:v>https://www.naxosrentacar.com/</x:v>
      </x:c>
      <x:c r="I10" s="9" t="str">
        <x:v>/Core_Page,/Core_Page/Homepage</x:v>
      </x:c>
      <x:c r="J10" s="9" t="n">
        <x:v>46288.68021990741</x:v>
      </x:c>
      <x:c r="K10" s="9" t="n">
        <x:v>46289.740337013885</x:v>
      </x:c>
      <x:c r="L10" s="9" t="str">
        <x:v>serp-GB</x:v>
      </x:c>
      <x:c r="M10" s="9" t="str">
        <x:v>OBSERVED</x:v>
      </x:c>
      <x:c r="N10" s="9" t="str">
        <x:v>VENDOR ESTIMATE</x:v>
      </x:c>
      <x:c r="O10" s="9" t="str">
        <x:v>Top5 positions, including feature children; not a full SERP or live manual test</x:v>
      </x:c>
    </x:row>
    <x:row r="11" ht="48" customHeight="1">
      <x:c r="A11" s="8" t="str">
        <x:v>serp-GB-7</x:v>
      </x:c>
      <x:c r="B11" s="8" t="str">
        <x:v>Google</x:v>
      </x:c>
      <x:c r="C11" s="8" t="str">
        <x:v>GB</x:v>
      </x:c>
      <x:c r="D11" s="8" t="str">
        <x:v>car rental in naxos</x:v>
      </x:c>
      <x:c r="E11" s="8" t="n">
        <x:v>5</x:v>
      </x:c>
      <x:c r="F11" s="8" t="str">
        <x:v>question</x:v>
      </x:c>
      <x:c r="G11" s="8" t="str">
        <x:v>Is it worth renting a car in Naxos?</x:v>
      </x:c>
      <x:c r="H11" s="10"/>
      <x:c r="I11" s="8"/>
      <x:c r="J11" s="8" t="n">
        <x:v>46288.68021990741</x:v>
      </x:c>
      <x:c r="K11" s="8" t="n">
        <x:v>46289.740337013885</x:v>
      </x:c>
      <x:c r="L11" s="8" t="str">
        <x:v>serp-GB</x:v>
      </x:c>
      <x:c r="M11" s="8" t="str">
        <x:v>OBSERVED</x:v>
      </x:c>
      <x:c r="N11" s="8" t="str">
        <x:v>VENDOR ESTIMATE</x:v>
      </x:c>
      <x:c r="O11" s="8" t="str">
        <x:v>Top5 positions, including feature children; not a full SERP or live manual test</x:v>
      </x:c>
    </x:row>
    <x:row r="12" ht="48" customHeight="1">
      <x:c r="A12" s="9" t="str">
        <x:v>serp-GB-8</x:v>
      </x:c>
      <x:c r="B12" s="9" t="str">
        <x:v>Google</x:v>
      </x:c>
      <x:c r="C12" s="9" t="str">
        <x:v>GB</x:v>
      </x:c>
      <x:c r="D12" s="9" t="str">
        <x:v>car rental in naxos</x:v>
      </x:c>
      <x:c r="E12" s="9" t="n">
        <x:v>5</x:v>
      </x:c>
      <x:c r="F12" s="9" t="str">
        <x:v>question</x:v>
      </x:c>
      <x:c r="G12" s="9" t="str">
        <x:v>How much does it cost to rent a car on Naxos?</x:v>
      </x:c>
      <x:c r="H12" s="11"/>
      <x:c r="I12" s="9"/>
      <x:c r="J12" s="9" t="n">
        <x:v>46288.68021990741</x:v>
      </x:c>
      <x:c r="K12" s="9" t="n">
        <x:v>46289.740337013885</x:v>
      </x:c>
      <x:c r="L12" s="9" t="str">
        <x:v>serp-GB</x:v>
      </x:c>
      <x:c r="M12" s="9" t="str">
        <x:v>OBSERVED</x:v>
      </x:c>
      <x:c r="N12" s="9" t="str">
        <x:v>VENDOR ESTIMATE</x:v>
      </x:c>
      <x:c r="O12" s="9" t="str">
        <x:v>Top5 positions, including feature children; not a full SERP or live manual test</x:v>
      </x:c>
    </x:row>
    <x:row r="13" ht="48" customHeight="1">
      <x:c r="A13" s="8" t="str">
        <x:v>serp-GB-9</x:v>
      </x:c>
      <x:c r="B13" s="8" t="str">
        <x:v>Google</x:v>
      </x:c>
      <x:c r="C13" s="8" t="str">
        <x:v>GB</x:v>
      </x:c>
      <x:c r="D13" s="8" t="str">
        <x:v>car rental in naxos</x:v>
      </x:c>
      <x:c r="E13" s="8" t="n">
        <x:v>5</x:v>
      </x:c>
      <x:c r="F13" s="8" t="str">
        <x:v>question</x:v>
      </x:c>
      <x:c r="G13" s="8" t="str">
        <x:v>Which car rental agency is the best in Greece?</x:v>
      </x:c>
      <x:c r="H13" s="10"/>
      <x:c r="I13" s="8"/>
      <x:c r="J13" s="8" t="n">
        <x:v>46288.68021990741</x:v>
      </x:c>
      <x:c r="K13" s="8" t="n">
        <x:v>46289.740337013885</x:v>
      </x:c>
      <x:c r="L13" s="8" t="str">
        <x:v>serp-GB</x:v>
      </x:c>
      <x:c r="M13" s="8" t="str">
        <x:v>OBSERVED</x:v>
      </x:c>
      <x:c r="N13" s="8" t="str">
        <x:v>VENDOR ESTIMATE</x:v>
      </x:c>
      <x:c r="O13" s="8" t="str">
        <x:v>Top5 positions, including feature children; not a full SERP or live manual test</x:v>
      </x:c>
    </x:row>
    <x:row r="14" ht="48" customHeight="1">
      <x:c r="A14" s="9" t="str">
        <x:v>serp-GB-10</x:v>
      </x:c>
      <x:c r="B14" s="9" t="str">
        <x:v>Google</x:v>
      </x:c>
      <x:c r="C14" s="9" t="str">
        <x:v>GB</x:v>
      </x:c>
      <x:c r="D14" s="9" t="str">
        <x:v>car rental in naxos</x:v>
      </x:c>
      <x:c r="E14" s="9" t="n">
        <x:v>5</x:v>
      </x:c>
      <x:c r="F14" s="9" t="str">
        <x:v>question</x:v>
      </x:c>
      <x:c r="G14" s="9" t="str">
        <x:v>How do tourists get around Naxos?</x:v>
      </x:c>
      <x:c r="H14" s="11"/>
      <x:c r="I14" s="9"/>
      <x:c r="J14" s="9" t="n">
        <x:v>46288.68021990741</x:v>
      </x:c>
      <x:c r="K14" s="9" t="n">
        <x:v>46289.740337013885</x:v>
      </x:c>
      <x:c r="L14" s="9" t="str">
        <x:v>serp-GB</x:v>
      </x:c>
      <x:c r="M14" s="9" t="str">
        <x:v>OBSERVED</x:v>
      </x:c>
      <x:c r="N14" s="9" t="str">
        <x:v>VENDOR ESTIMATE</x:v>
      </x:c>
      <x:c r="O14" s="9" t="str">
        <x:v>Top5 positions, including feature children; not a full SERP or live manual test</x:v>
      </x:c>
    </x:row>
    <x:row r="15" ht="48" customHeight="1">
      <x:c r="A15" s="8" t="str">
        <x:v>serp-IT-1</x:v>
      </x:c>
      <x:c r="B15" s="8" t="str">
        <x:v>Google</x:v>
      </x:c>
      <x:c r="C15" s="8" t="str">
        <x:v>IT</x:v>
      </x:c>
      <x:c r="D15" s="8" t="str">
        <x:v>noleggio auto naxos</x:v>
      </x:c>
      <x:c r="E15" s="8" t="n">
        <x:v>1</x:v>
      </x:c>
      <x:c r="F15" s="8" t="str">
        <x:v>local_pack</x:v>
      </x:c>
      <x:c r="G15" s="8" t="str">
        <x:v>Konstantakis, J. "New Car"</x:v>
      </x:c>
      <x:c r="H15" s="10"/>
      <x:c r="I15" s="8"/>
      <x:c r="J15" s="8" t="n">
        <x:v>46282.936840277776</x:v>
      </x:c>
      <x:c r="K15" s="8" t="n">
        <x:v>46289.740337222225</x:v>
      </x:c>
      <x:c r="L15" s="8" t="str">
        <x:v>serp-IT</x:v>
      </x:c>
      <x:c r="M15" s="8" t="str">
        <x:v>OBSERVED</x:v>
      </x:c>
      <x:c r="N15" s="8" t="str">
        <x:v>VENDOR ESTIMATE</x:v>
      </x:c>
      <x:c r="O15" s="8" t="str">
        <x:v>Top5 positions, including feature children; not a full SERP or live manual test</x:v>
      </x:c>
    </x:row>
    <x:row r="16" ht="48" customHeight="1">
      <x:c r="A16" s="9" t="str">
        <x:v>serp-IT-2</x:v>
      </x:c>
      <x:c r="B16" s="9" t="str">
        <x:v>Google</x:v>
      </x:c>
      <x:c r="C16" s="9" t="str">
        <x:v>IT</x:v>
      </x:c>
      <x:c r="D16" s="9" t="str">
        <x:v>noleggio auto naxos</x:v>
      </x:c>
      <x:c r="E16" s="9" t="n">
        <x:v>1</x:v>
      </x:c>
      <x:c r="F16" s="9" t="str">
        <x:v>local_pack</x:v>
      </x:c>
      <x:c r="G16" s="9" t="str">
        <x:v>Naxos Rent a Car - Naction</x:v>
      </x:c>
      <x:c r="H16" s="11"/>
      <x:c r="I16" s="9"/>
      <x:c r="J16" s="9" t="n">
        <x:v>46282.936840277776</x:v>
      </x:c>
      <x:c r="K16" s="9" t="n">
        <x:v>46289.740337222225</x:v>
      </x:c>
      <x:c r="L16" s="9" t="str">
        <x:v>serp-IT</x:v>
      </x:c>
      <x:c r="M16" s="9" t="str">
        <x:v>OBSERVED</x:v>
      </x:c>
      <x:c r="N16" s="9" t="str">
        <x:v>VENDOR ESTIMATE</x:v>
      </x:c>
      <x:c r="O16" s="9" t="str">
        <x:v>Top5 positions, including feature children; not a full SERP or live manual test</x:v>
      </x:c>
    </x:row>
    <x:row r="17" ht="48" customHeight="1">
      <x:c r="A17" s="8" t="str">
        <x:v>serp-IT-3</x:v>
      </x:c>
      <x:c r="B17" s="8" t="str">
        <x:v>Google</x:v>
      </x:c>
      <x:c r="C17" s="8" t="str">
        <x:v>IT</x:v>
      </x:c>
      <x:c r="D17" s="8" t="str">
        <x:v>noleggio auto naxos</x:v>
      </x:c>
      <x:c r="E17" s="8" t="n">
        <x:v>1</x:v>
      </x:c>
      <x:c r="F17" s="8" t="str">
        <x:v>local_pack</x:v>
      </x:c>
      <x:c r="G17" s="8" t="str">
        <x:v>Drivingspot Naxos ( Superior Rental Solutions)</x:v>
      </x:c>
      <x:c r="H17" s="10"/>
      <x:c r="I17" s="8"/>
      <x:c r="J17" s="8" t="n">
        <x:v>46282.936840277776</x:v>
      </x:c>
      <x:c r="K17" s="8" t="n">
        <x:v>46289.740337222225</x:v>
      </x:c>
      <x:c r="L17" s="8" t="str">
        <x:v>serp-IT</x:v>
      </x:c>
      <x:c r="M17" s="8" t="str">
        <x:v>OBSERVED</x:v>
      </x:c>
      <x:c r="N17" s="8" t="str">
        <x:v>VENDOR ESTIMATE</x:v>
      </x:c>
      <x:c r="O17" s="8" t="str">
        <x:v>Top5 positions, including feature children; not a full SERP or live manual test</x:v>
      </x:c>
    </x:row>
    <x:row r="18" ht="48" customHeight="1">
      <x:c r="A18" s="9" t="str">
        <x:v>serp-IT-4</x:v>
      </x:c>
      <x:c r="B18" s="9" t="str">
        <x:v>Google</x:v>
      </x:c>
      <x:c r="C18" s="9" t="str">
        <x:v>IT</x:v>
      </x:c>
      <x:c r="D18" s="9" t="str">
        <x:v>noleggio auto naxos</x:v>
      </x:c>
      <x:c r="E18" s="9" t="n">
        <x:v>2</x:v>
      </x:c>
      <x:c r="F18" s="9" t="str">
        <x:v>organic</x:v>
      </x:c>
      <x:c r="G18" s="9" t="str">
        <x:v>Noleggio auto a Naxos da 25 €/gg - Cerca autonoleggio su ...</x:v>
      </x:c>
      <x:c r="H18" s="11" t="str">
        <x:v>https://www.kayak.it/Autonoleggi-economici-Naxos.18102.cars.ksp</x:v>
      </x:c>
      <x:c r="I18" s="9" t="str">
        <x:v>/Listing_Collection,/Listing_Collection/Product</x:v>
      </x:c>
      <x:c r="J18" s="9" t="n">
        <x:v>46282.936840277776</x:v>
      </x:c>
      <x:c r="K18" s="9" t="n">
        <x:v>46289.740337222225</x:v>
      </x:c>
      <x:c r="L18" s="9" t="str">
        <x:v>serp-IT</x:v>
      </x:c>
      <x:c r="M18" s="9" t="str">
        <x:v>OBSERVED</x:v>
      </x:c>
      <x:c r="N18" s="9" t="str">
        <x:v>VENDOR ESTIMATE</x:v>
      </x:c>
      <x:c r="O18" s="9" t="str">
        <x:v>Top5 positions, including feature children; not a full SERP or live manual test</x:v>
      </x:c>
    </x:row>
    <x:row r="19" ht="48" customHeight="1">
      <x:c r="A19" s="8" t="str">
        <x:v>serp-IT-5</x:v>
      </x:c>
      <x:c r="B19" s="8" t="str">
        <x:v>Google</x:v>
      </x:c>
      <x:c r="C19" s="8" t="str">
        <x:v>IT</x:v>
      </x:c>
      <x:c r="D19" s="8" t="str">
        <x:v>noleggio auto naxos</x:v>
      </x:c>
      <x:c r="E19" s="8" t="n">
        <x:v>3</x:v>
      </x:c>
      <x:c r="F19" s="8" t="str">
        <x:v>organic</x:v>
      </x:c>
      <x:c r="G19" s="8" t="str">
        <x:v>Noleggio auto Νάξος</x:v>
      </x:c>
      <x:c r="H19" s="10" t="str">
        <x:v>https://www.europcar.it/it-it/places/noleggio-auto-greece/naxos</x:v>
      </x:c>
      <x:c r="I19" s="8" t="str">
        <x:v>/Landing_Page,/Landing_Page/Location_Page</x:v>
      </x:c>
      <x:c r="J19" s="8" t="n">
        <x:v>46282.936840277776</x:v>
      </x:c>
      <x:c r="K19" s="8" t="n">
        <x:v>46289.740337222225</x:v>
      </x:c>
      <x:c r="L19" s="8" t="str">
        <x:v>serp-IT</x:v>
      </x:c>
      <x:c r="M19" s="8" t="str">
        <x:v>OBSERVED</x:v>
      </x:c>
      <x:c r="N19" s="8" t="str">
        <x:v>VENDOR ESTIMATE</x:v>
      </x:c>
      <x:c r="O19" s="8" t="str">
        <x:v>Top5 positions, including feature children; not a full SERP or live manual test</x:v>
      </x:c>
    </x:row>
    <x:row r="20" ht="48" customHeight="1">
      <x:c r="A20" s="9" t="str">
        <x:v>serp-IT-6</x:v>
      </x:c>
      <x:c r="B20" s="9" t="str">
        <x:v>Google</x:v>
      </x:c>
      <x:c r="C20" s="9" t="str">
        <x:v>IT</x:v>
      </x:c>
      <x:c r="D20" s="9" t="str">
        <x:v>noleggio auto naxos</x:v>
      </x:c>
      <x:c r="E20" s="9" t="n">
        <x:v>4</x:v>
      </x:c>
      <x:c r="F20" s="9" t="str">
        <x:v>organic</x:v>
      </x:c>
      <x:c r="G20" s="9" t="str">
        <x:v>Noleggio Auto a Isola di Naxos, Grecia</x:v>
      </x:c>
      <x:c r="H20" s="11" t="str">
        <x:v>https://www.avisautonoleggio.it/guida-con-avis/localit%C3%A0-noleggio-auto/europa/grecia/isola-naxos</x:v>
      </x:c>
      <x:c r="I20" s="9" t="str">
        <x:v>/Landing_Page,/Landing_Page/Service_Page</x:v>
      </x:c>
      <x:c r="J20" s="9" t="n">
        <x:v>46282.936840277776</x:v>
      </x:c>
      <x:c r="K20" s="9" t="n">
        <x:v>46289.740337222225</x:v>
      </x:c>
      <x:c r="L20" s="9" t="str">
        <x:v>serp-IT</x:v>
      </x:c>
      <x:c r="M20" s="9" t="str">
        <x:v>OBSERVED</x:v>
      </x:c>
      <x:c r="N20" s="9" t="str">
        <x:v>VENDOR ESTIMATE</x:v>
      </x:c>
      <x:c r="O20" s="9" t="str">
        <x:v>Top5 positions, including feature children; not a full SERP or live manual test</x:v>
      </x:c>
    </x:row>
    <x:row r="21" ht="48" customHeight="1">
      <x:c r="A21" s="8" t="str">
        <x:v>serp-IT-7</x:v>
      </x:c>
      <x:c r="B21" s="8" t="str">
        <x:v>Google</x:v>
      </x:c>
      <x:c r="C21" s="8" t="str">
        <x:v>IT</x:v>
      </x:c>
      <x:c r="D21" s="8" t="str">
        <x:v>noleggio auto naxos</x:v>
      </x:c>
      <x:c r="E21" s="8" t="n">
        <x:v>5</x:v>
      </x:c>
      <x:c r="F21" s="8" t="str">
        <x:v>organic</x:v>
      </x:c>
      <x:c r="G21" s="8" t="str">
        <x:v>Noleggio auto al porto di Naxos da 14€/g.</x:v>
      </x:c>
      <x:c r="H21" s="10" t="str">
        <x:v>https://www.discovercars.com/it/greece/naxos/naxos-port</x:v>
      </x:c>
      <x:c r="I21" s="8" t="str">
        <x:v>/Landing_Page,/Landing_Page/Service_Page</x:v>
      </x:c>
      <x:c r="J21" s="8" t="n">
        <x:v>46282.936840277776</x:v>
      </x:c>
      <x:c r="K21" s="8" t="n">
        <x:v>46289.740337222225</x:v>
      </x:c>
      <x:c r="L21" s="8" t="str">
        <x:v>serp-IT</x:v>
      </x:c>
      <x:c r="M21" s="8" t="str">
        <x:v>OBSERVED</x:v>
      </x:c>
      <x:c r="N21" s="8" t="str">
        <x:v>VENDOR ESTIMATE</x:v>
      </x:c>
      <x:c r="O21" s="8" t="str">
        <x:v>Top5 positions, including feature children; not a full SERP or live manual test</x:v>
      </x:c>
    </x:row>
    <x:row r="22" ht="48" customHeight="1">
      <x:c r="A22" s="9" t="str">
        <x:v>serp-DE-1</x:v>
      </x:c>
      <x:c r="B22" s="9" t="str">
        <x:v>Google</x:v>
      </x:c>
      <x:c r="C22" s="9" t="str">
        <x:v>DE</x:v>
      </x:c>
      <x:c r="D22" s="9" t="str">
        <x:v>mietwagen naxos</x:v>
      </x:c>
      <x:c r="E22" s="9" t="n">
        <x:v>1</x:v>
      </x:c>
      <x:c r="F22" s="9" t="str">
        <x:v>organic</x:v>
      </x:c>
      <x:c r="G22" s="9" t="str">
        <x:v>Mietwagen ab Naxos Hafen buchen - Sunny Cars</x:v>
      </x:c>
      <x:c r="H22" s="11" t="str">
        <x:v>https://www.sunnycars.de/mietwagen/naxos-hafen/</x:v>
      </x:c>
      <x:c r="I22" s="9" t="str">
        <x:v>/Landing_Page,/Landing_Page/Service_Page</x:v>
      </x:c>
      <x:c r="J22" s="9" t="n">
        <x:v>46258.35288194445</x:v>
      </x:c>
      <x:c r="K22" s="9" t="n">
        <x:v>46289.740337256946</x:v>
      </x:c>
      <x:c r="L22" s="9" t="str">
        <x:v>serp-DE</x:v>
      </x:c>
      <x:c r="M22" s="9" t="str">
        <x:v>OBSERVED</x:v>
      </x:c>
      <x:c r="N22" s="9" t="str">
        <x:v>VENDOR ESTIMATE</x:v>
      </x:c>
      <x:c r="O22" s="9" t="str">
        <x:v>Top5 positions, including feature children; not a full SERP or live manual test</x:v>
      </x:c>
    </x:row>
    <x:row r="23" ht="48" customHeight="1">
      <x:c r="A23" s="8" t="str">
        <x:v>serp-DE-2</x:v>
      </x:c>
      <x:c r="B23" s="8" t="str">
        <x:v>Google</x:v>
      </x:c>
      <x:c r="C23" s="8" t="str">
        <x:v>DE</x:v>
      </x:c>
      <x:c r="D23" s="8" t="str">
        <x:v>mietwagen naxos</x:v>
      </x:c>
      <x:c r="E23" s="8" t="n">
        <x:v>2</x:v>
      </x:c>
      <x:c r="F23" s="8" t="str">
        <x:v>organic</x:v>
      </x:c>
      <x:c r="G23" s="8" t="str">
        <x:v>ᐅ Mietwagen auf Naxos ab 8,58 € vergleichen</x:v>
      </x:c>
      <x:c r="H23" s="10" t="str">
        <x:v>https://mietwagen.check24.de/mietwagen/griechenland/naxos</x:v>
      </x:c>
      <x:c r="I23" s="8" t="str">
        <x:v>/Landing_Page,/Landing_Page/Service_Page</x:v>
      </x:c>
      <x:c r="J23" s="8" t="n">
        <x:v>46258.35288194445</x:v>
      </x:c>
      <x:c r="K23" s="8" t="n">
        <x:v>46289.740337256946</x:v>
      </x:c>
      <x:c r="L23" s="8" t="str">
        <x:v>serp-DE</x:v>
      </x:c>
      <x:c r="M23" s="8" t="str">
        <x:v>OBSERVED</x:v>
      </x:c>
      <x:c r="N23" s="8" t="str">
        <x:v>VENDOR ESTIMATE</x:v>
      </x:c>
      <x:c r="O23" s="8" t="str">
        <x:v>Top5 positions, including feature children; not a full SERP or live manual test</x:v>
      </x:c>
    </x:row>
    <x:row r="24" ht="48" customHeight="1">
      <x:c r="A24" s="9" t="str">
        <x:v>serp-DE-3</x:v>
      </x:c>
      <x:c r="B24" s="9" t="str">
        <x:v>Google</x:v>
      </x:c>
      <x:c r="C24" s="9" t="str">
        <x:v>DE</x:v>
      </x:c>
      <x:c r="D24" s="9" t="str">
        <x:v>mietwagen naxos</x:v>
      </x:c>
      <x:c r="E24" s="9" t="n">
        <x:v>3</x:v>
      </x:c>
      <x:c r="F24" s="9" t="str">
        <x:v>organic</x:v>
      </x:c>
      <x:c r="G24" s="9" t="str">
        <x:v>Mietwagen in Νάξος</x:v>
      </x:c>
      <x:c r="H24" s="11" t="str">
        <x:v>https://www.europcar.de/de-de/places/autovermietung-greece/naxos</x:v>
      </x:c>
      <x:c r="I24" s="9" t="str">
        <x:v>/Landing_Page,/Landing_Page/Location_Page</x:v>
      </x:c>
      <x:c r="J24" s="9" t="n">
        <x:v>46258.35288194445</x:v>
      </x:c>
      <x:c r="K24" s="9" t="n">
        <x:v>46289.740337256946</x:v>
      </x:c>
      <x:c r="L24" s="9" t="str">
        <x:v>serp-DE</x:v>
      </x:c>
      <x:c r="M24" s="9" t="str">
        <x:v>OBSERVED</x:v>
      </x:c>
      <x:c r="N24" s="9" t="str">
        <x:v>VENDOR ESTIMATE</x:v>
      </x:c>
      <x:c r="O24" s="9" t="str">
        <x:v>Top5 positions, including feature children; not a full SERP or live manual test</x:v>
      </x:c>
    </x:row>
    <x:row r="25" ht="48" customHeight="1">
      <x:c r="A25" s="8" t="str">
        <x:v>serp-DE-4</x:v>
      </x:c>
      <x:c r="B25" s="8" t="str">
        <x:v>Google</x:v>
      </x:c>
      <x:c r="C25" s="8" t="str">
        <x:v>DE</x:v>
      </x:c>
      <x:c r="D25" s="8" t="str">
        <x:v>mietwagen naxos</x:v>
      </x:c>
      <x:c r="E25" s="8" t="n">
        <x:v>4</x:v>
      </x:c>
      <x:c r="F25" s="8" t="str">
        <x:v>organic</x:v>
      </x:c>
      <x:c r="G25" s="8" t="str">
        <x:v>Mietwagen Naxos</x:v>
      </x:c>
      <x:c r="H25" s="10" t="str">
        <x:v>https://www.hertz.gr/de/autovermietung/netz-sehenswuerdigkeiten-und-routen/naxos/</x:v>
      </x:c>
      <x:c r="I25" s="8" t="str">
        <x:v>/Landing_Page,/Landing_Page/Service_Page</x:v>
      </x:c>
      <x:c r="J25" s="8" t="n">
        <x:v>46258.35288194445</x:v>
      </x:c>
      <x:c r="K25" s="8" t="n">
        <x:v>46289.740337256946</x:v>
      </x:c>
      <x:c r="L25" s="8" t="str">
        <x:v>serp-DE</x:v>
      </x:c>
      <x:c r="M25" s="8" t="str">
        <x:v>OBSERVED</x:v>
      </x:c>
      <x:c r="N25" s="8" t="str">
        <x:v>VENDOR ESTIMATE</x:v>
      </x:c>
      <x:c r="O25" s="8" t="str">
        <x:v>Top5 positions, including feature children; not a full SERP or live manual test</x:v>
      </x:c>
    </x:row>
    <x:row r="26" ht="48" customHeight="1">
      <x:c r="A26" s="9" t="str">
        <x:v>serp-DE-5</x:v>
      </x:c>
      <x:c r="B26" s="9" t="str">
        <x:v>Google</x:v>
      </x:c>
      <x:c r="C26" s="9" t="str">
        <x:v>DE</x:v>
      </x:c>
      <x:c r="D26" s="9" t="str">
        <x:v>mietwagen naxos</x:v>
      </x:c>
      <x:c r="E26" s="9" t="n">
        <x:v>5</x:v>
      </x:c>
      <x:c r="F26" s="9" t="str">
        <x:v>ai_overview</x:v>
      </x:c>
      <x:c r="G26" s="9"/>
      <x:c r="H26" s="11"/>
      <x:c r="I26" s="9"/>
      <x:c r="J26" s="9" t="n">
        <x:v>46258.35288194445</x:v>
      </x:c>
      <x:c r="K26" s="9" t="n">
        <x:v>46289.740337256946</x:v>
      </x:c>
      <x:c r="L26" s="9" t="str">
        <x:v>serp-DE</x:v>
      </x:c>
      <x:c r="M26" s="9" t="str">
        <x:v>OBSERVED</x:v>
      </x:c>
      <x:c r="N26" s="9" t="str">
        <x:v>VENDOR ESTIMATE</x:v>
      </x:c>
      <x:c r="O26" s="9" t="str">
        <x:v>Top5 positions, including feature children; not a full SERP or live manual test</x:v>
      </x:c>
    </x:row>
    <x:row r="27" ht="48" customHeight="1">
      <x:c r="A27" s="8" t="str">
        <x:v>serp-DE-6</x:v>
      </x:c>
      <x:c r="B27" s="8" t="str">
        <x:v>Google</x:v>
      </x:c>
      <x:c r="C27" s="8" t="str">
        <x:v>DE</x:v>
      </x:c>
      <x:c r="D27" s="8" t="str">
        <x:v>mietwagen naxos</x:v>
      </x:c>
      <x:c r="E27" s="8" t="n">
        <x:v>5</x:v>
      </x:c>
      <x:c r="F27" s="8" t="str">
        <x:v>ai_overview_sitelink, image_th</x:v>
      </x:c>
      <x:c r="G27" s="8" t="str">
        <x:v>CHECK24 Mietwagen Vergleich</x:v>
      </x:c>
      <x:c r="H27" s="10" t="str">
        <x:v>https://mietwagen.check24.de/mietwagen/griechenland/naxos</x:v>
      </x:c>
      <x:c r="I27" s="8"/>
      <x:c r="J27" s="8" t="n">
        <x:v>46258.35288194445</x:v>
      </x:c>
      <x:c r="K27" s="8" t="n">
        <x:v>46289.740337256946</x:v>
      </x:c>
      <x:c r="L27" s="8" t="str">
        <x:v>serp-DE</x:v>
      </x:c>
      <x:c r="M27" s="8" t="str">
        <x:v>OBSERVED</x:v>
      </x:c>
      <x:c r="N27" s="8" t="str">
        <x:v>VENDOR ESTIMATE</x:v>
      </x:c>
      <x:c r="O27" s="8" t="str">
        <x:v>Top5 positions, including feature children; not a full SERP or live manual test</x:v>
      </x:c>
    </x:row>
    <x:row r="28" ht="48" customHeight="1">
      <x:c r="A28" s="9" t="str">
        <x:v>serp-DE-7</x:v>
      </x:c>
      <x:c r="B28" s="9" t="str">
        <x:v>Google</x:v>
      </x:c>
      <x:c r="C28" s="9" t="str">
        <x:v>DE</x:v>
      </x:c>
      <x:c r="D28" s="9" t="str">
        <x:v>mietwagen naxos</x:v>
      </x:c>
      <x:c r="E28" s="9" t="n">
        <x:v>5</x:v>
      </x:c>
      <x:c r="F28" s="9" t="str">
        <x:v>ai_overview_sitelink</x:v>
      </x:c>
      <x:c r="G28" s="9" t="str">
        <x:v>www.sunnycars.de</x:v>
      </x:c>
      <x:c r="H28" s="11" t="str">
        <x:v>https://www.sunnycars.de/mietwagen/naxos-hafen/</x:v>
      </x:c>
      <x:c r="I28" s="9"/>
      <x:c r="J28" s="9" t="n">
        <x:v>46258.35288194445</x:v>
      </x:c>
      <x:c r="K28" s="9" t="n">
        <x:v>46289.740337256946</x:v>
      </x:c>
      <x:c r="L28" s="9" t="str">
        <x:v>serp-DE</x:v>
      </x:c>
      <x:c r="M28" s="9" t="str">
        <x:v>OBSERVED</x:v>
      </x:c>
      <x:c r="N28" s="9" t="str">
        <x:v>VENDOR ESTIMATE</x:v>
      </x:c>
      <x:c r="O28" s="9" t="str">
        <x:v>Top5 positions, including feature children; not a full SERP or live manual test</x:v>
      </x:c>
    </x:row>
    <x:row r="29" ht="48" customHeight="1">
      <x:c r="A29" s="8" t="str">
        <x:v>serp-DE-8</x:v>
      </x:c>
      <x:c r="B29" s="8" t="str">
        <x:v>Google</x:v>
      </x:c>
      <x:c r="C29" s="8" t="str">
        <x:v>DE</x:v>
      </x:c>
      <x:c r="D29" s="8" t="str">
        <x:v>mietwagen naxos</x:v>
      </x:c>
      <x:c r="E29" s="8" t="n">
        <x:v>5</x:v>
      </x:c>
      <x:c r="F29" s="8" t="str">
        <x:v>ai_overview_sitelink, image_th</x:v>
      </x:c>
      <x:c r="G29" s="8" t="str">
        <x:v>Booking.com</x:v>
      </x:c>
      <x:c r="H29" s="10" t="str">
        <x:v>https://www.booking.com/cars/city/gr/naxos.de.html</x:v>
      </x:c>
      <x:c r="I29" s="8"/>
      <x:c r="J29" s="8" t="n">
        <x:v>46258.35288194445</x:v>
      </x:c>
      <x:c r="K29" s="8" t="n">
        <x:v>46289.740337256946</x:v>
      </x:c>
      <x:c r="L29" s="8" t="str">
        <x:v>serp-DE</x:v>
      </x:c>
      <x:c r="M29" s="8" t="str">
        <x:v>OBSERVED</x:v>
      </x:c>
      <x:c r="N29" s="8" t="str">
        <x:v>VENDOR ESTIMATE</x:v>
      </x:c>
      <x:c r="O29" s="8" t="str">
        <x:v>Top5 positions, including feature children; not a full SERP or live manual test</x:v>
      </x:c>
    </x:row>
    <x:row r="30" ht="48" customHeight="1">
      <x:c r="A30" s="9" t="str">
        <x:v>serp-DE-9</x:v>
      </x:c>
      <x:c r="B30" s="9" t="str">
        <x:v>Google</x:v>
      </x:c>
      <x:c r="C30" s="9" t="str">
        <x:v>DE</x:v>
      </x:c>
      <x:c r="D30" s="9" t="str">
        <x:v>mietwagen naxos</x:v>
      </x:c>
      <x:c r="E30" s="9" t="n">
        <x:v>5</x:v>
      </x:c>
      <x:c r="F30" s="9" t="str">
        <x:v>ai_overview_sitelink, image_th</x:v>
      </x:c>
      <x:c r="G30" s="9" t="str">
        <x:v>www.mietwagen-check.de</x:v>
      </x:c>
      <x:c r="H30" s="11" t="str">
        <x:v>https://www.mietwagen-check.de/mietwagen-Naxos-Stadt-18997.html</x:v>
      </x:c>
      <x:c r="I30" s="9"/>
      <x:c r="J30" s="9" t="n">
        <x:v>46258.35288194445</x:v>
      </x:c>
      <x:c r="K30" s="9" t="n">
        <x:v>46289.740337256946</x:v>
      </x:c>
      <x:c r="L30" s="9" t="str">
        <x:v>serp-DE</x:v>
      </x:c>
      <x:c r="M30" s="9" t="str">
        <x:v>OBSERVED</x:v>
      </x:c>
      <x:c r="N30" s="9" t="str">
        <x:v>VENDOR ESTIMATE</x:v>
      </x:c>
      <x:c r="O30" s="9" t="str">
        <x:v>Top5 positions, including feature children; not a full SERP or live manual test</x:v>
      </x:c>
    </x:row>
    <x:row r="31" ht="48" customHeight="1">
      <x:c r="A31" s="8" t="str">
        <x:v>serp-DE-10</x:v>
      </x:c>
      <x:c r="B31" s="8" t="str">
        <x:v>Google</x:v>
      </x:c>
      <x:c r="C31" s="8" t="str">
        <x:v>DE</x:v>
      </x:c>
      <x:c r="D31" s="8" t="str">
        <x:v>mietwagen naxos</x:v>
      </x:c>
      <x:c r="E31" s="8" t="n">
        <x:v>5</x:v>
      </x:c>
      <x:c r="F31" s="8" t="str">
        <x:v>ai_overview_sitelink, image_th</x:v>
      </x:c>
      <x:c r="G31" s="8" t="str">
        <x:v>Hertz</x:v>
      </x:c>
      <x:c r="H31" s="10" t="str">
        <x:v>https://www.hertz.gr/de/autovermietung/netz-sehenswuerdigkeiten-und-routen/naxos/</x:v>
      </x:c>
      <x:c r="I31" s="8"/>
      <x:c r="J31" s="8" t="n">
        <x:v>46258.35288194445</x:v>
      </x:c>
      <x:c r="K31" s="8" t="n">
        <x:v>46289.740337256946</x:v>
      </x:c>
      <x:c r="L31" s="8" t="str">
        <x:v>serp-DE</x:v>
      </x:c>
      <x:c r="M31" s="8" t="str">
        <x:v>OBSERVED</x:v>
      </x:c>
      <x:c r="N31" s="8" t="str">
        <x:v>VENDOR ESTIMATE</x:v>
      </x:c>
      <x:c r="O31" s="8" t="str">
        <x:v>Top5 positions, including feature children; not a full SERP or live manual test</x:v>
      </x:c>
    </x:row>
    <x:row r="32" ht="48" customHeight="1">
      <x:c r="A32" s="9" t="str">
        <x:v>serp-DE-11</x:v>
      </x:c>
      <x:c r="B32" s="9" t="str">
        <x:v>Google</x:v>
      </x:c>
      <x:c r="C32" s="9" t="str">
        <x:v>DE</x:v>
      </x:c>
      <x:c r="D32" s="9" t="str">
        <x:v>mietwagen naxos</x:v>
      </x:c>
      <x:c r="E32" s="9" t="n">
        <x:v>5</x:v>
      </x:c>
      <x:c r="F32" s="9" t="str">
        <x:v>ai_overview_sitelink, image_th</x:v>
      </x:c>
      <x:c r="G32" s="9" t="str">
        <x:v>KAYAK</x:v>
      </x:c>
      <x:c r="H32" s="11" t="str">
        <x:v>https://www.kayak.de/Guenstige-Mietwagen-in-Naxos.18102.cars.ksp</x:v>
      </x:c>
      <x:c r="I32" s="9"/>
      <x:c r="J32" s="9" t="n">
        <x:v>46258.35288194445</x:v>
      </x:c>
      <x:c r="K32" s="9" t="n">
        <x:v>46289.740337256946</x:v>
      </x:c>
      <x:c r="L32" s="9" t="str">
        <x:v>serp-DE</x:v>
      </x:c>
      <x:c r="M32" s="9" t="str">
        <x:v>OBSERVED</x:v>
      </x:c>
      <x:c r="N32" s="9" t="str">
        <x:v>VENDOR ESTIMATE</x:v>
      </x:c>
      <x:c r="O32" s="9" t="str">
        <x:v>Top5 positions, including feature children; not a full SERP or live manual test</x:v>
      </x:c>
    </x:row>
    <x:row r="33" ht="48" customHeight="1">
      <x:c r="A33" s="8" t="str">
        <x:v>serp-DE-12</x:v>
      </x:c>
      <x:c r="B33" s="8" t="str">
        <x:v>Google</x:v>
      </x:c>
      <x:c r="C33" s="8" t="str">
        <x:v>DE</x:v>
      </x:c>
      <x:c r="D33" s="8" t="str">
        <x:v>mietwagen naxos</x:v>
      </x:c>
      <x:c r="E33" s="8" t="n">
        <x:v>5</x:v>
      </x:c>
      <x:c r="F33" s="8" t="str">
        <x:v>ai_overview_sitelink, image_th</x:v>
      </x:c>
      <x:c r="G33" s="8" t="str">
        <x:v>www.sunnycars.de</x:v>
      </x:c>
      <x:c r="H33" s="10" t="str">
        <x:v>https://www.sunnycars.de/mietwagen/griechenland/</x:v>
      </x:c>
      <x:c r="I33" s="8"/>
      <x:c r="J33" s="8" t="n">
        <x:v>46258.35288194445</x:v>
      </x:c>
      <x:c r="K33" s="8" t="n">
        <x:v>46289.740337256946</x:v>
      </x:c>
      <x:c r="L33" s="8" t="str">
        <x:v>serp-DE</x:v>
      </x:c>
      <x:c r="M33" s="8" t="str">
        <x:v>OBSERVED</x:v>
      </x:c>
      <x:c r="N33" s="8" t="str">
        <x:v>VENDOR ESTIMATE</x:v>
      </x:c>
      <x:c r="O33" s="8" t="str">
        <x:v>Top5 positions, including feature children; not a full SERP or live manual test</x:v>
      </x:c>
    </x:row>
    <x:row r="34" ht="48" customHeight="1">
      <x:c r="A34" s="9" t="str">
        <x:v>serp-DE-13</x:v>
      </x:c>
      <x:c r="B34" s="9" t="str">
        <x:v>Google</x:v>
      </x:c>
      <x:c r="C34" s="9" t="str">
        <x:v>DE</x:v>
      </x:c>
      <x:c r="D34" s="9" t="str">
        <x:v>mietwagen naxos</x:v>
      </x:c>
      <x:c r="E34" s="9" t="n">
        <x:v>5</x:v>
      </x:c>
      <x:c r="F34" s="9" t="str">
        <x:v>ai_overview_sitelink, image_th</x:v>
      </x:c>
      <x:c r="G34" s="9" t="str">
        <x:v>YouTube·Stefano Ferro</x:v>
      </x:c>
      <x:c r="H34" s="11" t="str">
        <x:v>https://www.youtube.com/watch?v=3Wu9gMqz5RI</x:v>
      </x:c>
      <x:c r="I34" s="9"/>
      <x:c r="J34" s="9" t="n">
        <x:v>46258.35288194445</x:v>
      </x:c>
      <x:c r="K34" s="9" t="n">
        <x:v>46289.740337256946</x:v>
      </x:c>
      <x:c r="L34" s="9" t="str">
        <x:v>serp-DE</x:v>
      </x:c>
      <x:c r="M34" s="9" t="str">
        <x:v>OBSERVED</x:v>
      </x:c>
      <x:c r="N34" s="9" t="str">
        <x:v>VENDOR ESTIMATE</x:v>
      </x:c>
      <x:c r="O34" s="9" t="str">
        <x:v>Top5 positions, including feature children; not a full SERP or live manual test</x:v>
      </x:c>
    </x:row>
    <x:row r="35" ht="48" customHeight="1">
      <x:c r="A35" s="8" t="str">
        <x:v>serp-GR-1</x:v>
      </x:c>
      <x:c r="B35" s="8" t="str">
        <x:v>Google</x:v>
      </x:c>
      <x:c r="C35" s="8" t="str">
        <x:v>GR</x:v>
      </x:c>
      <x:c r="D35" s="8" t="str">
        <x:v>ενοικιαση αυτοκινητου ναξος</x:v>
      </x:c>
      <x:c r="E35" s="8" t="n">
        <x:v>1</x:v>
      </x:c>
      <x:c r="F35" s="8" t="str">
        <x:v>local_pack</x:v>
      </x:c>
      <x:c r="G35" s="8" t="str">
        <x:v>Naxos Rent a Car - Naction</x:v>
      </x:c>
      <x:c r="H35" s="10"/>
      <x:c r="I35" s="8"/>
      <x:c r="J35" s="8" t="n">
        <x:v>46277.64871527778</x:v>
      </x:c>
      <x:c r="K35" s="8" t="n">
        <x:v>46289.74033726852</x:v>
      </x:c>
      <x:c r="L35" s="8" t="str">
        <x:v>serp-GR</x:v>
      </x:c>
      <x:c r="M35" s="8" t="str">
        <x:v>OBSERVED</x:v>
      </x:c>
      <x:c r="N35" s="8" t="str">
        <x:v>VENDOR ESTIMATE</x:v>
      </x:c>
      <x:c r="O35" s="8" t="str">
        <x:v>Top5 positions, including feature children; not a full SERP or live manual test</x:v>
      </x:c>
    </x:row>
    <x:row r="36" ht="48" customHeight="1">
      <x:c r="A36" s="9" t="str">
        <x:v>serp-GR-2</x:v>
      </x:c>
      <x:c r="B36" s="9" t="str">
        <x:v>Google</x:v>
      </x:c>
      <x:c r="C36" s="9" t="str">
        <x:v>GR</x:v>
      </x:c>
      <x:c r="D36" s="9" t="str">
        <x:v>ενοικιαση αυτοκινητου ναξος</x:v>
      </x:c>
      <x:c r="E36" s="9" t="n">
        <x:v>1</x:v>
      </x:c>
      <x:c r="F36" s="9" t="str">
        <x:v>local_pack</x:v>
      </x:c>
      <x:c r="G36" s="9" t="str">
        <x:v>Enjoy Naxos Car (Rent A Car)</x:v>
      </x:c>
      <x:c r="H36" s="11"/>
      <x:c r="I36" s="9"/>
      <x:c r="J36" s="9" t="n">
        <x:v>46277.64871527778</x:v>
      </x:c>
      <x:c r="K36" s="9" t="n">
        <x:v>46289.74033726852</x:v>
      </x:c>
      <x:c r="L36" s="9" t="str">
        <x:v>serp-GR</x:v>
      </x:c>
      <x:c r="M36" s="9" t="str">
        <x:v>OBSERVED</x:v>
      </x:c>
      <x:c r="N36" s="9" t="str">
        <x:v>VENDOR ESTIMATE</x:v>
      </x:c>
      <x:c r="O36" s="9" t="str">
        <x:v>Top5 positions, including feature children; not a full SERP or live manual test</x:v>
      </x:c>
    </x:row>
    <x:row r="37" ht="48" customHeight="1">
      <x:c r="A37" s="8" t="str">
        <x:v>serp-GR-3</x:v>
      </x:c>
      <x:c r="B37" s="8" t="str">
        <x:v>Google</x:v>
      </x:c>
      <x:c r="C37" s="8" t="str">
        <x:v>GR</x:v>
      </x:c>
      <x:c r="D37" s="8" t="str">
        <x:v>ενοικιαση αυτοκινητου ναξος</x:v>
      </x:c>
      <x:c r="E37" s="8" t="n">
        <x:v>1</x:v>
      </x:c>
      <x:c r="F37" s="8" t="str">
        <x:v>local_pack</x:v>
      </x:c>
      <x:c r="G37" s="8" t="str">
        <x:v>Naxos Story Cars | Naxos Rent a car</x:v>
      </x:c>
      <x:c r="H37" s="10"/>
      <x:c r="I37" s="8"/>
      <x:c r="J37" s="8" t="n">
        <x:v>46277.64871527778</x:v>
      </x:c>
      <x:c r="K37" s="8" t="n">
        <x:v>46289.74033726852</x:v>
      </x:c>
      <x:c r="L37" s="8" t="str">
        <x:v>serp-GR</x:v>
      </x:c>
      <x:c r="M37" s="8" t="str">
        <x:v>OBSERVED</x:v>
      </x:c>
      <x:c r="N37" s="8" t="str">
        <x:v>VENDOR ESTIMATE</x:v>
      </x:c>
      <x:c r="O37" s="8" t="str">
        <x:v>Top5 positions, including feature children; not a full SERP or live manual test</x:v>
      </x:c>
    </x:row>
    <x:row r="38" ht="48" customHeight="1">
      <x:c r="A38" s="9" t="str">
        <x:v>serp-GR-4</x:v>
      </x:c>
      <x:c r="B38" s="9" t="str">
        <x:v>Google</x:v>
      </x:c>
      <x:c r="C38" s="9" t="str">
        <x:v>GR</x:v>
      </x:c>
      <x:c r="D38" s="9" t="str">
        <x:v>ενοικιαση αυτοκινητου ναξος</x:v>
      </x:c>
      <x:c r="E38" s="9" t="n">
        <x:v>2</x:v>
      </x:c>
      <x:c r="F38" s="9" t="str">
        <x:v>organic</x:v>
      </x:c>
      <x:c r="G38" s="9" t="str">
        <x:v>Νάξος: Ενοικιαζόμενα αυτοκίνητα από 25 €/ημέρα</x:v>
      </x:c>
      <x:c r="H38" s="11" t="str">
        <x:v>https://www.gr.kayak.com/</x:v>
      </x:c>
      <x:c r="I38" s="9" t="str">
        <x:v>/Core_Page,/Core_Page/Homepage</x:v>
      </x:c>
      <x:c r="J38" s="9" t="n">
        <x:v>46277.64871527778</x:v>
      </x:c>
      <x:c r="K38" s="9" t="n">
        <x:v>46289.74033726852</x:v>
      </x:c>
      <x:c r="L38" s="9" t="str">
        <x:v>serp-GR</x:v>
      </x:c>
      <x:c r="M38" s="9" t="str">
        <x:v>OBSERVED</x:v>
      </x:c>
      <x:c r="N38" s="9" t="str">
        <x:v>VENDOR ESTIMATE</x:v>
      </x:c>
      <x:c r="O38" s="9" t="str">
        <x:v>Top5 positions, including feature children; not a full SERP or live manual test</x:v>
      </x:c>
    </x:row>
    <x:row r="39" ht="48" customHeight="1">
      <x:c r="A39" s="8" t="str">
        <x:v>serp-GR-5</x:v>
      </x:c>
      <x:c r="B39" s="8" t="str">
        <x:v>Google</x:v>
      </x:c>
      <x:c r="C39" s="8" t="str">
        <x:v>GR</x:v>
      </x:c>
      <x:c r="D39" s="8" t="str">
        <x:v>ενοικιαση αυτοκινητου ναξος</x:v>
      </x:c>
      <x:c r="E39" s="8" t="n">
        <x:v>3</x:v>
      </x:c>
      <x:c r="F39" s="8" t="str">
        <x:v>organic</x:v>
      </x:c>
      <x:c r="G39" s="8" t="str">
        <x:v>Ενοικίαση αυτοκινήτου στη Νάξο Χώρα</x:v>
      </x:c>
      <x:c r="H39" s="10" t="str">
        <x:v>https://www.booking.com/cars/city/naxos.el.html</x:v>
      </x:c>
      <x:c r="I39" s="8"/>
      <x:c r="J39" s="8" t="n">
        <x:v>46277.64871527778</x:v>
      </x:c>
      <x:c r="K39" s="8" t="n">
        <x:v>46289.74033726852</x:v>
      </x:c>
      <x:c r="L39" s="8" t="str">
        <x:v>serp-GR</x:v>
      </x:c>
      <x:c r="M39" s="8" t="str">
        <x:v>OBSERVED</x:v>
      </x:c>
      <x:c r="N39" s="8" t="str">
        <x:v>VENDOR ESTIMATE</x:v>
      </x:c>
      <x:c r="O39" s="8" t="str">
        <x:v>Top5 positions, including feature children; not a full SERP or live manual test</x:v>
      </x:c>
    </x:row>
    <x:row r="40" ht="48" customHeight="1">
      <x:c r="A40" s="9" t="str">
        <x:v>serp-GR-6</x:v>
      </x:c>
      <x:c r="B40" s="9" t="str">
        <x:v>Google</x:v>
      </x:c>
      <x:c r="C40" s="9" t="str">
        <x:v>GR</x:v>
      </x:c>
      <x:c r="D40" s="9" t="str">
        <x:v>ενοικιαση αυτοκινητου ναξος</x:v>
      </x:c>
      <x:c r="E40" s="9" t="n">
        <x:v>4</x:v>
      </x:c>
      <x:c r="F40" s="9" t="str">
        <x:v>organic</x:v>
      </x:c>
      <x:c r="G40" s="9" t="str">
        <x:v>Ενοικίαση Αυτοκινήτου Νάξος | AVIS Rent a Car</x:v>
      </x:c>
      <x:c r="H40" s="11" t="str">
        <x:v>https://www.avis.gr/%CE%A3%CF%84%CE%B1%CE%B8%CE%BC%CE%BF%CE%AF</x:v>
      </x:c>
      <x:c r="I40" s="9"/>
      <x:c r="J40" s="9" t="n">
        <x:v>46277.64871527778</x:v>
      </x:c>
      <x:c r="K40" s="9" t="n">
        <x:v>46289.74033726852</x:v>
      </x:c>
      <x:c r="L40" s="9" t="str">
        <x:v>serp-GR</x:v>
      </x:c>
      <x:c r="M40" s="9" t="str">
        <x:v>OBSERVED</x:v>
      </x:c>
      <x:c r="N40" s="9" t="str">
        <x:v>VENDOR ESTIMATE</x:v>
      </x:c>
      <x:c r="O40" s="9" t="str">
        <x:v>Top5 positions, including feature children; not a full SERP or live manual test</x:v>
      </x:c>
    </x:row>
    <x:row r="41" ht="48" customHeight="1">
      <x:c r="A41" s="8" t="str">
        <x:v>serp-GR-7</x:v>
      </x:c>
      <x:c r="B41" s="8" t="str">
        <x:v>Google</x:v>
      </x:c>
      <x:c r="C41" s="8" t="str">
        <x:v>GR</x:v>
      </x:c>
      <x:c r="D41" s="8" t="str">
        <x:v>ενοικιαση αυτοκινητου ναξος</x:v>
      </x:c>
      <x:c r="E41" s="8" t="n">
        <x:v>5</x:v>
      </x:c>
      <x:c r="F41" s="8" t="str">
        <x:v>organic</x:v>
      </x:c>
      <x:c r="G41" s="8" t="str">
        <x:v>Ενοικίαση αυτοκινήτου σε Νάξος</x:v>
      </x:c>
      <x:c r="H41" s="10" t="str">
        <x:v>https://www.europcar.com/</x:v>
      </x:c>
      <x:c r="I41" s="8"/>
      <x:c r="J41" s="8" t="n">
        <x:v>46277.64871527778</x:v>
      </x:c>
      <x:c r="K41" s="8" t="n">
        <x:v>46289.74033726852</x:v>
      </x:c>
      <x:c r="L41" s="8" t="str">
        <x:v>serp-GR</x:v>
      </x:c>
      <x:c r="M41" s="8" t="str">
        <x:v>OBSERVED</x:v>
      </x:c>
      <x:c r="N41" s="8" t="str">
        <x:v>VENDOR ESTIMATE</x:v>
      </x:c>
      <x:c r="O41" s="8" t="str">
        <x:v>Top5 positions, including feature children; not a full SERP or live manual test</x:v>
      </x:c>
    </x:row>
    <x:row r="42" ht="48" customHeight="1">
      <x:c r="A42" s="9" t="str">
        <x:v>serp-FR-1</x:v>
      </x:c>
      <x:c r="B42" s="9" t="str">
        <x:v>Google</x:v>
      </x:c>
      <x:c r="C42" s="9" t="str">
        <x:v>FR</x:v>
      </x:c>
      <x:c r="D42" s="9" t="str">
        <x:v>location voiture naxos port</x:v>
      </x:c>
      <x:c r="E42" s="9" t="n">
        <x:v>1</x:v>
      </x:c>
      <x:c r="F42" s="9" t="str">
        <x:v>local_pack</x:v>
      </x:c>
      <x:c r="G42" s="9" t="str">
        <x:v>Naxos Rent a Car by Matha Rent</x:v>
      </x:c>
      <x:c r="H42" s="11" t="str">
        <x:v>https://www.naxos-rentacar.gr/</x:v>
      </x:c>
      <x:c r="I42" s="9"/>
      <x:c r="J42" s="9" t="n">
        <x:v>46282.74082175926</x:v>
      </x:c>
      <x:c r="K42" s="9" t="n">
        <x:v>46289.74033728009</x:v>
      </x:c>
      <x:c r="L42" s="9" t="str">
        <x:v>serp-FR</x:v>
      </x:c>
      <x:c r="M42" s="9" t="str">
        <x:v>OBSERVED</x:v>
      </x:c>
      <x:c r="N42" s="9" t="str">
        <x:v>VENDOR ESTIMATE</x:v>
      </x:c>
      <x:c r="O42" s="9" t="str">
        <x:v>Top5 positions, including feature children; not a full SERP or live manual test</x:v>
      </x:c>
    </x:row>
    <x:row r="43" ht="48" customHeight="1">
      <x:c r="A43" s="8" t="str">
        <x:v>serp-FR-2</x:v>
      </x:c>
      <x:c r="B43" s="8" t="str">
        <x:v>Google</x:v>
      </x:c>
      <x:c r="C43" s="8" t="str">
        <x:v>FR</x:v>
      </x:c>
      <x:c r="D43" s="8" t="str">
        <x:v>location voiture naxos port</x:v>
      </x:c>
      <x:c r="E43" s="8" t="n">
        <x:v>1</x:v>
      </x:c>
      <x:c r="F43" s="8" t="str">
        <x:v>local_pack</x:v>
      </x:c>
      <x:c r="G43" s="8" t="str">
        <x:v>Enjoy Naxos Car Rental (Meeting point Port)</x:v>
      </x:c>
      <x:c r="H43" s="10" t="str">
        <x:v>https://enjoynaxoscar.com/</x:v>
      </x:c>
      <x:c r="I43" s="8"/>
      <x:c r="J43" s="8" t="n">
        <x:v>46282.74082175926</x:v>
      </x:c>
      <x:c r="K43" s="8" t="n">
        <x:v>46289.74033728009</x:v>
      </x:c>
      <x:c r="L43" s="8" t="str">
        <x:v>serp-FR</x:v>
      </x:c>
      <x:c r="M43" s="8" t="str">
        <x:v>OBSERVED</x:v>
      </x:c>
      <x:c r="N43" s="8" t="str">
        <x:v>VENDOR ESTIMATE</x:v>
      </x:c>
      <x:c r="O43" s="8" t="str">
        <x:v>Top5 positions, including feature children; not a full SERP or live manual test</x:v>
      </x:c>
    </x:row>
    <x:row r="44" ht="48" customHeight="1">
      <x:c r="A44" s="9" t="str">
        <x:v>serp-FR-3</x:v>
      </x:c>
      <x:c r="B44" s="9" t="str">
        <x:v>Google</x:v>
      </x:c>
      <x:c r="C44" s="9" t="str">
        <x:v>FR</x:v>
      </x:c>
      <x:c r="D44" s="9" t="str">
        <x:v>location voiture naxos port</x:v>
      </x:c>
      <x:c r="E44" s="9" t="n">
        <x:v>1</x:v>
      </x:c>
      <x:c r="F44" s="9" t="str">
        <x:v>local_pack</x:v>
      </x:c>
      <x:c r="G44" s="9" t="str">
        <x:v>Naxos Rent a Car - Naction</x:v>
      </x:c>
      <x:c r="H44" s="11" t="str">
        <x:v>https://nactionrentacar.com/</x:v>
      </x:c>
      <x:c r="I44" s="9"/>
      <x:c r="J44" s="9" t="n">
        <x:v>46282.74082175926</x:v>
      </x:c>
      <x:c r="K44" s="9" t="n">
        <x:v>46289.74033728009</x:v>
      </x:c>
      <x:c r="L44" s="9" t="str">
        <x:v>serp-FR</x:v>
      </x:c>
      <x:c r="M44" s="9" t="str">
        <x:v>OBSERVED</x:v>
      </x:c>
      <x:c r="N44" s="9" t="str">
        <x:v>VENDOR ESTIMATE</x:v>
      </x:c>
      <x:c r="O44" s="9" t="str">
        <x:v>Top5 positions, including feature children; not a full SERP or live manual test</x:v>
      </x:c>
    </x:row>
    <x:row r="45" ht="48" customHeight="1">
      <x:c r="A45" s="8" t="str">
        <x:v>serp-FR-4</x:v>
      </x:c>
      <x:c r="B45" s="8" t="str">
        <x:v>Google</x:v>
      </x:c>
      <x:c r="C45" s="8" t="str">
        <x:v>FR</x:v>
      </x:c>
      <x:c r="D45" s="8" t="str">
        <x:v>location voiture naxos port</x:v>
      </x:c>
      <x:c r="E45" s="8" t="n">
        <x:v>2</x:v>
      </x:c>
      <x:c r="F45" s="8" t="str">
        <x:v>organic</x:v>
      </x:c>
      <x:c r="G45" s="8" t="str">
        <x:v>Voitures de location à Naxos à partir de 25 €/jour</x:v>
      </x:c>
      <x:c r="H45" s="10" t="str">
        <x:v>https://www.kayak.fr/location-voiture-Naxos.18102.cars.ksp</x:v>
      </x:c>
      <x:c r="I45" s="8" t="str">
        <x:v>/Listing,/Listing/Location</x:v>
      </x:c>
      <x:c r="J45" s="8" t="n">
        <x:v>46282.74082175926</x:v>
      </x:c>
      <x:c r="K45" s="8" t="n">
        <x:v>46289.74033728009</x:v>
      </x:c>
      <x:c r="L45" s="8" t="str">
        <x:v>serp-FR</x:v>
      </x:c>
      <x:c r="M45" s="8" t="str">
        <x:v>OBSERVED</x:v>
      </x:c>
      <x:c r="N45" s="8" t="str">
        <x:v>VENDOR ESTIMATE</x:v>
      </x:c>
      <x:c r="O45" s="8" t="str">
        <x:v>Top5 positions, including feature children; not a full SERP or live manual test</x:v>
      </x:c>
    </x:row>
    <x:row r="46" ht="48" customHeight="1">
      <x:c r="A46" s="9" t="str">
        <x:v>serp-FR-5</x:v>
      </x:c>
      <x:c r="B46" s="9" t="str">
        <x:v>Google</x:v>
      </x:c>
      <x:c r="C46" s="9" t="str">
        <x:v>FR</x:v>
      </x:c>
      <x:c r="D46" s="9" t="str">
        <x:v>location voiture naxos port</x:v>
      </x:c>
      <x:c r="E46" s="9" t="n">
        <x:v>3</x:v>
      </x:c>
      <x:c r="F46" s="9" t="str">
        <x:v>organic</x:v>
      </x:c>
      <x:c r="G46" s="9" t="str">
        <x:v>Location de voiture à Naxos</x:v>
      </x:c>
      <x:c r="H46" s="11" t="str">
        <x:v>https://www.europcar.fr/fr-fr/places/location-voiture-greece/naxos</x:v>
      </x:c>
      <x:c r="I46" s="9" t="str">
        <x:v>/Landing_Page,/Landing_Page/Location_Page</x:v>
      </x:c>
      <x:c r="J46" s="9" t="n">
        <x:v>46282.74082175926</x:v>
      </x:c>
      <x:c r="K46" s="9" t="n">
        <x:v>46289.74033728009</x:v>
      </x:c>
      <x:c r="L46" s="9" t="str">
        <x:v>serp-FR</x:v>
      </x:c>
      <x:c r="M46" s="9" t="str">
        <x:v>OBSERVED</x:v>
      </x:c>
      <x:c r="N46" s="9" t="str">
        <x:v>VENDOR ESTIMATE</x:v>
      </x:c>
      <x:c r="O46" s="9" t="str">
        <x:v>Top5 positions, including feature children; not a full SERP or live manual test</x:v>
      </x:c>
    </x:row>
    <x:row r="47" ht="48" customHeight="1">
      <x:c r="A47" s="8" t="str">
        <x:v>serp-FR-6</x:v>
      </x:c>
      <x:c r="B47" s="8" t="str">
        <x:v>Google</x:v>
      </x:c>
      <x:c r="C47" s="8" t="str">
        <x:v>FR</x:v>
      </x:c>
      <x:c r="D47" s="8" t="str">
        <x:v>location voiture naxos port</x:v>
      </x:c>
      <x:c r="E47" s="8" t="n">
        <x:v>4</x:v>
      </x:c>
      <x:c r="F47" s="8" t="str">
        <x:v>organic</x:v>
      </x:c>
      <x:c r="G47" s="8" t="str">
        <x:v>Cherche location de voiture au port de Naxos - Grèce</x:v>
      </x:c>
      <x:c r="H47" s="10" t="str">
        <x:v>https://www.routard.com/forums/t/cherche-location-de-voiture-au-port-de-naxos/297922</x:v>
      </x:c>
      <x:c r="I47" s="8"/>
      <x:c r="J47" s="8" t="n">
        <x:v>46282.74082175926</x:v>
      </x:c>
      <x:c r="K47" s="8" t="n">
        <x:v>46289.74033728009</x:v>
      </x:c>
      <x:c r="L47" s="8" t="str">
        <x:v>serp-FR</x:v>
      </x:c>
      <x:c r="M47" s="8" t="str">
        <x:v>OBSERVED</x:v>
      </x:c>
      <x:c r="N47" s="8" t="str">
        <x:v>VENDOR ESTIMATE</x:v>
      </x:c>
      <x:c r="O47" s="8" t="str">
        <x:v>Top5 positions, including feature children; not a full SERP or live manual test</x:v>
      </x:c>
    </x:row>
    <x:row r="48" ht="48" customHeight="1">
      <x:c r="A48" s="9" t="str">
        <x:v>serp-FR-7</x:v>
      </x:c>
      <x:c r="B48" s="9" t="str">
        <x:v>Google</x:v>
      </x:c>
      <x:c r="C48" s="9" t="str">
        <x:v>FR</x:v>
      </x:c>
      <x:c r="D48" s="9" t="str">
        <x:v>location voiture naxos port</x:v>
      </x:c>
      <x:c r="E48" s="9" t="n">
        <x:v>5</x:v>
      </x:c>
      <x:c r="F48" s="9" t="str">
        <x:v>question</x:v>
      </x:c>
      <x:c r="G48" s="9" t="str">
        <x:v>Est-il nécessaire de louer une voiture à Naxos ?</x:v>
      </x:c>
      <x:c r="H48" s="11"/>
      <x:c r="I48" s="9"/>
      <x:c r="J48" s="9" t="n">
        <x:v>46282.74082175926</x:v>
      </x:c>
      <x:c r="K48" s="9" t="n">
        <x:v>46289.74033728009</x:v>
      </x:c>
      <x:c r="L48" s="9" t="str">
        <x:v>serp-FR</x:v>
      </x:c>
      <x:c r="M48" s="9" t="str">
        <x:v>OBSERVED</x:v>
      </x:c>
      <x:c r="N48" s="9" t="str">
        <x:v>VENDOR ESTIMATE</x:v>
      </x:c>
      <x:c r="O48" s="9" t="str">
        <x:v>Top5 positions, including feature children; not a full SERP or live manual test</x:v>
      </x:c>
    </x:row>
    <x:row r="49" ht="48" customHeight="1">
      <x:c r="A49" s="8" t="str">
        <x:v>serp-FR-8</x:v>
      </x:c>
      <x:c r="B49" s="8" t="str">
        <x:v>Google</x:v>
      </x:c>
      <x:c r="C49" s="8" t="str">
        <x:v>FR</x:v>
      </x:c>
      <x:c r="D49" s="8" t="str">
        <x:v>location voiture naxos port</x:v>
      </x:c>
      <x:c r="E49" s="8" t="n">
        <x:v>5</x:v>
      </x:c>
      <x:c r="F49" s="8" t="str">
        <x:v>question</x:v>
      </x:c>
      <x:c r="G49" s="8" t="str">
        <x:v>Où puis-je louer une voiture en tant que particulier à Naxos ?</x:v>
      </x:c>
      <x:c r="H49" s="10"/>
      <x:c r="I49" s="8"/>
      <x:c r="J49" s="8" t="n">
        <x:v>46282.74082175926</x:v>
      </x:c>
      <x:c r="K49" s="8" t="n">
        <x:v>46289.74033728009</x:v>
      </x:c>
      <x:c r="L49" s="8" t="str">
        <x:v>serp-FR</x:v>
      </x:c>
      <x:c r="M49" s="8" t="str">
        <x:v>OBSERVED</x:v>
      </x:c>
      <x:c r="N49" s="8" t="str">
        <x:v>VENDOR ESTIMATE</x:v>
      </x:c>
      <x:c r="O49" s="8" t="str">
        <x:v>Top5 positions, including feature children; not a full SERP or live manual test</x:v>
      </x:c>
    </x:row>
    <x:row r="50" ht="48" customHeight="1">
      <x:c r="A50" s="9" t="str">
        <x:v>serp-FR-9</x:v>
      </x:c>
      <x:c r="B50" s="9" t="str">
        <x:v>Google</x:v>
      </x:c>
      <x:c r="C50" s="9" t="str">
        <x:v>FR</x:v>
      </x:c>
      <x:c r="D50" s="9" t="str">
        <x:v>location voiture naxos port</x:v>
      </x:c>
      <x:c r="E50" s="9" t="n">
        <x:v>5</x:v>
      </x:c>
      <x:c r="F50" s="9" t="str">
        <x:v>question</x:v>
      </x:c>
      <x:c r="G50" s="9" t="str">
        <x:v>Quelles sont les conditions pour louer une voiture en Grèce ?</x:v>
      </x:c>
      <x:c r="H50" s="11"/>
      <x:c r="I50" s="9"/>
      <x:c r="J50" s="9" t="n">
        <x:v>46282.74082175926</x:v>
      </x:c>
      <x:c r="K50" s="9" t="n">
        <x:v>46289.74033728009</x:v>
      </x:c>
      <x:c r="L50" s="9" t="str">
        <x:v>serp-FR</x:v>
      </x:c>
      <x:c r="M50" s="9" t="str">
        <x:v>OBSERVED</x:v>
      </x:c>
      <x:c r="N50" s="9" t="str">
        <x:v>VENDOR ESTIMATE</x:v>
      </x:c>
      <x:c r="O50" s="9" t="str">
        <x:v>Top5 positions, including feature children; not a full SERP or live manual test</x:v>
      </x:c>
    </x:row>
    <x:row r="51" ht="48" customHeight="1">
      <x:c r="A51" s="8" t="str">
        <x:v>serp-FR-10</x:v>
      </x:c>
      <x:c r="B51" s="8" t="str">
        <x:v>Google</x:v>
      </x:c>
      <x:c r="C51" s="8" t="str">
        <x:v>FR</x:v>
      </x:c>
      <x:c r="D51" s="8" t="str">
        <x:v>location voiture naxos port</x:v>
      </x:c>
      <x:c r="E51" s="8" t="n">
        <x:v>5</x:v>
      </x:c>
      <x:c r="F51" s="8" t="str">
        <x:v>question</x:v>
      </x:c>
      <x:c r="G51" s="8" t="str">
        <x:v>Comment se déplacer sur l'île de Naxos ?</x:v>
      </x:c>
      <x:c r="H51" s="10"/>
      <x:c r="I51" s="8"/>
      <x:c r="J51" s="8" t="n">
        <x:v>46282.74082175926</x:v>
      </x:c>
      <x:c r="K51" s="8" t="n">
        <x:v>46289.74033728009</x:v>
      </x:c>
      <x:c r="L51" s="8" t="str">
        <x:v>serp-FR</x:v>
      </x:c>
      <x:c r="M51" s="8" t="str">
        <x:v>OBSERVED</x:v>
      </x:c>
      <x:c r="N51" s="8" t="str">
        <x:v>VENDOR ESTIMATE</x:v>
      </x:c>
      <x:c r="O51" s="8" t="str">
        <x:v>Top5 positions, including feature children; not a full SERP or live manual test</x:v>
      </x:c>
    </x:row>
  </x:sheetData>
  <x:mergeCells>
    <x:mergeCell ref="A1:E1"/>
    <x:mergeCell ref="A2:F2"/>
  </x:mergeCells>
  <x:conditionalFormatting sqref="M5:M51">
    <x:cfRule type="containsText" dxfId="9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a01df4ec37db41d3"/>
  </x:tableParts>
</x:worksheet>
</file>

<file path=xl/worksheets/sheet9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75" hidden="0" customWidth="1"/>
    <x:col min="4" max="4" width="42" hidden="0" customWidth="1"/>
    <x:col min="5" max="5" width="15" hidden="0" customWidth="1"/>
    <x:col min="6" max="6" width="18" hidden="0" customWidth="1"/>
    <x:col min="7" max="7" width="28" hidden="0" customWidth="1"/>
    <x:col min="8" max="8" width="28" hidden="0" customWidth="1"/>
    <x:col min="9" max="9" width="24" hidden="0" customWidth="1"/>
    <x:col min="10" max="10" width="70" hidden="0" customWidth="1"/>
    <x:col min="11" max="11" width="60" hidden="0" customWidth="1"/>
    <x:col min="12" max="12" width="22" hidden="0" customWidth="1"/>
  </x:cols>
  <x:sheetData>
    <x:row r="1" ht="34" customHeight="1">
      <x:c r="A1" s="4" t="str">
        <x:v>Questions &amp; PAA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4" customHeight="1">
      <x:c r="A2" s="5" t="str">
        <x:v>8 returned questions. These are observed Google PAA from stored snapshots. Proposed follow-ups are separated in Fanout Matrix.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42" customHeight="1">
      <x:c r="A4" s="7" t="str">
        <x:v>Question ID</x:v>
      </x:c>
      <x:c r="B4" s="7" t="str">
        <x:v>Category</x:v>
      </x:c>
      <x:c r="C4" s="7" t="str">
        <x:v>Question</x:v>
      </x:c>
      <x:c r="D4" s="7" t="str">
        <x:v>Trigger query</x:v>
      </x:c>
      <x:c r="E4" s="7" t="str">
        <x:v>Country</x:v>
      </x:c>
      <x:c r="F4" s="7" t="str">
        <x:v>Language</x:v>
      </x:c>
      <x:c r="G4" s="7" t="str">
        <x:v>SERP timestamp</x:v>
      </x:c>
      <x:c r="H4" s="7" t="str">
        <x:v>Retrieval timestamp</x:v>
      </x:c>
      <x:c r="I4" s="7" t="str">
        <x:v>Source ID</x:v>
      </x:c>
      <x:c r="J4" s="7" t="str">
        <x:v>Owner URL</x:v>
      </x:c>
      <x:c r="K4" s="7" t="str">
        <x:v>Editorial rule</x:v>
      </x:c>
      <x:c r="L4" s="7" t="str">
        <x:v>Evidence status</x:v>
      </x:c>
    </x:row>
    <x:row r="5" ht="48" customHeight="1">
      <x:c r="A5" s="8" t="str">
        <x:v>Q1</x:v>
      </x:c>
      <x:c r="B5" s="8" t="str">
        <x:v>OBSERVED PAA</x:v>
      </x:c>
      <x:c r="C5" s="8" t="str">
        <x:v>Is it worth renting a car in Naxos?</x:v>
      </x:c>
      <x:c r="D5" s="8" t="str">
        <x:v>car rental in naxos</x:v>
      </x:c>
      <x:c r="E5" s="8" t="str">
        <x:v>GB</x:v>
      </x:c>
      <x:c r="F5" s="8" t="str">
        <x:v>en</x:v>
      </x:c>
      <x:c r="G5" s="8" t="n">
        <x:v>46288.68021990741</x:v>
      </x:c>
      <x:c r="H5" s="8" t="n">
        <x:v>46289.740337013885</x:v>
      </x:c>
      <x:c r="I5" s="8" t="str">
        <x:v>serp-GB</x:v>
      </x:c>
      <x:c r="J5" s="10" t="str">
        <x:v>https://naxos-carrentals.com/en/guides/do-you-need-a-car-in-naxos</x:v>
      </x:c>
      <x:c r="K5" s="8" t="str">
        <x:v>Answer only what the local operator can evidence.</x:v>
      </x:c>
      <x:c r="L5" s="8" t="str">
        <x:v>OBSERVED</x:v>
      </x:c>
    </x:row>
    <x:row r="6" ht="48" customHeight="1">
      <x:c r="A6" s="9" t="str">
        <x:v>Q2</x:v>
      </x:c>
      <x:c r="B6" s="9" t="str">
        <x:v>OBSERVED PAA</x:v>
      </x:c>
      <x:c r="C6" s="9" t="str">
        <x:v>How much does it cost to rent a car on Naxos?</x:v>
      </x:c>
      <x:c r="D6" s="9" t="str">
        <x:v>car rental in naxos</x:v>
      </x:c>
      <x:c r="E6" s="9" t="str">
        <x:v>GB</x:v>
      </x:c>
      <x:c r="F6" s="9" t="str">
        <x:v>en</x:v>
      </x:c>
      <x:c r="G6" s="9" t="n">
        <x:v>46288.68021990741</x:v>
      </x:c>
      <x:c r="H6" s="9" t="n">
        <x:v>46289.740337013885</x:v>
      </x:c>
      <x:c r="I6" s="9" t="str">
        <x:v>serp-GB</x:v>
      </x:c>
      <x:c r="J6" s="11" t="str">
        <x:v>https://naxos-carrentals.com/en/pricing</x:v>
      </x:c>
      <x:c r="K6" s="9" t="str">
        <x:v>Answer only what the local operator can evidence.</x:v>
      </x:c>
      <x:c r="L6" s="9" t="str">
        <x:v>OBSERVED</x:v>
      </x:c>
    </x:row>
    <x:row r="7" ht="48" customHeight="1">
      <x:c r="A7" s="8" t="str">
        <x:v>Q3</x:v>
      </x:c>
      <x:c r="B7" s="8" t="str">
        <x:v>OBSERVED PAA</x:v>
      </x:c>
      <x:c r="C7" s="8" t="str">
        <x:v>Which car rental agency is the best in Greece?</x:v>
      </x:c>
      <x:c r="D7" s="8" t="str">
        <x:v>car rental in naxos</x:v>
      </x:c>
      <x:c r="E7" s="8" t="str">
        <x:v>GB</x:v>
      </x:c>
      <x:c r="F7" s="8" t="str">
        <x:v>en</x:v>
      </x:c>
      <x:c r="G7" s="8" t="n">
        <x:v>46288.68021990741</x:v>
      </x:c>
      <x:c r="H7" s="8" t="n">
        <x:v>46289.740337013885</x:v>
      </x:c>
      <x:c r="I7" s="8" t="str">
        <x:v>serp-GB</x:v>
      </x:c>
      <x:c r="J7" s="10" t="str">
        <x:v>https://naxos-carrentals.com/en/guides/do-you-need-a-car-in-naxos</x:v>
      </x:c>
      <x:c r="K7" s="8" t="str">
        <x:v>Answer only what the local operator can evidence.</x:v>
      </x:c>
      <x:c r="L7" s="8" t="str">
        <x:v>OBSERVED</x:v>
      </x:c>
    </x:row>
    <x:row r="8" ht="48" customHeight="1">
      <x:c r="A8" s="9" t="str">
        <x:v>Q4</x:v>
      </x:c>
      <x:c r="B8" s="9" t="str">
        <x:v>OBSERVED PAA</x:v>
      </x:c>
      <x:c r="C8" s="9" t="str">
        <x:v>How do tourists get around Naxos?</x:v>
      </x:c>
      <x:c r="D8" s="9" t="str">
        <x:v>car rental in naxos</x:v>
      </x:c>
      <x:c r="E8" s="9" t="str">
        <x:v>GB</x:v>
      </x:c>
      <x:c r="F8" s="9" t="str">
        <x:v>en</x:v>
      </x:c>
      <x:c r="G8" s="9" t="n">
        <x:v>46288.68021990741</x:v>
      </x:c>
      <x:c r="H8" s="9" t="n">
        <x:v>46289.740337013885</x:v>
      </x:c>
      <x:c r="I8" s="9" t="str">
        <x:v>serp-GB</x:v>
      </x:c>
      <x:c r="J8" s="11" t="str">
        <x:v>https://naxos-carrentals.com/en/guides/do-you-need-a-car-in-naxos</x:v>
      </x:c>
      <x:c r="K8" s="9" t="str">
        <x:v>Answer only what the local operator can evidence.</x:v>
      </x:c>
      <x:c r="L8" s="9" t="str">
        <x:v>OBSERVED</x:v>
      </x:c>
    </x:row>
    <x:row r="9" ht="48" customHeight="1">
      <x:c r="A9" s="8" t="str">
        <x:v>Q5</x:v>
      </x:c>
      <x:c r="B9" s="8" t="str">
        <x:v>OBSERVED PAA</x:v>
      </x:c>
      <x:c r="C9" s="8" t="str">
        <x:v>Est-il nécessaire de louer une voiture à Naxos ?</x:v>
      </x:c>
      <x:c r="D9" s="8" t="str">
        <x:v>location voiture naxos port</x:v>
      </x:c>
      <x:c r="E9" s="8" t="str">
        <x:v>FR</x:v>
      </x:c>
      <x:c r="F9" s="8" t="str">
        <x:v>fr</x:v>
      </x:c>
      <x:c r="G9" s="8" t="n">
        <x:v>46282.74082175926</x:v>
      </x:c>
      <x:c r="H9" s="8" t="n">
        <x:v>46289.74033728009</x:v>
      </x:c>
      <x:c r="I9" s="8" t="str">
        <x:v>serp-FR</x:v>
      </x:c>
      <x:c r="J9" s="10" t="str">
        <x:v>https://naxos-carrentals.com/fr/guides/do-you-need-a-car-in-naxos</x:v>
      </x:c>
      <x:c r="K9" s="8" t="str">
        <x:v>Answer only what the local operator can evidence.</x:v>
      </x:c>
      <x:c r="L9" s="8" t="str">
        <x:v>OBSERVED</x:v>
      </x:c>
    </x:row>
    <x:row r="10" ht="48" customHeight="1">
      <x:c r="A10" s="9" t="str">
        <x:v>Q6</x:v>
      </x:c>
      <x:c r="B10" s="9" t="str">
        <x:v>OBSERVED PAA</x:v>
      </x:c>
      <x:c r="C10" s="9" t="str">
        <x:v>Où puis-je louer une voiture en tant que particulier à Naxos ?</x:v>
      </x:c>
      <x:c r="D10" s="9" t="str">
        <x:v>location voiture naxos port</x:v>
      </x:c>
      <x:c r="E10" s="9" t="str">
        <x:v>FR</x:v>
      </x:c>
      <x:c r="F10" s="9" t="str">
        <x:v>fr</x:v>
      </x:c>
      <x:c r="G10" s="9" t="n">
        <x:v>46282.74082175926</x:v>
      </x:c>
      <x:c r="H10" s="9" t="n">
        <x:v>46289.74033728009</x:v>
      </x:c>
      <x:c r="I10" s="9" t="str">
        <x:v>serp-FR</x:v>
      </x:c>
      <x:c r="J10" s="11" t="str">
        <x:v>https://naxos-carrentals.com/fr/guides/do-you-need-a-car-in-naxos</x:v>
      </x:c>
      <x:c r="K10" s="9" t="str">
        <x:v>Answer only what the local operator can evidence.</x:v>
      </x:c>
      <x:c r="L10" s="9" t="str">
        <x:v>OBSERVED</x:v>
      </x:c>
    </x:row>
    <x:row r="11" ht="48" customHeight="1">
      <x:c r="A11" s="8" t="str">
        <x:v>Q7</x:v>
      </x:c>
      <x:c r="B11" s="8" t="str">
        <x:v>OBSERVED PAA</x:v>
      </x:c>
      <x:c r="C11" s="8" t="str">
        <x:v>Quelles sont les conditions pour louer une voiture en Grèce ?</x:v>
      </x:c>
      <x:c r="D11" s="8" t="str">
        <x:v>location voiture naxos port</x:v>
      </x:c>
      <x:c r="E11" s="8" t="str">
        <x:v>FR</x:v>
      </x:c>
      <x:c r="F11" s="8" t="str">
        <x:v>fr</x:v>
      </x:c>
      <x:c r="G11" s="8" t="n">
        <x:v>46282.74082175926</x:v>
      </x:c>
      <x:c r="H11" s="8" t="n">
        <x:v>46289.74033728009</x:v>
      </x:c>
      <x:c r="I11" s="8" t="str">
        <x:v>serp-FR</x:v>
      </x:c>
      <x:c r="J11" s="10" t="str">
        <x:v>https://naxos-carrentals.com/fr/guides/do-you-need-a-car-in-naxos</x:v>
      </x:c>
      <x:c r="K11" s="8" t="str">
        <x:v>Answer only what the local operator can evidence.</x:v>
      </x:c>
      <x:c r="L11" s="8" t="str">
        <x:v>OBSERVED</x:v>
      </x:c>
    </x:row>
    <x:row r="12" ht="48" customHeight="1">
      <x:c r="A12" s="9" t="str">
        <x:v>Q8</x:v>
      </x:c>
      <x:c r="B12" s="9" t="str">
        <x:v>OBSERVED PAA</x:v>
      </x:c>
      <x:c r="C12" s="9" t="str">
        <x:v>Comment se déplacer sur l'île de Naxos ?</x:v>
      </x:c>
      <x:c r="D12" s="9" t="str">
        <x:v>location voiture naxos port</x:v>
      </x:c>
      <x:c r="E12" s="9" t="str">
        <x:v>FR</x:v>
      </x:c>
      <x:c r="F12" s="9" t="str">
        <x:v>fr</x:v>
      </x:c>
      <x:c r="G12" s="9" t="n">
        <x:v>46282.74082175926</x:v>
      </x:c>
      <x:c r="H12" s="9" t="n">
        <x:v>46289.74033728009</x:v>
      </x:c>
      <x:c r="I12" s="9" t="str">
        <x:v>serp-FR</x:v>
      </x:c>
      <x:c r="J12" s="11" t="str">
        <x:v>https://naxos-carrentals.com/fr/guides/do-you-need-a-car-in-naxos</x:v>
      </x:c>
      <x:c r="K12" s="9" t="str">
        <x:v>Answer only what the local operator can evidence.</x:v>
      </x:c>
      <x:c r="L12" s="9" t="str">
        <x:v>OBSERVED</x:v>
      </x:c>
    </x:row>
  </x:sheetData>
  <x:mergeCells>
    <x:mergeCell ref="A1:E1"/>
    <x:mergeCell ref="A2:F2"/>
  </x:mergeCells>
  <x:conditionalFormatting sqref="L5:L12">
    <x:cfRule type="containsText" dxfId="10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edee865f8aa3465b"/>
  </x:tableParts>
</x:worksheet>
</file>

<file path=xl/worksheets/sheet10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65" hidden="0" customWidth="1"/>
    <x:col min="3" max="3" width="28" hidden="0" customWidth="1"/>
    <x:col min="4" max="4" width="50" hidden="0" customWidth="1"/>
    <x:col min="5" max="5" width="85" hidden="0" customWidth="1"/>
    <x:col min="6" max="6" width="31" hidden="0" customWidth="1"/>
    <x:col min="7" max="7" width="35" hidden="0" customWidth="1"/>
    <x:col min="8" max="8" width="68" hidden="0" customWidth="1"/>
    <x:col min="9" max="9" width="75" hidden="0" customWidth="1"/>
    <x:col min="10" max="10" width="37" hidden="0" customWidth="1"/>
    <x:col min="11" max="11" width="22" hidden="0" customWidth="1"/>
  </x:cols>
  <x:sheetData>
    <x:row r="1" ht="34" customHeight="1">
      <x:c r="A1" s="4" t="str">
        <x:v>Fanout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4" customHeight="1">
      <x:c r="A2" s="5" t="str">
        <x:v>Follow-ups are analyst proposals, not observed model retrieval. Brand Radar search_queries were unavailable. No hidden retrieval steps are inferred.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42" customHeight="1">
      <x:c r="A4" s="7" t="str">
        <x:v>Fanout ID</x:v>
      </x:c>
      <x:c r="B4" s="7" t="str">
        <x:v>Initial question</x:v>
      </x:c>
      <x:c r="C4" s="7" t="str">
        <x:v>Decision</x:v>
      </x:c>
      <x:c r="D4" s="7" t="str">
        <x:v>Entities / constraints</x:v>
      </x:c>
      <x:c r="E4" s="7" t="str">
        <x:v>Proposed follow-up</x:v>
      </x:c>
      <x:c r="F4" s="7" t="str">
        <x:v>Question category</x:v>
      </x:c>
      <x:c r="G4" s="7" t="str">
        <x:v>Observed retrieval queries</x:v>
      </x:c>
      <x:c r="H4" s="7" t="str">
        <x:v>Owner URL</x:v>
      </x:c>
      <x:c r="I4" s="7" t="str">
        <x:v>Evidence needed</x:v>
      </x:c>
      <x:c r="J4" s="7" t="str">
        <x:v>Source IDs</x:v>
      </x:c>
      <x:c r="K4" s="7" t="str">
        <x:v>Evidence status</x:v>
      </x:c>
    </x:row>
    <x:row r="5" ht="48" customHeight="1">
      <x:c r="A5" s="8" t="str">
        <x:v>F01</x:v>
      </x:c>
      <x:c r="B5" s="8" t="str">
        <x:v>Can I collect a car when my ferry arrives?</x:v>
      </x:c>
      <x:c r="C5" s="8" t="str">
        <x:v>Coordinate arrival</x:v>
      </x:c>
      <x:c r="D5" s="8" t="str">
        <x:v>Ferry operator, ETA, luggage, delay</x:v>
      </x:c>
      <x:c r="E5" s="8" t="str">
        <x:v>Where exactly will we meet? What if the ferry is late? Can I return at the airport?</x:v>
      </x:c>
      <x:c r="F5" s="8" t="str">
        <x:v>PROPOSED FAN-OUT</x:v>
      </x:c>
      <x:c r="G5" s="8"/>
      <x:c r="H5" s="10" t="str">
        <x:v>https://naxos-carrentals.com/en/locations/port-pickup</x:v>
      </x:c>
      <x:c r="I5" s="8" t="str">
        <x:v>Photos, agreed pin, approved delay process</x:v>
      </x:c>
      <x:c r="J5" s="8" t="str">
        <x:v>G01; kw-en-enrich</x:v>
      </x:c>
      <x:c r="K5" s="8" t="str">
        <x:v>PROPOSED</x:v>
      </x:c>
    </x:row>
    <x:row r="6" ht="48" customHeight="1">
      <x:c r="A6" s="9" t="str">
        <x:v>F02</x:v>
      </x:c>
      <x:c r="B6" s="9" t="str">
        <x:v>Quel loueur choisir au port de Naxos ?</x:v>
      </x:c>
      <x:c r="C6" s="9" t="str">
        <x:v>Select a direct operator</x:v>
      </x:c>
      <x:c r="D6" s="9" t="str">
        <x:v>Port, cover, payment, pickup</x:v>
      </x:c>
      <x:c r="E6" s="9" t="str">
        <x:v>Le prix inclut-il la livraison ? Quel est le point de rencontre ?</x:v>
      </x:c>
      <x:c r="F6" s="9" t="str">
        <x:v>PROPOSED FAN-OUT</x:v>
      </x:c>
      <x:c r="G6" s="9"/>
      <x:c r="H6" s="11" t="str">
        <x:v>https://naxos-carrentals.com/fr/locations/port-pickup</x:v>
      </x:c>
      <x:c r="I6" s="9" t="str">
        <x:v>Actual collection map and complete terms</x:v>
      </x:c>
      <x:c r="J6" s="9" t="str">
        <x:v>serp-FR; kw-fr</x:v>
      </x:c>
      <x:c r="K6" s="9" t="str">
        <x:v>PROPOSED</x:v>
      </x:c>
    </x:row>
    <x:row r="7" ht="48" customHeight="1">
      <x:c r="A7" s="8" t="str">
        <x:v>F03</x:v>
      </x:c>
      <x:c r="B7" s="8" t="str">
        <x:v>Serve la carta di credito per noleggiare a Naxos?</x:v>
      </x:c>
      <x:c r="C7" s="8" t="str">
        <x:v>Payment eligibility</x:v>
      </x:c>
      <x:c r="D7" s="8" t="str">
        <x:v>Deposit, card holder, payment method</x:v>
      </x:c>
      <x:c r="E7" s="8" t="str">
        <x:v>La carta di debito è accettata? Quali documenti servono?</x:v>
      </x:c>
      <x:c r="F7" s="8" t="str">
        <x:v>PROPOSED FAN-OUT</x:v>
      </x:c>
      <x:c r="G7" s="8"/>
      <x:c r="H7" s="10" t="str">
        <x:v>https://naxos-carrentals.com/it/terms</x:v>
      </x:c>
      <x:c r="I7" s="8" t="str">
        <x:v>Owner-reviewed payment policy and exceptions</x:v>
      </x:c>
      <x:c r="J7" s="8" t="str">
        <x:v>kw-it</x:v>
      </x:c>
      <x:c r="K7" s="8" t="str">
        <x:v>PROPOSED</x:v>
      </x:c>
    </x:row>
    <x:row r="8" ht="48" customHeight="1">
      <x:c r="A8" s="9" t="str">
        <x:v>F04</x:v>
      </x:c>
      <x:c r="B8" s="9" t="str">
        <x:v>Which car fits seven people and our bags?</x:v>
      </x:c>
      <x:c r="C8" s="9" t="str">
        <x:v>Choose vehicle</x:v>
      </x:c>
      <x:c r="D8" s="9" t="str">
        <x:v>Passengers, child seats, luggage, transmission</x:v>
      </x:c>
      <x:c r="E8" s="9" t="str">
        <x:v>How much boot space remains with all seats in use?</x:v>
      </x:c>
      <x:c r="F8" s="9" t="str">
        <x:v>PROPOSED FAN-OUT</x:v>
      </x:c>
      <x:c r="G8" s="9"/>
      <x:c r="H8" s="11" t="str">
        <x:v>https://naxos-carrentals.com/en/fleet/collections/family-7-seater</x:v>
      </x:c>
      <x:c r="I8" s="9" t="str">
        <x:v>Dated luggage photos and actual configured seats</x:v>
      </x:c>
      <x:c r="J8" s="9" t="str">
        <x:v>SRC-REPO; WEB-ENJOY</x:v>
      </x:c>
      <x:c r="K8" s="9" t="str">
        <x:v>PROPOSED</x:v>
      </x:c>
    </x:row>
    <x:row r="9" ht="48" customHeight="1">
      <x:c r="A9" s="8" t="str">
        <x:v>F05</x:v>
      </x:c>
      <x:c r="B9" s="8" t="str">
        <x:v>What does car insurance cover on Naxos?</x:v>
      </x:c>
      <x:c r="C9" s="8" t="str">
        <x:v>Compare risk and cost</x:v>
      </x:c>
      <x:c r="D9" s="8" t="str">
        <x:v>CDW, excess, excluded roads, tires, glass</x:v>
      </x:c>
      <x:c r="E9" s="8" t="str">
        <x:v>What is the excess? What changes with optional cover?</x:v>
      </x:c>
      <x:c r="F9" s="8" t="str">
        <x:v>PROPOSED FAN-OUT</x:v>
      </x:c>
      <x:c r="G9" s="8"/>
      <x:c r="H9" s="10" t="str">
        <x:v>https://naxos-carrentals.com/en/insurance</x:v>
      </x:c>
      <x:c r="I9" s="8" t="str">
        <x:v>Verified insurance table, effective date and terms</x:v>
      </x:c>
      <x:c r="J9" s="8" t="str">
        <x:v>serp-DE</x:v>
      </x:c>
      <x:c r="K9" s="8" t="str">
        <x:v>PROPOSED</x:v>
      </x:c>
    </x:row>
    <x:row r="10" ht="48" customHeight="1">
      <x:c r="A10" s="9" t="str">
        <x:v>F06</x:v>
      </x:c>
      <x:c r="B10" s="9" t="str">
        <x:v>Is it worth renting a car in Naxos?</x:v>
      </x:c>
      <x:c r="C10" s="9" t="str">
        <x:v>Decide transport</x:v>
      </x:c>
      <x:c r="D10" s="9" t="str">
        <x:v>Chora, beaches, villages, bus, trip length</x:v>
      </x:c>
      <x:c r="E10" s="9" t="str">
        <x:v>Could I use buses for my itinerary? When would a car help?</x:v>
      </x:c>
      <x:c r="F10" s="9" t="str">
        <x:v>PAA-LED PROPOSAL</x:v>
      </x:c>
      <x:c r="G10" s="9"/>
      <x:c r="H10" s="11" t="str">
        <x:v>https://naxos-carrentals.com/en/guides/do-you-need-a-car-in-naxos</x:v>
      </x:c>
      <x:c r="I10" s="9" t="str">
        <x:v>Dated route comparison and official transport references</x:v>
      </x:c>
      <x:c r="J10" s="9" t="str">
        <x:v>serp-GB</x:v>
      </x:c>
      <x:c r="K10" s="9" t="str">
        <x:v>PROPOSED</x:v>
      </x:c>
    </x:row>
    <x:row r="11" ht="48" customHeight="1">
      <x:c r="A11" s="8" t="str">
        <x:v>F07</x:v>
      </x:c>
      <x:c r="B11" s="8" t="str">
        <x:v>Do I need a 4x4 to explore Naxos?</x:v>
      </x:c>
      <x:c r="C11" s="8" t="str">
        <x:v>Match car to legal route</x:v>
      </x:c>
      <x:c r="D11" s="8" t="str">
        <x:v>Road surface, route restrictions, cover</x:v>
      </x:c>
      <x:c r="E11" s="8" t="str">
        <x:v>Is an SUV always four-wheel drive? Are unpaved roads allowed?</x:v>
      </x:c>
      <x:c r="F11" s="8" t="str">
        <x:v>PROPOSED FAN-OUT</x:v>
      </x:c>
      <x:c r="G11" s="8"/>
      <x:c r="H11" s="10" t="str">
        <x:v>https://naxos-carrentals.com/en/fleet/collections/suv-4x4</x:v>
      </x:c>
      <x:c r="I11" s="8" t="str">
        <x:v>Actual drivetrain and rental restrictions</x:v>
      </x:c>
      <x:c r="J11" s="8" t="str">
        <x:v>SRC-REPO</x:v>
      </x:c>
      <x:c r="K11" s="8" t="str">
        <x:v>PROPOSED</x:v>
      </x:c>
    </x:row>
  </x:sheetData>
  <x:mergeCells>
    <x:mergeCell ref="A1:E1"/>
    <x:mergeCell ref="A2:F2"/>
  </x:mergeCells>
  <x:conditionalFormatting sqref="K5:K11">
    <x:cfRule type="containsText" dxfId="11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d942d090c5a6412e"/>
  </x:tableParts>
</x:worksheet>
</file>

<file path=xl/worksheets/sheet11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21" hidden="0" customWidth="1"/>
    <x:col min="3" max="3" width="25" hidden="0" customWidth="1"/>
    <x:col min="4" max="4" width="20" hidden="0" customWidth="1"/>
    <x:col min="5" max="5" width="37" hidden="0" customWidth="1"/>
    <x:col min="6" max="6" width="40" hidden="0" customWidth="1"/>
    <x:col min="7" max="7" width="16" hidden="0" customWidth="1"/>
    <x:col min="8" max="8" width="17" hidden="0" customWidth="1"/>
    <x:col min="9" max="9" width="27" hidden="0" customWidth="1"/>
    <x:col min="10" max="10" width="22" hidden="0" customWidth="1"/>
    <x:col min="11" max="11" width="21" hidden="0" customWidth="1"/>
    <x:col min="12" max="12" width="20" hidden="0" customWidth="1"/>
    <x:col min="13" max="13" width="18" hidden="0" customWidth="1"/>
    <x:col min="14" max="14" width="22" hidden="0" customWidth="1"/>
    <x:col min="15" max="15" width="82" hidden="0" customWidth="1"/>
    <x:col min="16" max="16" width="27" hidden="0" customWidth="1"/>
    <x:col min="17" max="17" width="38" hidden="0" customWidth="1"/>
    <x:col min="18" max="18" width="22" hidden="0" customWidth="1"/>
    <x:col min="19" max="19" width="90" hidden="0" customWidth="1"/>
  </x:cols>
  <x:sheetData>
    <x:row r="1" ht="34" customHeight="1">
      <x:c r="A1" s="4" t="str">
        <x:v>AI Visibility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44" customHeight="1">
      <x:c r="A2" s="5" t="str">
        <x:v>Separate mentions, citations, recommendations, visits and conversions. Eight links come from one German Google AIO, not eight independent prompts. Native GSC/Bing reports were not connected.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42" customHeight="1">
      <x:c r="A4" s="7" t="str">
        <x:v>Observation ID</x:v>
      </x:c>
      <x:c r="B4" s="7" t="str">
        <x:v>Platform</x:v>
      </x:c>
      <x:c r="C4" s="7" t="str">
        <x:v>Surface</x:v>
      </x:c>
      <x:c r="D4" s="7" t="str">
        <x:v>Model</x:v>
      </x:c>
      <x:c r="E4" s="7" t="str">
        <x:v>Prompt origin</x:v>
      </x:c>
      <x:c r="F4" s="7" t="str">
        <x:v>Exact query / prompt</x:v>
      </x:c>
      <x:c r="G4" s="7" t="str">
        <x:v>Market</x:v>
      </x:c>
      <x:c r="H4" s="7" t="str">
        <x:v>Language</x:v>
      </x:c>
      <x:c r="I4" s="7" t="str">
        <x:v>Underlying date</x:v>
      </x:c>
      <x:c r="J4" s="7" t="str">
        <x:v>Collection date</x:v>
      </x:c>
      <x:c r="K4" s="7" t="str">
        <x:v>Prompt sample size</x:v>
      </x:c>
      <x:c r="L4" s="7" t="str">
        <x:v>Brand mention</x:v>
      </x:c>
      <x:c r="M4" s="7" t="str">
        <x:v>Citation</x:v>
      </x:c>
      <x:c r="N4" s="7" t="str">
        <x:v>Recommendation</x:v>
      </x:c>
      <x:c r="O4" s="7" t="str">
        <x:v>Cited URL</x:v>
      </x:c>
      <x:c r="P4" s="7" t="str">
        <x:v>Collection method</x:v>
      </x:c>
      <x:c r="Q4" s="7" t="str">
        <x:v>Source ID</x:v>
      </x:c>
      <x:c r="R4" s="7" t="str">
        <x:v>Evidence status</x:v>
      </x:c>
      <x:c r="S4" s="7" t="str">
        <x:v>Limitations</x:v>
      </x:c>
    </x:row>
    <x:row r="5" ht="48" customHeight="1">
      <x:c r="A5" s="8" t="str">
        <x:v>AI1</x:v>
      </x:c>
      <x:c r="B5" s="8" t="str">
        <x:v>Google</x:v>
      </x:c>
      <x:c r="C5" s="8" t="str">
        <x:v>AI Overview</x:v>
      </x:c>
      <x:c r="D5" s="8" t="str">
        <x:v>Undisclosed</x:v>
      </x:c>
      <x:c r="E5" s="8" t="str">
        <x:v>Ahrefs Google SERP query</x:v>
      </x:c>
      <x:c r="F5" s="8" t="str">
        <x:v>mietwagen naxos</x:v>
      </x:c>
      <x:c r="G5" s="8" t="str">
        <x:v>DE</x:v>
      </x:c>
      <x:c r="H5" s="8" t="str">
        <x:v>de</x:v>
      </x:c>
      <x:c r="I5" s="8" t="n">
        <x:v>46258.35288194445</x:v>
      </x:c>
      <x:c r="J5" s="8" t="str">
        <x:v>2026-09-24</x:v>
      </x:c>
      <x:c r="K5" s="8" t="n">
        <x:v>1</x:v>
      </x:c>
      <x:c r="L5" s="8"/>
      <x:c r="M5" s="19" t="b">
        <x:v>1</x:v>
      </x:c>
      <x:c r="N5" s="8"/>
      <x:c r="O5" s="10" t="str">
        <x:v>https://mietwagen.check24.de/mietwagen/griechenland/naxos</x:v>
      </x:c>
      <x:c r="P5" s="8" t="str">
        <x:v>Vendor snapshot</x:v>
      </x:c>
      <x:c r="Q5" s="8" t="str">
        <x:v>serp-DE</x:v>
      </x:c>
      <x:c r="R5" s="8" t="str">
        <x:v>OBSERVED</x:v>
      </x:c>
      <x:c r="S5" s="8" t="str">
        <x:v>Citation link is observed. Answer text and recommendation context are unavailable.</x:v>
      </x:c>
    </x:row>
    <x:row r="6" ht="48" customHeight="1">
      <x:c r="A6" s="9" t="str">
        <x:v>AI2</x:v>
      </x:c>
      <x:c r="B6" s="9" t="str">
        <x:v>Google</x:v>
      </x:c>
      <x:c r="C6" s="9" t="str">
        <x:v>AI Overview</x:v>
      </x:c>
      <x:c r="D6" s="9" t="str">
        <x:v>Undisclosed</x:v>
      </x:c>
      <x:c r="E6" s="9" t="str">
        <x:v>Ahrefs Google SERP query</x:v>
      </x:c>
      <x:c r="F6" s="9" t="str">
        <x:v>mietwagen naxos</x:v>
      </x:c>
      <x:c r="G6" s="9" t="str">
        <x:v>DE</x:v>
      </x:c>
      <x:c r="H6" s="9" t="str">
        <x:v>de</x:v>
      </x:c>
      <x:c r="I6" s="9" t="n">
        <x:v>46258.35288194445</x:v>
      </x:c>
      <x:c r="J6" s="9" t="str">
        <x:v>2026-09-24</x:v>
      </x:c>
      <x:c r="K6" s="9" t="n">
        <x:v>1</x:v>
      </x:c>
      <x:c r="L6" s="9"/>
      <x:c r="M6" s="20" t="b">
        <x:v>1</x:v>
      </x:c>
      <x:c r="N6" s="9"/>
      <x:c r="O6" s="11" t="str">
        <x:v>https://www.sunnycars.de/mietwagen/naxos-hafen/</x:v>
      </x:c>
      <x:c r="P6" s="9" t="str">
        <x:v>Vendor snapshot</x:v>
      </x:c>
      <x:c r="Q6" s="9" t="str">
        <x:v>serp-DE</x:v>
      </x:c>
      <x:c r="R6" s="9" t="str">
        <x:v>OBSERVED</x:v>
      </x:c>
      <x:c r="S6" s="9" t="str">
        <x:v>Citation link is observed. Answer text and recommendation context are unavailable.</x:v>
      </x:c>
    </x:row>
    <x:row r="7" ht="48" customHeight="1">
      <x:c r="A7" s="8" t="str">
        <x:v>AI3</x:v>
      </x:c>
      <x:c r="B7" s="8" t="str">
        <x:v>Google</x:v>
      </x:c>
      <x:c r="C7" s="8" t="str">
        <x:v>AI Overview</x:v>
      </x:c>
      <x:c r="D7" s="8" t="str">
        <x:v>Undisclosed</x:v>
      </x:c>
      <x:c r="E7" s="8" t="str">
        <x:v>Ahrefs Google SERP query</x:v>
      </x:c>
      <x:c r="F7" s="8" t="str">
        <x:v>mietwagen naxos</x:v>
      </x:c>
      <x:c r="G7" s="8" t="str">
        <x:v>DE</x:v>
      </x:c>
      <x:c r="H7" s="8" t="str">
        <x:v>de</x:v>
      </x:c>
      <x:c r="I7" s="8" t="n">
        <x:v>46258.35288194445</x:v>
      </x:c>
      <x:c r="J7" s="8" t="str">
        <x:v>2026-09-24</x:v>
      </x:c>
      <x:c r="K7" s="8" t="n">
        <x:v>1</x:v>
      </x:c>
      <x:c r="L7" s="8"/>
      <x:c r="M7" s="19" t="b">
        <x:v>1</x:v>
      </x:c>
      <x:c r="N7" s="8"/>
      <x:c r="O7" s="10" t="str">
        <x:v>https://www.booking.com/cars/city/gr/naxos.de.html</x:v>
      </x:c>
      <x:c r="P7" s="8" t="str">
        <x:v>Vendor snapshot</x:v>
      </x:c>
      <x:c r="Q7" s="8" t="str">
        <x:v>serp-DE</x:v>
      </x:c>
      <x:c r="R7" s="8" t="str">
        <x:v>OBSERVED</x:v>
      </x:c>
      <x:c r="S7" s="8" t="str">
        <x:v>Citation link is observed. Answer text and recommendation context are unavailable.</x:v>
      </x:c>
    </x:row>
    <x:row r="8" ht="48" customHeight="1">
      <x:c r="A8" s="9" t="str">
        <x:v>AI4</x:v>
      </x:c>
      <x:c r="B8" s="9" t="str">
        <x:v>Google</x:v>
      </x:c>
      <x:c r="C8" s="9" t="str">
        <x:v>AI Overview</x:v>
      </x:c>
      <x:c r="D8" s="9" t="str">
        <x:v>Undisclosed</x:v>
      </x:c>
      <x:c r="E8" s="9" t="str">
        <x:v>Ahrefs Google SERP query</x:v>
      </x:c>
      <x:c r="F8" s="9" t="str">
        <x:v>mietwagen naxos</x:v>
      </x:c>
      <x:c r="G8" s="9" t="str">
        <x:v>DE</x:v>
      </x:c>
      <x:c r="H8" s="9" t="str">
        <x:v>de</x:v>
      </x:c>
      <x:c r="I8" s="9" t="n">
        <x:v>46258.35288194445</x:v>
      </x:c>
      <x:c r="J8" s="9" t="str">
        <x:v>2026-09-24</x:v>
      </x:c>
      <x:c r="K8" s="9" t="n">
        <x:v>1</x:v>
      </x:c>
      <x:c r="L8" s="9"/>
      <x:c r="M8" s="20" t="b">
        <x:v>1</x:v>
      </x:c>
      <x:c r="N8" s="9"/>
      <x:c r="O8" s="11" t="str">
        <x:v>https://www.mietwagen-check.de/mietwagen-Naxos-Stadt-18997.html</x:v>
      </x:c>
      <x:c r="P8" s="9" t="str">
        <x:v>Vendor snapshot</x:v>
      </x:c>
      <x:c r="Q8" s="9" t="str">
        <x:v>serp-DE</x:v>
      </x:c>
      <x:c r="R8" s="9" t="str">
        <x:v>OBSERVED</x:v>
      </x:c>
      <x:c r="S8" s="9" t="str">
        <x:v>Citation link is observed. Answer text and recommendation context are unavailable.</x:v>
      </x:c>
    </x:row>
    <x:row r="9" ht="48" customHeight="1">
      <x:c r="A9" s="8" t="str">
        <x:v>AI5</x:v>
      </x:c>
      <x:c r="B9" s="8" t="str">
        <x:v>Google</x:v>
      </x:c>
      <x:c r="C9" s="8" t="str">
        <x:v>AI Overview</x:v>
      </x:c>
      <x:c r="D9" s="8" t="str">
        <x:v>Undisclosed</x:v>
      </x:c>
      <x:c r="E9" s="8" t="str">
        <x:v>Ahrefs Google SERP query</x:v>
      </x:c>
      <x:c r="F9" s="8" t="str">
        <x:v>mietwagen naxos</x:v>
      </x:c>
      <x:c r="G9" s="8" t="str">
        <x:v>DE</x:v>
      </x:c>
      <x:c r="H9" s="8" t="str">
        <x:v>de</x:v>
      </x:c>
      <x:c r="I9" s="8" t="n">
        <x:v>46258.35288194445</x:v>
      </x:c>
      <x:c r="J9" s="8" t="str">
        <x:v>2026-09-24</x:v>
      </x:c>
      <x:c r="K9" s="8" t="n">
        <x:v>1</x:v>
      </x:c>
      <x:c r="L9" s="8"/>
      <x:c r="M9" s="19" t="b">
        <x:v>1</x:v>
      </x:c>
      <x:c r="N9" s="8"/>
      <x:c r="O9" s="10" t="str">
        <x:v>https://www.hertz.gr/de/autovermietung/netz-sehenswuerdigkeiten-und-routen/naxos/</x:v>
      </x:c>
      <x:c r="P9" s="8" t="str">
        <x:v>Vendor snapshot</x:v>
      </x:c>
      <x:c r="Q9" s="8" t="str">
        <x:v>serp-DE</x:v>
      </x:c>
      <x:c r="R9" s="8" t="str">
        <x:v>OBSERVED</x:v>
      </x:c>
      <x:c r="S9" s="8" t="str">
        <x:v>Citation link is observed. Answer text and recommendation context are unavailable.</x:v>
      </x:c>
    </x:row>
    <x:row r="10" ht="48" customHeight="1">
      <x:c r="A10" s="9" t="str">
        <x:v>AI6</x:v>
      </x:c>
      <x:c r="B10" s="9" t="str">
        <x:v>Google</x:v>
      </x:c>
      <x:c r="C10" s="9" t="str">
        <x:v>AI Overview</x:v>
      </x:c>
      <x:c r="D10" s="9" t="str">
        <x:v>Undisclosed</x:v>
      </x:c>
      <x:c r="E10" s="9" t="str">
        <x:v>Ahrefs Google SERP query</x:v>
      </x:c>
      <x:c r="F10" s="9" t="str">
        <x:v>mietwagen naxos</x:v>
      </x:c>
      <x:c r="G10" s="9" t="str">
        <x:v>DE</x:v>
      </x:c>
      <x:c r="H10" s="9" t="str">
        <x:v>de</x:v>
      </x:c>
      <x:c r="I10" s="9" t="n">
        <x:v>46258.35288194445</x:v>
      </x:c>
      <x:c r="J10" s="9" t="str">
        <x:v>2026-09-24</x:v>
      </x:c>
      <x:c r="K10" s="9" t="n">
        <x:v>1</x:v>
      </x:c>
      <x:c r="L10" s="9"/>
      <x:c r="M10" s="20" t="b">
        <x:v>1</x:v>
      </x:c>
      <x:c r="N10" s="9"/>
      <x:c r="O10" s="11" t="str">
        <x:v>https://www.kayak.de/Guenstige-Mietwagen-in-Naxos.18102.cars.ksp</x:v>
      </x:c>
      <x:c r="P10" s="9" t="str">
        <x:v>Vendor snapshot</x:v>
      </x:c>
      <x:c r="Q10" s="9" t="str">
        <x:v>serp-DE</x:v>
      </x:c>
      <x:c r="R10" s="9" t="str">
        <x:v>OBSERVED</x:v>
      </x:c>
      <x:c r="S10" s="9" t="str">
        <x:v>Citation link is observed. Answer text and recommendation context are unavailable.</x:v>
      </x:c>
    </x:row>
    <x:row r="11" ht="48" customHeight="1">
      <x:c r="A11" s="8" t="str">
        <x:v>AI7</x:v>
      </x:c>
      <x:c r="B11" s="8" t="str">
        <x:v>Google</x:v>
      </x:c>
      <x:c r="C11" s="8" t="str">
        <x:v>AI Overview</x:v>
      </x:c>
      <x:c r="D11" s="8" t="str">
        <x:v>Undisclosed</x:v>
      </x:c>
      <x:c r="E11" s="8" t="str">
        <x:v>Ahrefs Google SERP query</x:v>
      </x:c>
      <x:c r="F11" s="8" t="str">
        <x:v>mietwagen naxos</x:v>
      </x:c>
      <x:c r="G11" s="8" t="str">
        <x:v>DE</x:v>
      </x:c>
      <x:c r="H11" s="8" t="str">
        <x:v>de</x:v>
      </x:c>
      <x:c r="I11" s="8" t="n">
        <x:v>46258.35288194445</x:v>
      </x:c>
      <x:c r="J11" s="8" t="str">
        <x:v>2026-09-24</x:v>
      </x:c>
      <x:c r="K11" s="8" t="n">
        <x:v>1</x:v>
      </x:c>
      <x:c r="L11" s="8"/>
      <x:c r="M11" s="19" t="b">
        <x:v>1</x:v>
      </x:c>
      <x:c r="N11" s="8"/>
      <x:c r="O11" s="10" t="str">
        <x:v>https://www.sunnycars.de/mietwagen/griechenland/</x:v>
      </x:c>
      <x:c r="P11" s="8" t="str">
        <x:v>Vendor snapshot</x:v>
      </x:c>
      <x:c r="Q11" s="8" t="str">
        <x:v>serp-DE</x:v>
      </x:c>
      <x:c r="R11" s="8" t="str">
        <x:v>OBSERVED</x:v>
      </x:c>
      <x:c r="S11" s="8" t="str">
        <x:v>Citation link is observed. Answer text and recommendation context are unavailable.</x:v>
      </x:c>
    </x:row>
    <x:row r="12" ht="48" customHeight="1">
      <x:c r="A12" s="9" t="str">
        <x:v>AI8</x:v>
      </x:c>
      <x:c r="B12" s="9" t="str">
        <x:v>Google</x:v>
      </x:c>
      <x:c r="C12" s="9" t="str">
        <x:v>AI Overview</x:v>
      </x:c>
      <x:c r="D12" s="9" t="str">
        <x:v>Undisclosed</x:v>
      </x:c>
      <x:c r="E12" s="9" t="str">
        <x:v>Ahrefs Google SERP query</x:v>
      </x:c>
      <x:c r="F12" s="9" t="str">
        <x:v>mietwagen naxos</x:v>
      </x:c>
      <x:c r="G12" s="9" t="str">
        <x:v>DE</x:v>
      </x:c>
      <x:c r="H12" s="9" t="str">
        <x:v>de</x:v>
      </x:c>
      <x:c r="I12" s="9" t="n">
        <x:v>46258.35288194445</x:v>
      </x:c>
      <x:c r="J12" s="9" t="str">
        <x:v>2026-09-24</x:v>
      </x:c>
      <x:c r="K12" s="9" t="n">
        <x:v>1</x:v>
      </x:c>
      <x:c r="L12" s="9"/>
      <x:c r="M12" s="20" t="b">
        <x:v>1</x:v>
      </x:c>
      <x:c r="N12" s="9"/>
      <x:c r="O12" s="11" t="str">
        <x:v>https://www.youtube.com/watch?v=3Wu9gMqz5RI</x:v>
      </x:c>
      <x:c r="P12" s="9" t="str">
        <x:v>Vendor snapshot</x:v>
      </x:c>
      <x:c r="Q12" s="9" t="str">
        <x:v>serp-DE</x:v>
      </x:c>
      <x:c r="R12" s="9" t="str">
        <x:v>OBSERVED</x:v>
      </x:c>
      <x:c r="S12" s="9" t="str">
        <x:v>Citation link is observed. Answer text and recommendation context are unavailable.</x:v>
      </x:c>
    </x:row>
    <x:row r="13" ht="48" customHeight="1">
      <x:c r="A13" s="8" t="str">
        <x:v>AI-TARGET</x:v>
      </x:c>
      <x:c r="B13" s="8" t="str">
        <x:v>Google</x:v>
      </x:c>
      <x:c r="C13" s="8" t="str">
        <x:v>AI Overview</x:v>
      </x:c>
      <x:c r="D13" s="8" t="str">
        <x:v>Undisclosed</x:v>
      </x:c>
      <x:c r="E13" s="8" t="str">
        <x:v>Ahrefs Google SERP query</x:v>
      </x:c>
      <x:c r="F13" s="8" t="str">
        <x:v>mietwagen naxos</x:v>
      </x:c>
      <x:c r="G13" s="8" t="str">
        <x:v>DE</x:v>
      </x:c>
      <x:c r="H13" s="8" t="str">
        <x:v>de</x:v>
      </x:c>
      <x:c r="I13" s="8" t="str">
        <x:v>2026-08-24</x:v>
      </x:c>
      <x:c r="J13" s="8" t="str">
        <x:v>2026-09-24</x:v>
      </x:c>
      <x:c r="K13" s="8" t="n">
        <x:v>1</x:v>
      </x:c>
      <x:c r="L13" s="8"/>
      <x:c r="M13" s="19" t="b">
        <x:v>0</x:v>
      </x:c>
      <x:c r="N13" s="8"/>
      <x:c r="O13" s="10"/>
      <x:c r="P13" s="8" t="str">
        <x:v>Vendor snapshot</x:v>
      </x:c>
      <x:c r="Q13" s="8" t="str">
        <x:v>serp-DE</x:v>
      </x:c>
      <x:c r="R13" s="8" t="str">
        <x:v>OBSERVED</x:v>
      </x:c>
      <x:c r="S13" s="8" t="str">
        <x:v>Target domain not found among eight returned citation URLs in this one sample. Not a universal absence.</x:v>
      </x:c>
    </x:row>
    <x:row r="14" ht="48" customHeight="1">
      <x:c r="A14" s="9" t="str">
        <x:v>AI-ChatGPT</x:v>
      </x:c>
      <x:c r="B14" s="9" t="str">
        <x:v>ChatGPT</x:v>
      </x:c>
      <x:c r="C14" s="9" t="str">
        <x:v>Not sampled</x:v>
      </x:c>
      <x:c r="D14" s="9"/>
      <x:c r="E14" s="9" t="str">
        <x:v>Unbranded category cohort requested</x:v>
      </x:c>
      <x:c r="F14" s="9"/>
      <x:c r="G14" s="9"/>
      <x:c r="H14" s="9"/>
      <x:c r="I14" s="9"/>
      <x:c r="J14" s="9" t="str">
        <x:v>2026-09-24</x:v>
      </x:c>
      <x:c r="K14" s="9" t="n">
        <x:v>0</x:v>
      </x:c>
      <x:c r="L14" s="9"/>
      <x:c r="M14" s="9"/>
      <x:c r="N14" s="9"/>
      <x:c r="O14" s="11"/>
      <x:c r="P14" s="9" t="str">
        <x:v>Access unavailable</x:v>
      </x:c>
      <x:c r="Q14" s="9" t="str">
        <x:v>ai-category; ai-category-v2</x:v>
      </x:c>
      <x:c r="R14" s="9" t="str">
        <x:v>UNAVAILABLE</x:v>
      </x:c>
      <x:c r="S14" s="9" t="str">
        <x:v>Brand Radar rejected request: missing Chatgpt addon. No answer, citation, recommendation or search_queries received.</x:v>
      </x:c>
    </x:row>
    <x:row r="15" ht="48" customHeight="1">
      <x:c r="A15" s="8" t="str">
        <x:v>AI-Perplexity</x:v>
      </x:c>
      <x:c r="B15" s="8" t="str">
        <x:v>Perplexity</x:v>
      </x:c>
      <x:c r="C15" s="8" t="str">
        <x:v>Not sampled</x:v>
      </x:c>
      <x:c r="D15" s="8"/>
      <x:c r="E15" s="8" t="str">
        <x:v>Unbranded category cohort requested</x:v>
      </x:c>
      <x:c r="F15" s="8"/>
      <x:c r="G15" s="8"/>
      <x:c r="H15" s="8"/>
      <x:c r="I15" s="8"/>
      <x:c r="J15" s="8" t="str">
        <x:v>2026-09-24</x:v>
      </x:c>
      <x:c r="K15" s="8" t="n">
        <x:v>0</x:v>
      </x:c>
      <x:c r="L15" s="8"/>
      <x:c r="M15" s="8"/>
      <x:c r="N15" s="8"/>
      <x:c r="O15" s="10"/>
      <x:c r="P15" s="8" t="str">
        <x:v>Access unavailable</x:v>
      </x:c>
      <x:c r="Q15" s="8" t="str">
        <x:v>SRC-LIMITS</x:v>
      </x:c>
      <x:c r="R15" s="8" t="str">
        <x:v>UNAVAILABLE</x:v>
      </x:c>
      <x:c r="S15" s="8" t="str">
        <x:v>No eligible connected response dataset used. Consumer UI and API not tested.</x:v>
      </x:c>
    </x:row>
    <x:row r="16" ht="48" customHeight="1">
      <x:c r="A16" s="9" t="str">
        <x:v>AI-Copilot</x:v>
      </x:c>
      <x:c r="B16" s="9" t="str">
        <x:v>Copilot</x:v>
      </x:c>
      <x:c r="C16" s="9" t="str">
        <x:v>Not sampled</x:v>
      </x:c>
      <x:c r="D16" s="9"/>
      <x:c r="E16" s="9" t="str">
        <x:v>Unbranded category cohort requested</x:v>
      </x:c>
      <x:c r="F16" s="9"/>
      <x:c r="G16" s="9"/>
      <x:c r="H16" s="9"/>
      <x:c r="I16" s="9"/>
      <x:c r="J16" s="9" t="str">
        <x:v>2026-09-24</x:v>
      </x:c>
      <x:c r="K16" s="9" t="n">
        <x:v>0</x:v>
      </x:c>
      <x:c r="L16" s="9"/>
      <x:c r="M16" s="9"/>
      <x:c r="N16" s="9"/>
      <x:c r="O16" s="11"/>
      <x:c r="P16" s="9" t="str">
        <x:v>Access unavailable</x:v>
      </x:c>
      <x:c r="Q16" s="9" t="str">
        <x:v>SRC-LIMITS</x:v>
      </x:c>
      <x:c r="R16" s="9" t="str">
        <x:v>UNAVAILABLE</x:v>
      </x:c>
      <x:c r="S16" s="9" t="str">
        <x:v>No eligible connected response dataset used. Consumer UI and API not tested.</x:v>
      </x:c>
    </x:row>
    <x:row r="17" ht="48" customHeight="1">
      <x:c r="A17" s="8" t="str">
        <x:v>AI-Gemini</x:v>
      </x:c>
      <x:c r="B17" s="8" t="str">
        <x:v>Gemini</x:v>
      </x:c>
      <x:c r="C17" s="8" t="str">
        <x:v>Not sampled</x:v>
      </x:c>
      <x:c r="D17" s="8"/>
      <x:c r="E17" s="8" t="str">
        <x:v>Unbranded category cohort requested</x:v>
      </x:c>
      <x:c r="F17" s="8"/>
      <x:c r="G17" s="8"/>
      <x:c r="H17" s="8"/>
      <x:c r="I17" s="8"/>
      <x:c r="J17" s="8" t="str">
        <x:v>2026-09-24</x:v>
      </x:c>
      <x:c r="K17" s="8" t="n">
        <x:v>0</x:v>
      </x:c>
      <x:c r="L17" s="8"/>
      <x:c r="M17" s="8"/>
      <x:c r="N17" s="8"/>
      <x:c r="O17" s="10"/>
      <x:c r="P17" s="8" t="str">
        <x:v>Access unavailable</x:v>
      </x:c>
      <x:c r="Q17" s="8" t="str">
        <x:v>SRC-LIMITS</x:v>
      </x:c>
      <x:c r="R17" s="8" t="str">
        <x:v>UNAVAILABLE</x:v>
      </x:c>
      <x:c r="S17" s="8" t="str">
        <x:v>No eligible connected response dataset used. Consumer UI and API not tested.</x:v>
      </x:c>
    </x:row>
    <x:row r="18" ht="48" customHeight="1">
      <x:c r="A18" s="9" t="str">
        <x:v>AI-Claude</x:v>
      </x:c>
      <x:c r="B18" s="9" t="str">
        <x:v>Claude</x:v>
      </x:c>
      <x:c r="C18" s="9" t="str">
        <x:v>Not sampled</x:v>
      </x:c>
      <x:c r="D18" s="9"/>
      <x:c r="E18" s="9" t="str">
        <x:v>Unbranded category cohort requested</x:v>
      </x:c>
      <x:c r="F18" s="9"/>
      <x:c r="G18" s="9"/>
      <x:c r="H18" s="9"/>
      <x:c r="I18" s="9"/>
      <x:c r="J18" s="9" t="str">
        <x:v>2026-09-24</x:v>
      </x:c>
      <x:c r="K18" s="9" t="n">
        <x:v>0</x:v>
      </x:c>
      <x:c r="L18" s="9"/>
      <x:c r="M18" s="9"/>
      <x:c r="N18" s="9"/>
      <x:c r="O18" s="11"/>
      <x:c r="P18" s="9" t="str">
        <x:v>Access unavailable</x:v>
      </x:c>
      <x:c r="Q18" s="9" t="str">
        <x:v>SRC-LIMITS</x:v>
      </x:c>
      <x:c r="R18" s="9" t="str">
        <x:v>UNAVAILABLE</x:v>
      </x:c>
      <x:c r="S18" s="9" t="str">
        <x:v>No eligible connected response dataset used. Consumer UI and API not tested.</x:v>
      </x:c>
    </x:row>
    <x:row r="19" ht="48" customHeight="1">
      <x:c r="A19" s="8" t="str">
        <x:v>AI-Grok</x:v>
      </x:c>
      <x:c r="B19" s="8" t="str">
        <x:v>Grok</x:v>
      </x:c>
      <x:c r="C19" s="8" t="str">
        <x:v>Not sampled</x:v>
      </x:c>
      <x:c r="D19" s="8"/>
      <x:c r="E19" s="8" t="str">
        <x:v>Unbranded category cohort requested</x:v>
      </x:c>
      <x:c r="F19" s="8"/>
      <x:c r="G19" s="8"/>
      <x:c r="H19" s="8"/>
      <x:c r="I19" s="8"/>
      <x:c r="J19" s="8" t="str">
        <x:v>2026-09-24</x:v>
      </x:c>
      <x:c r="K19" s="8" t="n">
        <x:v>0</x:v>
      </x:c>
      <x:c r="L19" s="8"/>
      <x:c r="M19" s="8"/>
      <x:c r="N19" s="8"/>
      <x:c r="O19" s="10"/>
      <x:c r="P19" s="8" t="str">
        <x:v>Access unavailable</x:v>
      </x:c>
      <x:c r="Q19" s="8" t="str">
        <x:v>SRC-LIMITS</x:v>
      </x:c>
      <x:c r="R19" s="8" t="str">
        <x:v>UNAVAILABLE</x:v>
      </x:c>
      <x:c r="S19" s="8" t="str">
        <x:v>No eligible connected response dataset used. Consumer UI and API not tested.</x:v>
      </x:c>
    </x:row>
  </x:sheetData>
  <x:mergeCells>
    <x:mergeCell ref="A1:E1"/>
    <x:mergeCell ref="A2:F2"/>
  </x:mergeCells>
  <x:conditionalFormatting sqref="R5:R19">
    <x:cfRule type="containsText" dxfId="12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c3ea6491ad984168"/>
  </x:tableParts>
</x:worksheet>
</file>

<file path=xl/worksheets/sheet12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36" hidden="0" customWidth="1"/>
    <x:col min="3" max="3" width="78" hidden="0" customWidth="1"/>
    <x:col min="4" max="4" width="26" hidden="0" customWidth="1"/>
    <x:col min="5" max="5" width="62" hidden="0" customWidth="1"/>
    <x:col min="6" max="6" width="88" hidden="0" customWidth="1"/>
    <x:col min="7" max="7" width="76" hidden="0" customWidth="1"/>
    <x:col min="8" max="8" width="36" hidden="0" customWidth="1"/>
    <x:col min="9" max="9" width="23" hidden="0" customWidth="1"/>
    <x:col min="10" max="10" width="75" hidden="0" customWidth="1"/>
  </x:cols>
  <x:sheetData>
    <x:row r="1" ht="34" customHeight="1">
      <x:c r="A1" s="4" t="str">
        <x:v>Citation Opportunities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4" customHeight="1">
      <x:c r="A2" s="5" t="str">
        <x:v>Recommendations explain why a source would be useful to reference. Citation eligibility is not a promise of inclusion. No outreach, listing edits or submissions were made.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42" customHeight="1">
      <x:c r="A4" s="7" t="str">
        <x:v>Opportunity ID</x:v>
      </x:c>
      <x:c r="B4" s="7" t="str">
        <x:v>Type</x:v>
      </x:c>
      <x:c r="C4" s="7" t="str">
        <x:v>Owner / source URL</x:v>
      </x:c>
      <x:c r="D4" s="7" t="str">
        <x:v>Cluster ID</x:v>
      </x:c>
      <x:c r="E4" s="7" t="str">
        <x:v>Observed basis</x:v>
      </x:c>
      <x:c r="F4" s="7" t="str">
        <x:v>Reference-worthy contribution</x:v>
      </x:c>
      <x:c r="G4" s="7" t="str">
        <x:v>Verification requirement</x:v>
      </x:c>
      <x:c r="H4" s="7" t="str">
        <x:v>Source IDs</x:v>
      </x:c>
      <x:c r="I4" s="7" t="str">
        <x:v>Evidence status</x:v>
      </x:c>
      <x:c r="J4" s="7" t="str">
        <x:v>Success measure</x:v>
      </x:c>
    </x:row>
    <x:row r="5" ht="48" customHeight="1">
      <x:c r="A5" s="8" t="str">
        <x:v>CIT01</x:v>
      </x:c>
      <x:c r="B5" s="8" t="str">
        <x:v>OWNED-SOURCE OPPORTUNITY</x:v>
      </x:c>
      <x:c r="C5" s="10" t="str">
        <x:v>https://naxos-carrentals.com/de/locations/port-pickup</x:v>
      </x:c>
      <x:c r="D5" s="8" t="str">
        <x:v>C-de-port</x:v>
      </x:c>
      <x:c r="E5" s="8" t="str">
        <x:v>German AIO cites Sunny Cars port page.</x:v>
      </x:c>
      <x:c r="F5" s="8" t="str">
        <x:v>Useful reference: dated pickup photo, precise meeting point, return process and disruption instructions.</x:v>
      </x:c>
      <x:c r="G5" s="8" t="str">
        <x:v>Owner to verify pin, contact and operating windows</x:v>
      </x:c>
      <x:c r="H5" s="8" t="str">
        <x:v>serp-DE; WEB-SUNNY</x:v>
      </x:c>
      <x:c r="I5" s="8" t="str">
        <x:v>PROPOSED</x:v>
      </x:c>
      <x:c r="J5" s="8" t="str">
        <x:v>Track fixed DE arrival prompts and page-level citations separately from bookings</x:v>
      </x:c>
    </x:row>
    <x:row r="6" ht="48" customHeight="1">
      <x:c r="A6" s="9" t="str">
        <x:v>CIT02</x:v>
      </x:c>
      <x:c r="B6" s="9" t="str">
        <x:v>OWNED-SOURCE OPPORTUNITY</x:v>
      </x:c>
      <x:c r="C6" s="11" t="str">
        <x:v>https://naxos-carrentals.com/en/insurance</x:v>
      </x:c>
      <x:c r="D6" s="9" t="str">
        <x:v>C-en-insurance</x:v>
      </x:c>
      <x:c r="E6" s="9" t="str">
        <x:v>Intermediaries dominate cited rental sources.</x:v>
      </x:c>
      <x:c r="F6" s="9" t="str">
        <x:v>Useful reference: transparent cover/excess table with exclusions, source policy and effective date.</x:v>
      </x:c>
      <x:c r="G6" s="9" t="str">
        <x:v>Operator / insurer approval of every statement</x:v>
      </x:c>
      <x:c r="H6" s="9" t="str">
        <x:v>serp-DE; SRC-REPO</x:v>
      </x:c>
      <x:c r="I6" s="9" t="str">
        <x:v>PROPOSED</x:v>
      </x:c>
      <x:c r="J6" s="9" t="str">
        <x:v>Observe actual citation links and qualified insurance-to-booking sessions</x:v>
      </x:c>
    </x:row>
    <x:row r="7" ht="48" customHeight="1">
      <x:c r="A7" s="8" t="str">
        <x:v>CIT03</x:v>
      </x:c>
      <x:c r="B7" s="8" t="str">
        <x:v>OWNED-SOURCE OPPORTUNITY</x:v>
      </x:c>
      <x:c r="C7" s="10" t="str">
        <x:v>https://naxos-carrentals.com/en/fleet/collections/family-7-seater</x:v>
      </x:c>
      <x:c r="D7" s="8" t="str">
        <x:v>C-en-family</x:v>
      </x:c>
      <x:c r="E7" s="8" t="str">
        <x:v>Fleet is a direct source of vehicle information.</x:v>
      </x:c>
      <x:c r="F7" s="8" t="str">
        <x:v>Useful reference: original luggage tests/photos for bookable groups, with seven seats occupied.</x:v>
      </x:c>
      <x:c r="G7" s="8" t="str">
        <x:v>Photograph actual vehicles and state method/date</x:v>
      </x:c>
      <x:c r="H7" s="8" t="str">
        <x:v>SRC-REPO; WEB-ENJOY</x:v>
      </x:c>
      <x:c r="I7" s="8" t="str">
        <x:v>PROPOSED</x:v>
      </x:c>
      <x:c r="J7" s="8" t="str">
        <x:v>Measure comparison-page usage and booking handoffs; citations remain exploratory</x:v>
      </x:c>
    </x:row>
    <x:row r="8" ht="48" customHeight="1">
      <x:c r="A8" s="9" t="str">
        <x:v>CIT04</x:v>
      </x:c>
      <x:c r="B8" s="9" t="str">
        <x:v>THIRD-PARTY OPPORTUNITY</x:v>
      </x:c>
      <x:c r="C8" s="11" t="str">
        <x:v>https://www.routard.com/</x:v>
      </x:c>
      <x:c r="D8" s="9" t="str">
        <x:v>C-fr-port</x:v>
      </x:c>
      <x:c r="E8" s="9" t="str">
        <x:v>Routard forum appears in FR port sample.</x:v>
      </x:c>
      <x:c r="F8" s="9" t="str">
        <x:v>Prepare a concise factual handover guide for legitimate editorial use or real customer questions.</x:v>
      </x:c>
      <x:c r="G8" s="9" t="str">
        <x:v>Editorial relevance and accurate operator identity; no fabricated reviews</x:v>
      </x:c>
      <x:c r="H8" s="9" t="str">
        <x:v>serp-FR</x:v>
      </x:c>
      <x:c r="I8" s="9" t="str">
        <x:v>PROPOSED</x:v>
      </x:c>
      <x:c r="J8" s="9" t="str">
        <x:v>Relevant editorial coverage and referred qualified sessions</x:v>
      </x:c>
    </x:row>
    <x:row r="9" ht="48" customHeight="1">
      <x:c r="A9" s="8" t="str">
        <x:v>CIT05</x:v>
      </x:c>
      <x:c r="B9" s="8" t="str">
        <x:v>ENTITY CLARITY</x:v>
      </x:c>
      <x:c r="C9" s="10" t="str">
        <x:v>https://naxos-carrentals.com/en/about</x:v>
      </x:c>
      <x:c r="D9" s="8" t="str">
        <x:v>C-en-core</x:v>
      </x:c>
      <x:c r="E9" s="8" t="str">
        <x:v>Business has several short brand forms.</x:v>
      </x:c>
      <x:c r="F9" s="8" t="str">
        <x:v>Use Fast Motor Rental Naxos consistently, retain verified address, contacts, real owners and sameAs relationships.</x:v>
      </x:c>
      <x:c r="G9" s="8" t="str">
        <x:v>Reconfirm provider profile and current contact details</x:v>
      </x:c>
      <x:c r="H9" s="8" t="str">
        <x:v>SRC-REPO; SRC-LIVE</x:v>
      </x:c>
      <x:c r="I9" s="8" t="str">
        <x:v>PROPOSED</x:v>
      </x:c>
      <x:c r="J9" s="8" t="str">
        <x:v>Correct source identity and reduced ambiguity in a fixed sampled prompt cohort</x:v>
      </x:c>
    </x:row>
  </x:sheetData>
  <x:mergeCells>
    <x:mergeCell ref="A1:E1"/>
    <x:mergeCell ref="A2:F2"/>
  </x:mergeCells>
  <x:conditionalFormatting sqref="I5:I9">
    <x:cfRule type="containsText" dxfId="13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a70da859f43c475d"/>
  </x:tableParts>
</x:worksheet>
</file>

<file path=xl/worksheets/sheet13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68" hidden="0" customWidth="1"/>
    <x:col min="4" max="4" width="34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22" hidden="0" customWidth="1"/>
    <x:col min="10" max="10" width="22" hidden="0" customWidth="1"/>
    <x:col min="11" max="11" width="22" hidden="0" customWidth="1"/>
    <x:col min="12" max="12" width="17" hidden="0" customWidth="1"/>
    <x:col min="13" max="13" width="43" hidden="0" customWidth="1"/>
    <x:col min="14" max="14" width="76" hidden="0" customWidth="1"/>
    <x:col min="15" max="15" width="42" hidden="0" customWidth="1"/>
    <x:col min="16" max="16" width="49" hidden="0" customWidth="1"/>
    <x:col min="17" max="17" width="58" hidden="0" customWidth="1"/>
    <x:col min="18" max="18" width="55" hidden="0" customWidth="1"/>
    <x:col min="19" max="19" width="70" hidden="0" customWidth="1"/>
    <x:col min="20" max="20" width="75" hidden="0" customWidth="1"/>
  </x:cols>
  <x:sheetData>
    <x:row r="1" ht="34" customHeight="1">
      <x:c r="A1" s="4" t="str">
        <x:v>Content Roadmap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44" customHeight="1">
      <x:c r="A2" s="5" t="str">
        <x:v>Score each owner page once. Provisional partial scores do not impute missing momentum as zero. Coverage is the share of weights with an available judgement.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 ht="42" customHeight="1">
      <x:c r="A4" s="7" t="str">
        <x:v>Order</x:v>
      </x:c>
      <x:c r="B4" s="7" t="str">
        <x:v>Cluster ID</x:v>
      </x:c>
      <x:c r="C4" s="7" t="str">
        <x:v>Owner URL</x:v>
      </x:c>
      <x:c r="D4" s="7" t="str">
        <x:v>Portfolio</x:v>
      </x:c>
      <x:c r="E4" s="7" t="str">
        <x:v>Business /5</x:v>
      </x:c>
      <x:c r="F4" s="7" t="str">
        <x:v>Intent /5</x:v>
      </x:c>
      <x:c r="G4" s="7" t="str">
        <x:v>Momentum /5</x:v>
      </x:c>
      <x:c r="H4" s="7" t="str">
        <x:v>Demand /5</x:v>
      </x:c>
      <x:c r="I4" s="7" t="str">
        <x:v>Evidence advantage /5</x:v>
      </x:c>
      <x:c r="J4" s="7" t="str">
        <x:v>AI opportunity /5</x:v>
      </x:c>
      <x:c r="K4" s="7" t="str">
        <x:v>Partial score /100</x:v>
      </x:c>
      <x:c r="L4" s="7" t="str">
        <x:v>Coverage</x:v>
      </x:c>
      <x:c r="M4" s="7" t="str">
        <x:v>Score status</x:v>
      </x:c>
      <x:c r="N4" s="7" t="str">
        <x:v>Work</x:v>
      </x:c>
      <x:c r="O4" s="7" t="str">
        <x:v>Source IDs</x:v>
      </x:c>
      <x:c r="P4" s="7" t="str">
        <x:v>Effort</x:v>
      </x:c>
      <x:c r="Q4" s="7" t="str">
        <x:v>Attainability</x:v>
      </x:c>
      <x:c r="R4" s="7" t="str">
        <x:v>Dependency</x:v>
      </x:c>
      <x:c r="S4" s="7" t="str">
        <x:v>Evaluation window</x:v>
      </x:c>
      <x:c r="T4" s="7" t="str">
        <x:v>Success measure</x:v>
      </x:c>
    </x:row>
    <x:row r="5" ht="48" customHeight="1">
      <x:c r="A5" s="8" t="n">
        <x:v>1</x:v>
      </x:c>
      <x:c r="B5" s="8" t="str">
        <x:v>C-de-core</x:v>
      </x:c>
      <x:c r="C5" s="10" t="str">
        <x:v>https://naxos-carrentals.com/de</x:v>
      </x:c>
      <x:c r="D5" s="8" t="str">
        <x:v>COMMERCIAL FOUNDATIONS</x:v>
      </x:c>
      <x:c r="E5" s="25" t="n">
        <x:v>5</x:v>
      </x:c>
      <x:c r="F5" s="25" t="n">
        <x:v>5</x:v>
      </x:c>
      <x:c r="G5" s="25"/>
      <x:c r="H5" s="25" t="n">
        <x:v>4</x:v>
      </x:c>
      <x:c r="I5" s="25" t="n">
        <x:v>3</x:v>
      </x:c>
      <x:c r="J5" s="25" t="n">
        <x:v>4</x:v>
      </x:c>
      <x:c r="K5" s="23" t="n">
        <x:f>20*(E5*'Scoring Inputs'!$B$5+F5*'Scoring Inputs'!$B$6+G5*'Scoring Inputs'!$B$7+H5*'Scoring Inputs'!$B$8+I5*'Scoring Inputs'!$B$9+J5*'Scoring Inputs'!$B$10)</x:f>
        <x:v>76</x:v>
      </x:c>
      <x:c r="L5" s="21" t="n">
        <x:f>IF(ISNUMBER(E5),'Scoring Inputs'!$B$5,0)+IF(ISNUMBER(F5),'Scoring Inputs'!$B$6,0)+IF(ISNUMBER(G5),'Scoring Inputs'!$B$7,0)+IF(ISNUMBER(H5),'Scoring Inputs'!$B$8,0)+IF(ISNUMBER(I5),'Scoring Inputs'!$B$9,0)+IF(ISNUMBER(J5),'Scoring Inputs'!$B$10,0)</x:f>
        <x:v>0.85</x:v>
      </x:c>
      <x:c r="M5" s="8" t="str">
        <x:v>Provisional: current momentum unavailable</x:v>
      </x:c>
      <x:c r="N5" s="8" t="str">
        <x:v>Localized booking-first homepage; preserve canonical and locale routes</x:v>
      </x:c>
      <x:c r="O5" s="8" t="str">
        <x:v>kw-de, discover-de</x:v>
      </x:c>
      <x:c r="P5" s="8" t="str">
        <x:v>Medium; copy, proof and QA</x:v>
      </x:c>
      <x:c r="Q5" s="8" t="str">
        <x:v>Large aggregators and local specialists</x:v>
      </x:c>
      <x:c r="R5" s="8" t="str">
        <x:v>Current inventory / native editorial review</x:v>
      </x:c>
      <x:c r="S5" s="8" t="str">
        <x:v>4–8 weeks after indexed release for early data; 12+ weeks for meaningful trend</x:v>
      </x:c>
      <x:c r="T5" s="8" t="str">
        <x:v>Qualified booking handoff and completion by locale/landing page</x:v>
      </x:c>
    </x:row>
    <x:row r="6" ht="48" customHeight="1">
      <x:c r="A6" s="9" t="n">
        <x:v>2</x:v>
      </x:c>
      <x:c r="B6" s="9" t="str">
        <x:v>C-fr-core</x:v>
      </x:c>
      <x:c r="C6" s="11" t="str">
        <x:v>https://naxos-carrentals.com/fr</x:v>
      </x:c>
      <x:c r="D6" s="9" t="str">
        <x:v>COMMERCIAL FOUNDATIONS</x:v>
      </x:c>
      <x:c r="E6" s="26" t="n">
        <x:v>5</x:v>
      </x:c>
      <x:c r="F6" s="26" t="n">
        <x:v>5</x:v>
      </x:c>
      <x:c r="G6" s="26"/>
      <x:c r="H6" s="26" t="n">
        <x:v>5</x:v>
      </x:c>
      <x:c r="I6" s="26" t="n">
        <x:v>3</x:v>
      </x:c>
      <x:c r="J6" s="26" t="n">
        <x:v>2</x:v>
      </x:c>
      <x:c r="K6" s="24" t="n">
        <x:f>20*(E6*'Scoring Inputs'!$B$5+F6*'Scoring Inputs'!$B$6+G6*'Scoring Inputs'!$B$7+H6*'Scoring Inputs'!$B$8+I6*'Scoring Inputs'!$B$9+J6*'Scoring Inputs'!$B$10)</x:f>
        <x:v>75</x:v>
      </x:c>
      <x:c r="L6" s="22" t="n">
        <x:f>IF(ISNUMBER(E6),'Scoring Inputs'!$B$5,0)+IF(ISNUMBER(F6),'Scoring Inputs'!$B$6,0)+IF(ISNUMBER(G6),'Scoring Inputs'!$B$7,0)+IF(ISNUMBER(H6),'Scoring Inputs'!$B$8,0)+IF(ISNUMBER(I6),'Scoring Inputs'!$B$9,0)+IF(ISNUMBER(J6),'Scoring Inputs'!$B$10,0)</x:f>
        <x:v>0.85</x:v>
      </x:c>
      <x:c r="M6" s="9" t="str">
        <x:v>Provisional: current momentum unavailable</x:v>
      </x:c>
      <x:c r="N6" s="9" t="str">
        <x:v>Localized booking-first homepage; preserve canonical and locale routes</x:v>
      </x:c>
      <x:c r="O6" s="9" t="str">
        <x:v>kw-fr, discover-fr</x:v>
      </x:c>
      <x:c r="P6" s="9" t="str">
        <x:v>Medium; copy, proof and QA</x:v>
      </x:c>
      <x:c r="Q6" s="9" t="str">
        <x:v>Large aggregators and local specialists</x:v>
      </x:c>
      <x:c r="R6" s="9" t="str">
        <x:v>Current inventory / native editorial review</x:v>
      </x:c>
      <x:c r="S6" s="9" t="str">
        <x:v>4–8 weeks after indexed release for early data; 12+ weeks for meaningful trend</x:v>
      </x:c>
      <x:c r="T6" s="9" t="str">
        <x:v>Qualified booking handoff and completion by locale/landing page</x:v>
      </x:c>
    </x:row>
    <x:row r="7" ht="48" customHeight="1">
      <x:c r="A7" s="8" t="n">
        <x:v>3</x:v>
      </x:c>
      <x:c r="B7" s="8" t="str">
        <x:v>C-el-core</x:v>
      </x:c>
      <x:c r="C7" s="10" t="str">
        <x:v>https://naxos-carrentals.com/el</x:v>
      </x:c>
      <x:c r="D7" s="8" t="str">
        <x:v>COMMERCIAL FOUNDATIONS</x:v>
      </x:c>
      <x:c r="E7" s="25" t="n">
        <x:v>5</x:v>
      </x:c>
      <x:c r="F7" s="25" t="n">
        <x:v>5</x:v>
      </x:c>
      <x:c r="G7" s="25"/>
      <x:c r="H7" s="25" t="n">
        <x:v>5</x:v>
      </x:c>
      <x:c r="I7" s="25" t="n">
        <x:v>3</x:v>
      </x:c>
      <x:c r="J7" s="25" t="n">
        <x:v>2</x:v>
      </x:c>
      <x:c r="K7" s="23" t="n">
        <x:f>20*(E7*'Scoring Inputs'!$B$5+F7*'Scoring Inputs'!$B$6+G7*'Scoring Inputs'!$B$7+H7*'Scoring Inputs'!$B$8+I7*'Scoring Inputs'!$B$9+J7*'Scoring Inputs'!$B$10)</x:f>
        <x:v>75</x:v>
      </x:c>
      <x:c r="L7" s="21" t="n">
        <x:f>IF(ISNUMBER(E7),'Scoring Inputs'!$B$5,0)+IF(ISNUMBER(F7),'Scoring Inputs'!$B$6,0)+IF(ISNUMBER(G7),'Scoring Inputs'!$B$7,0)+IF(ISNUMBER(H7),'Scoring Inputs'!$B$8,0)+IF(ISNUMBER(I7),'Scoring Inputs'!$B$9,0)+IF(ISNUMBER(J7),'Scoring Inputs'!$B$10,0)</x:f>
        <x:v>0.85</x:v>
      </x:c>
      <x:c r="M7" s="8" t="str">
        <x:v>Provisional: current momentum unavailable</x:v>
      </x:c>
      <x:c r="N7" s="8" t="str">
        <x:v>Localized booking-first homepage; preserve canonical and locale routes</x:v>
      </x:c>
      <x:c r="O7" s="8" t="str">
        <x:v>kw-gr</x:v>
      </x:c>
      <x:c r="P7" s="8" t="str">
        <x:v>Medium; copy, proof and QA</x:v>
      </x:c>
      <x:c r="Q7" s="8" t="str">
        <x:v>Large aggregators and local specialists</x:v>
      </x:c>
      <x:c r="R7" s="8" t="str">
        <x:v>Current inventory / native editorial review</x:v>
      </x:c>
      <x:c r="S7" s="8" t="str">
        <x:v>4–8 weeks after indexed release for early data; 12+ weeks for meaningful trend</x:v>
      </x:c>
      <x:c r="T7" s="8" t="str">
        <x:v>Qualified booking handoff and completion by locale/landing page</x:v>
      </x:c>
    </x:row>
    <x:row r="8" ht="48" customHeight="1">
      <x:c r="A8" s="9" t="n">
        <x:v>4</x:v>
      </x:c>
      <x:c r="B8" s="9" t="str">
        <x:v>C-it-core</x:v>
      </x:c>
      <x:c r="C8" s="11" t="str">
        <x:v>https://naxos-carrentals.com/it</x:v>
      </x:c>
      <x:c r="D8" s="9" t="str">
        <x:v>COMMERCIAL FOUNDATIONS</x:v>
      </x:c>
      <x:c r="E8" s="26" t="n">
        <x:v>5</x:v>
      </x:c>
      <x:c r="F8" s="26" t="n">
        <x:v>5</x:v>
      </x:c>
      <x:c r="G8" s="26"/>
      <x:c r="H8" s="26" t="n">
        <x:v>5</x:v>
      </x:c>
      <x:c r="I8" s="26" t="n">
        <x:v>3</x:v>
      </x:c>
      <x:c r="J8" s="26" t="n">
        <x:v>2</x:v>
      </x:c>
      <x:c r="K8" s="24" t="n">
        <x:f>20*(E8*'Scoring Inputs'!$B$5+F8*'Scoring Inputs'!$B$6+G8*'Scoring Inputs'!$B$7+H8*'Scoring Inputs'!$B$8+I8*'Scoring Inputs'!$B$9+J8*'Scoring Inputs'!$B$10)</x:f>
        <x:v>75</x:v>
      </x:c>
      <x:c r="L8" s="22" t="n">
        <x:f>IF(ISNUMBER(E8),'Scoring Inputs'!$B$5,0)+IF(ISNUMBER(F8),'Scoring Inputs'!$B$6,0)+IF(ISNUMBER(G8),'Scoring Inputs'!$B$7,0)+IF(ISNUMBER(H8),'Scoring Inputs'!$B$8,0)+IF(ISNUMBER(I8),'Scoring Inputs'!$B$9,0)+IF(ISNUMBER(J8),'Scoring Inputs'!$B$10,0)</x:f>
        <x:v>0.85</x:v>
      </x:c>
      <x:c r="M8" s="9" t="str">
        <x:v>Provisional: current momentum unavailable</x:v>
      </x:c>
      <x:c r="N8" s="9" t="str">
        <x:v>Localized booking-first homepage; preserve canonical and locale routes</x:v>
      </x:c>
      <x:c r="O8" s="9" t="str">
        <x:v>kw-it, discover-it</x:v>
      </x:c>
      <x:c r="P8" s="9" t="str">
        <x:v>Medium; copy, proof and QA</x:v>
      </x:c>
      <x:c r="Q8" s="9" t="str">
        <x:v>Large aggregators and local specialists</x:v>
      </x:c>
      <x:c r="R8" s="9" t="str">
        <x:v>Current inventory / native editorial review</x:v>
      </x:c>
      <x:c r="S8" s="9" t="str">
        <x:v>4–8 weeks after indexed release for early data; 12+ weeks for meaningful trend</x:v>
      </x:c>
      <x:c r="T8" s="9" t="str">
        <x:v>Qualified booking handoff and completion by locale/landing page</x:v>
      </x:c>
    </x:row>
    <x:row r="9" ht="48" customHeight="1">
      <x:c r="A9" s="8" t="n">
        <x:v>5</x:v>
      </x:c>
      <x:c r="B9" s="8" t="str">
        <x:v>C-fr-port</x:v>
      </x:c>
      <x:c r="C9" s="10" t="str">
        <x:v>https://naxos-carrentals.com/fr/locations/port-pickup</x:v>
      </x:c>
      <x:c r="D9" s="8" t="str">
        <x:v>COMMERCIAL FOUNDATIONS</x:v>
      </x:c>
      <x:c r="E9" s="25" t="n">
        <x:v>5</x:v>
      </x:c>
      <x:c r="F9" s="25" t="n">
        <x:v>5</x:v>
      </x:c>
      <x:c r="G9" s="25"/>
      <x:c r="H9" s="25" t="n">
        <x:v>4</x:v>
      </x:c>
      <x:c r="I9" s="25" t="n">
        <x:v>4</x:v>
      </x:c>
      <x:c r="J9" s="25" t="n">
        <x:v>2</x:v>
      </x:c>
      <x:c r="K9" s="23" t="n">
        <x:f>20*(E9*'Scoring Inputs'!$B$5+F9*'Scoring Inputs'!$B$6+G9*'Scoring Inputs'!$B$7+H9*'Scoring Inputs'!$B$8+I9*'Scoring Inputs'!$B$9+J9*'Scoring Inputs'!$B$10)</x:f>
        <x:v>74</x:v>
      </x:c>
      <x:c r="L9" s="21" t="n">
        <x:f>IF(ISNUMBER(E9),'Scoring Inputs'!$B$5,0)+IF(ISNUMBER(F9),'Scoring Inputs'!$B$6,0)+IF(ISNUMBER(G9),'Scoring Inputs'!$B$7,0)+IF(ISNUMBER(H9),'Scoring Inputs'!$B$8,0)+IF(ISNUMBER(I9),'Scoring Inputs'!$B$9,0)+IF(ISNUMBER(J9),'Scoring Inputs'!$B$10,0)</x:f>
        <x:v>0.85</x:v>
      </x:c>
      <x:c r="M9" s="8" t="str">
        <x:v>Provisional: current momentum unavailable</x:v>
      </x:c>
      <x:c r="N9" s="8" t="str">
        <x:v>Improve collect after arriving by ferry with verified original detail</x:v>
      </x:c>
      <x:c r="O9" s="8" t="str">
        <x:v>kw-fr, discover-fr</x:v>
      </x:c>
      <x:c r="P9" s="8" t="str">
        <x:v>Medium; copy, proof and QA</x:v>
      </x:c>
      <x:c r="Q9" s="8" t="str">
        <x:v>Depends on query and proof; KD is incomplete</x:v>
      </x:c>
      <x:c r="R9" s="8" t="str">
        <x:v>Current inventory / native editorial review</x:v>
      </x:c>
      <x:c r="S9" s="8" t="str">
        <x:v>4–8 weeks after indexed release for early data; 12+ weeks for meaningful trend</x:v>
      </x:c>
      <x:c r="T9" s="8" t="str">
        <x:v>Qualified booking handoff and completion by locale/landing page</x:v>
      </x:c>
    </x:row>
    <x:row r="10" ht="48" customHeight="1">
      <x:c r="A10" s="9" t="n">
        <x:v>6</x:v>
      </x:c>
      <x:c r="B10" s="9" t="str">
        <x:v>C-en-core</x:v>
      </x:c>
      <x:c r="C10" s="11" t="str">
        <x:v>https://naxos-carrentals.com/en</x:v>
      </x:c>
      <x:c r="D10" s="9" t="str">
        <x:v>COMMERCIAL FOUNDATIONS</x:v>
      </x:c>
      <x:c r="E10" s="26" t="n">
        <x:v>5</x:v>
      </x:c>
      <x:c r="F10" s="26" t="n">
        <x:v>5</x:v>
      </x:c>
      <x:c r="G10" s="26"/>
      <x:c r="H10" s="26" t="n">
        <x:v>4</x:v>
      </x:c>
      <x:c r="I10" s="26" t="n">
        <x:v>3</x:v>
      </x:c>
      <x:c r="J10" s="26" t="n">
        <x:v>2</x:v>
      </x:c>
      <x:c r="K10" s="24" t="n">
        <x:f>20*(E10*'Scoring Inputs'!$B$5+F10*'Scoring Inputs'!$B$6+G10*'Scoring Inputs'!$B$7+H10*'Scoring Inputs'!$B$8+I10*'Scoring Inputs'!$B$9+J10*'Scoring Inputs'!$B$10)</x:f>
        <x:v>72.00000000000001</x:v>
      </x:c>
      <x:c r="L10" s="22" t="n">
        <x:f>IF(ISNUMBER(E10),'Scoring Inputs'!$B$5,0)+IF(ISNUMBER(F10),'Scoring Inputs'!$B$6,0)+IF(ISNUMBER(G10),'Scoring Inputs'!$B$7,0)+IF(ISNUMBER(H10),'Scoring Inputs'!$B$8,0)+IF(ISNUMBER(I10),'Scoring Inputs'!$B$9,0)+IF(ISNUMBER(J10),'Scoring Inputs'!$B$10,0)</x:f>
        <x:v>0.85</x:v>
      </x:c>
      <x:c r="M10" s="9" t="str">
        <x:v>Provisional: current momentum unavailable</x:v>
      </x:c>
      <x:c r="N10" s="9" t="str">
        <x:v>Localized booking-first homepage; preserve canonical and locale routes</x:v>
      </x:c>
      <x:c r="O10" s="9" t="str">
        <x:v>kw-gb, discover-en</x:v>
      </x:c>
      <x:c r="P10" s="9" t="str">
        <x:v>Medium; copy, proof and QA</x:v>
      </x:c>
      <x:c r="Q10" s="9" t="str">
        <x:v>Large aggregators and local specialists</x:v>
      </x:c>
      <x:c r="R10" s="9" t="str">
        <x:v>Current inventory / native editorial review</x:v>
      </x:c>
      <x:c r="S10" s="9" t="str">
        <x:v>4–8 weeks after indexed release for early data; 12+ weeks for meaningful trend</x:v>
      </x:c>
      <x:c r="T10" s="9" t="str">
        <x:v>Qualified booking handoff and completion by locale/landing page</x:v>
      </x:c>
    </x:row>
    <x:row r="11" ht="48" customHeight="1">
      <x:c r="A11" s="8" t="n">
        <x:v>7</x:v>
      </x:c>
      <x:c r="B11" s="8" t="str">
        <x:v>C-de-port</x:v>
      </x:c>
      <x:c r="C11" s="10" t="str">
        <x:v>https://naxos-carrentals.com/de/locations/port-pickup</x:v>
      </x:c>
      <x:c r="D11" s="8" t="str">
        <x:v>COMMERCIAL FOUNDATIONS</x:v>
      </x:c>
      <x:c r="E11" s="25" t="n">
        <x:v>5</x:v>
      </x:c>
      <x:c r="F11" s="25" t="n">
        <x:v>4</x:v>
      </x:c>
      <x:c r="G11" s="25"/>
      <x:c r="H11" s="25" t="n">
        <x:v>3</x:v>
      </x:c>
      <x:c r="I11" s="25" t="n">
        <x:v>4</x:v>
      </x:c>
      <x:c r="J11" s="25" t="n">
        <x:v>4</x:v>
      </x:c>
      <x:c r="K11" s="23" t="n">
        <x:f>20*(E11*'Scoring Inputs'!$B$5+F11*'Scoring Inputs'!$B$6+G11*'Scoring Inputs'!$B$7+H11*'Scoring Inputs'!$B$8+I11*'Scoring Inputs'!$B$9+J11*'Scoring Inputs'!$B$10)</x:f>
        <x:v>71</x:v>
      </x:c>
      <x:c r="L11" s="21" t="n">
        <x:f>IF(ISNUMBER(E11),'Scoring Inputs'!$B$5,0)+IF(ISNUMBER(F11),'Scoring Inputs'!$B$6,0)+IF(ISNUMBER(G11),'Scoring Inputs'!$B$7,0)+IF(ISNUMBER(H11),'Scoring Inputs'!$B$8,0)+IF(ISNUMBER(I11),'Scoring Inputs'!$B$9,0)+IF(ISNUMBER(J11),'Scoring Inputs'!$B$10,0)</x:f>
        <x:v>0.85</x:v>
      </x:c>
      <x:c r="M11" s="8" t="str">
        <x:v>Provisional: current momentum unavailable</x:v>
      </x:c>
      <x:c r="N11" s="8" t="str">
        <x:v>Improve collect after arriving by ferry with verified original detail</x:v>
      </x:c>
      <x:c r="O11" s="8" t="str">
        <x:v>kw-de, discover-de</x:v>
      </x:c>
      <x:c r="P11" s="8" t="str">
        <x:v>Medium; copy, proof and QA</x:v>
      </x:c>
      <x:c r="Q11" s="8" t="str">
        <x:v>Depends on query and proof; KD is incomplete</x:v>
      </x:c>
      <x:c r="R11" s="8" t="str">
        <x:v>Current inventory / native editorial review</x:v>
      </x:c>
      <x:c r="S11" s="8" t="str">
        <x:v>4–8 weeks after indexed release for early data; 12+ weeks for meaningful trend</x:v>
      </x:c>
      <x:c r="T11" s="8" t="str">
        <x:v>Qualified booking handoff and completion by locale/landing page</x:v>
      </x:c>
    </x:row>
    <x:row r="12" ht="48" customHeight="1">
      <x:c r="A12" s="9" t="n">
        <x:v>8</x:v>
      </x:c>
      <x:c r="B12" s="9" t="str">
        <x:v>C-fr-airport</x:v>
      </x:c>
      <x:c r="C12" s="11" t="str">
        <x:v>https://naxos-carrentals.com/fr/locations/airport-pickup</x:v>
      </x:c>
      <x:c r="D12" s="9" t="str">
        <x:v>COMMERCIAL FOUNDATIONS</x:v>
      </x:c>
      <x:c r="E12" s="26" t="n">
        <x:v>5</x:v>
      </x:c>
      <x:c r="F12" s="26" t="n">
        <x:v>4</x:v>
      </x:c>
      <x:c r="G12" s="26"/>
      <x:c r="H12" s="26" t="n">
        <x:v>4</x:v>
      </x:c>
      <x:c r="I12" s="26" t="n">
        <x:v>4</x:v>
      </x:c>
      <x:c r="J12" s="26" t="n">
        <x:v>2</x:v>
      </x:c>
      <x:c r="K12" s="24" t="n">
        <x:f>20*(E12*'Scoring Inputs'!$B$5+F12*'Scoring Inputs'!$B$6+G12*'Scoring Inputs'!$B$7+H12*'Scoring Inputs'!$B$8+I12*'Scoring Inputs'!$B$9+J12*'Scoring Inputs'!$B$10)</x:f>
        <x:v>70</x:v>
      </x:c>
      <x:c r="L12" s="22" t="n">
        <x:f>IF(ISNUMBER(E12),'Scoring Inputs'!$B$5,0)+IF(ISNUMBER(F12),'Scoring Inputs'!$B$6,0)+IF(ISNUMBER(G12),'Scoring Inputs'!$B$7,0)+IF(ISNUMBER(H12),'Scoring Inputs'!$B$8,0)+IF(ISNUMBER(I12),'Scoring Inputs'!$B$9,0)+IF(ISNUMBER(J12),'Scoring Inputs'!$B$10,0)</x:f>
        <x:v>0.85</x:v>
      </x:c>
      <x:c r="M12" s="9" t="str">
        <x:v>Provisional: current momentum unavailable</x:v>
      </x:c>
      <x:c r="N12" s="9" t="str">
        <x:v>Improve collect at naxos airport with verified original detail</x:v>
      </x:c>
      <x:c r="O12" s="9" t="str">
        <x:v>discover-fr</x:v>
      </x:c>
      <x:c r="P12" s="9" t="str">
        <x:v>Medium; copy, proof and QA</x:v>
      </x:c>
      <x:c r="Q12" s="9" t="str">
        <x:v>Depends on query and proof; KD is incomplete</x:v>
      </x:c>
      <x:c r="R12" s="9" t="str">
        <x:v>Current inventory / native editorial review</x:v>
      </x:c>
      <x:c r="S12" s="9" t="str">
        <x:v>4–8 weeks after indexed release for early data; 12+ weeks for meaningful trend</x:v>
      </x:c>
      <x:c r="T12" s="9" t="str">
        <x:v>Qualified booking handoff and completion by locale/landing page</x:v>
      </x:c>
    </x:row>
    <x:row r="13" ht="48" customHeight="1">
      <x:c r="A13" s="8" t="n">
        <x:v>9</x:v>
      </x:c>
      <x:c r="B13" s="8" t="str">
        <x:v>C-it-port</x:v>
      </x:c>
      <x:c r="C13" s="10" t="str">
        <x:v>https://naxos-carrentals.com/it/locations/port-pickup</x:v>
      </x:c>
      <x:c r="D13" s="8" t="str">
        <x:v>COMMERCIAL FOUNDATIONS</x:v>
      </x:c>
      <x:c r="E13" s="25" t="n">
        <x:v>5</x:v>
      </x:c>
      <x:c r="F13" s="25" t="n">
        <x:v>4</x:v>
      </x:c>
      <x:c r="G13" s="25"/>
      <x:c r="H13" s="25" t="n">
        <x:v>4</x:v>
      </x:c>
      <x:c r="I13" s="25" t="n">
        <x:v>4</x:v>
      </x:c>
      <x:c r="J13" s="25" t="n">
        <x:v>2</x:v>
      </x:c>
      <x:c r="K13" s="23" t="n">
        <x:f>20*(E13*'Scoring Inputs'!$B$5+F13*'Scoring Inputs'!$B$6+G13*'Scoring Inputs'!$B$7+H13*'Scoring Inputs'!$B$8+I13*'Scoring Inputs'!$B$9+J13*'Scoring Inputs'!$B$10)</x:f>
        <x:v>70</x:v>
      </x:c>
      <x:c r="L13" s="21" t="n">
        <x:f>IF(ISNUMBER(E13),'Scoring Inputs'!$B$5,0)+IF(ISNUMBER(F13),'Scoring Inputs'!$B$6,0)+IF(ISNUMBER(G13),'Scoring Inputs'!$B$7,0)+IF(ISNUMBER(H13),'Scoring Inputs'!$B$8,0)+IF(ISNUMBER(I13),'Scoring Inputs'!$B$9,0)+IF(ISNUMBER(J13),'Scoring Inputs'!$B$10,0)</x:f>
        <x:v>0.85</x:v>
      </x:c>
      <x:c r="M13" s="8" t="str">
        <x:v>Provisional: current momentum unavailable</x:v>
      </x:c>
      <x:c r="N13" s="8" t="str">
        <x:v>Improve collect after arriving by ferry with verified original detail</x:v>
      </x:c>
      <x:c r="O13" s="8" t="str">
        <x:v>kw-it, discover-it</x:v>
      </x:c>
      <x:c r="P13" s="8" t="str">
        <x:v>Medium; copy, proof and QA</x:v>
      </x:c>
      <x:c r="Q13" s="8" t="str">
        <x:v>Depends on query and proof; KD is incomplete</x:v>
      </x:c>
      <x:c r="R13" s="8" t="str">
        <x:v>Current inventory / native editorial review</x:v>
      </x:c>
      <x:c r="S13" s="8" t="str">
        <x:v>4–8 weeks after indexed release for early data; 12+ weeks for meaningful trend</x:v>
      </x:c>
      <x:c r="T13" s="8" t="str">
        <x:v>Qualified booking handoff and completion by locale/landing page</x:v>
      </x:c>
    </x:row>
    <x:row r="14" ht="48" customHeight="1">
      <x:c r="A14" s="9" t="n">
        <x:v>10</x:v>
      </x:c>
      <x:c r="B14" s="9" t="str">
        <x:v>C-en-port</x:v>
      </x:c>
      <x:c r="C14" s="11" t="str">
        <x:v>https://naxos-carrentals.com/en/locations/port-pickup</x:v>
      </x:c>
      <x:c r="D14" s="9" t="str">
        <x:v>COMMERCIAL FOUNDATIONS</x:v>
      </x:c>
      <x:c r="E14" s="26" t="n">
        <x:v>5</x:v>
      </x:c>
      <x:c r="F14" s="26" t="n">
        <x:v>4</x:v>
      </x:c>
      <x:c r="G14" s="26"/>
      <x:c r="H14" s="26" t="n">
        <x:v>4</x:v>
      </x:c>
      <x:c r="I14" s="26" t="n">
        <x:v>4</x:v>
      </x:c>
      <x:c r="J14" s="26" t="n">
        <x:v>2</x:v>
      </x:c>
      <x:c r="K14" s="24" t="n">
        <x:f>20*(E14*'Scoring Inputs'!$B$5+F14*'Scoring Inputs'!$B$6+G14*'Scoring Inputs'!$B$7+H14*'Scoring Inputs'!$B$8+I14*'Scoring Inputs'!$B$9+J14*'Scoring Inputs'!$B$10)</x:f>
        <x:v>70</x:v>
      </x:c>
      <x:c r="L14" s="22" t="n">
        <x:f>IF(ISNUMBER(E14),'Scoring Inputs'!$B$5,0)+IF(ISNUMBER(F14),'Scoring Inputs'!$B$6,0)+IF(ISNUMBER(G14),'Scoring Inputs'!$B$7,0)+IF(ISNUMBER(H14),'Scoring Inputs'!$B$8,0)+IF(ISNUMBER(I14),'Scoring Inputs'!$B$9,0)+IF(ISNUMBER(J14),'Scoring Inputs'!$B$10,0)</x:f>
        <x:v>0.85</x:v>
      </x:c>
      <x:c r="M14" s="9" t="str">
        <x:v>Provisional: current momentum unavailable</x:v>
      </x:c>
      <x:c r="N14" s="9" t="str">
        <x:v>Improve collect after arriving by ferry with verified original detail</x:v>
      </x:c>
      <x:c r="O14" s="9" t="str">
        <x:v>discover-en, kw-en-enrich</x:v>
      </x:c>
      <x:c r="P14" s="9" t="str">
        <x:v>Medium; copy, proof and QA</x:v>
      </x:c>
      <x:c r="Q14" s="9" t="str">
        <x:v>Depends on query and proof; KD is incomplete</x:v>
      </x:c>
      <x:c r="R14" s="9" t="str">
        <x:v>Current inventory / native editorial review</x:v>
      </x:c>
      <x:c r="S14" s="9" t="str">
        <x:v>4–8 weeks after indexed release for early data; 12+ weeks for meaningful trend</x:v>
      </x:c>
      <x:c r="T14" s="9" t="str">
        <x:v>Qualified booking handoff and completion by locale/landing page</x:v>
      </x:c>
    </x:row>
    <x:row r="15" ht="48" customHeight="1">
      <x:c r="A15" s="8" t="n">
        <x:v>11</x:v>
      </x:c>
      <x:c r="B15" s="8" t="str">
        <x:v>C-de-airport</x:v>
      </x:c>
      <x:c r="C15" s="10" t="str">
        <x:v>https://naxos-carrentals.com/de/locations/airport-pickup</x:v>
      </x:c>
      <x:c r="D15" s="8" t="str">
        <x:v>COMMERCIAL FOUNDATIONS</x:v>
      </x:c>
      <x:c r="E15" s="25" t="n">
        <x:v>5</x:v>
      </x:c>
      <x:c r="F15" s="25" t="n">
        <x:v>4</x:v>
      </x:c>
      <x:c r="G15" s="25"/>
      <x:c r="H15" s="25" t="n">
        <x:v>3</x:v>
      </x:c>
      <x:c r="I15" s="25" t="n">
        <x:v>4</x:v>
      </x:c>
      <x:c r="J15" s="25" t="n">
        <x:v>2</x:v>
      </x:c>
      <x:c r="K15" s="23" t="n">
        <x:f>20*(E15*'Scoring Inputs'!$B$5+F15*'Scoring Inputs'!$B$6+G15*'Scoring Inputs'!$B$7+H15*'Scoring Inputs'!$B$8+I15*'Scoring Inputs'!$B$9+J15*'Scoring Inputs'!$B$10)</x:f>
        <x:v>67</x:v>
      </x:c>
      <x:c r="L15" s="21" t="n">
        <x:f>IF(ISNUMBER(E15),'Scoring Inputs'!$B$5,0)+IF(ISNUMBER(F15),'Scoring Inputs'!$B$6,0)+IF(ISNUMBER(G15),'Scoring Inputs'!$B$7,0)+IF(ISNUMBER(H15),'Scoring Inputs'!$B$8,0)+IF(ISNUMBER(I15),'Scoring Inputs'!$B$9,0)+IF(ISNUMBER(J15),'Scoring Inputs'!$B$10,0)</x:f>
        <x:v>0.85</x:v>
      </x:c>
      <x:c r="M15" s="8" t="str">
        <x:v>Provisional: current momentum unavailable</x:v>
      </x:c>
      <x:c r="N15" s="8" t="str">
        <x:v>Improve collect at naxos airport with verified original detail</x:v>
      </x:c>
      <x:c r="O15" s="8" t="str">
        <x:v>kw-de, discover-de</x:v>
      </x:c>
      <x:c r="P15" s="8" t="str">
        <x:v>Medium; copy, proof and QA</x:v>
      </x:c>
      <x:c r="Q15" s="8" t="str">
        <x:v>Depends on query and proof; KD is incomplete</x:v>
      </x:c>
      <x:c r="R15" s="8" t="str">
        <x:v>Current inventory / native editorial review</x:v>
      </x:c>
      <x:c r="S15" s="8" t="str">
        <x:v>4–8 weeks after indexed release for early data; 12+ weeks for meaningful trend</x:v>
      </x:c>
      <x:c r="T15" s="8" t="str">
        <x:v>Qualified booking handoff and completion by locale/landing page</x:v>
      </x:c>
    </x:row>
    <x:row r="16" ht="48" customHeight="1">
      <x:c r="A16" s="9" t="n">
        <x:v>12</x:v>
      </x:c>
      <x:c r="B16" s="9" t="str">
        <x:v>C-en-airport</x:v>
      </x:c>
      <x:c r="C16" s="11" t="str">
        <x:v>https://naxos-carrentals.com/en/locations/airport-pickup</x:v>
      </x:c>
      <x:c r="D16" s="9" t="str">
        <x:v>COMMERCIAL FOUNDATIONS</x:v>
      </x:c>
      <x:c r="E16" s="26" t="n">
        <x:v>5</x:v>
      </x:c>
      <x:c r="F16" s="26" t="n">
        <x:v>4</x:v>
      </x:c>
      <x:c r="G16" s="26"/>
      <x:c r="H16" s="26" t="n">
        <x:v>3</x:v>
      </x:c>
      <x:c r="I16" s="26" t="n">
        <x:v>4</x:v>
      </x:c>
      <x:c r="J16" s="26" t="n">
        <x:v>2</x:v>
      </x:c>
      <x:c r="K16" s="24" t="n">
        <x:f>20*(E16*'Scoring Inputs'!$B$5+F16*'Scoring Inputs'!$B$6+G16*'Scoring Inputs'!$B$7+H16*'Scoring Inputs'!$B$8+I16*'Scoring Inputs'!$B$9+J16*'Scoring Inputs'!$B$10)</x:f>
        <x:v>67</x:v>
      </x:c>
      <x:c r="L16" s="22" t="n">
        <x:f>IF(ISNUMBER(E16),'Scoring Inputs'!$B$5,0)+IF(ISNUMBER(F16),'Scoring Inputs'!$B$6,0)+IF(ISNUMBER(G16),'Scoring Inputs'!$B$7,0)+IF(ISNUMBER(H16),'Scoring Inputs'!$B$8,0)+IF(ISNUMBER(I16),'Scoring Inputs'!$B$9,0)+IF(ISNUMBER(J16),'Scoring Inputs'!$B$10,0)</x:f>
        <x:v>0.85</x:v>
      </x:c>
      <x:c r="M16" s="9" t="str">
        <x:v>Provisional: current momentum unavailable</x:v>
      </x:c>
      <x:c r="N16" s="9" t="str">
        <x:v>Improve collect at naxos airport with verified original detail</x:v>
      </x:c>
      <x:c r="O16" s="9" t="str">
        <x:v>discover-en, kw-en-enrich</x:v>
      </x:c>
      <x:c r="P16" s="9" t="str">
        <x:v>Medium; copy, proof and QA</x:v>
      </x:c>
      <x:c r="Q16" s="9" t="str">
        <x:v>Depends on query and proof; KD is incomplete</x:v>
      </x:c>
      <x:c r="R16" s="9" t="str">
        <x:v>Current inventory / native editorial review</x:v>
      </x:c>
      <x:c r="S16" s="9" t="str">
        <x:v>4–8 weeks after indexed release for early data; 12+ weeks for meaningful trend</x:v>
      </x:c>
      <x:c r="T16" s="9" t="str">
        <x:v>Qualified booking handoff and completion by locale/landing page</x:v>
      </x:c>
    </x:row>
    <x:row r="17" ht="48" customHeight="1">
      <x:c r="A17" s="8" t="n">
        <x:v>13</x:v>
      </x:c>
      <x:c r="B17" s="8" t="str">
        <x:v>C-es-core</x:v>
      </x:c>
      <x:c r="C17" s="10" t="str">
        <x:v>https://naxos-carrentals.com/es</x:v>
      </x:c>
      <x:c r="D17" s="8" t="str">
        <x:v>LONGER-TERM BETS</x:v>
      </x:c>
      <x:c r="E17" s="25" t="n">
        <x:v>5</x:v>
      </x:c>
      <x:c r="F17" s="25" t="n">
        <x:v>4</x:v>
      </x:c>
      <x:c r="G17" s="25"/>
      <x:c r="H17" s="25" t="n">
        <x:v>4</x:v>
      </x:c>
      <x:c r="I17" s="25" t="n">
        <x:v>2</x:v>
      </x:c>
      <x:c r="J17" s="25" t="n">
        <x:v>2</x:v>
      </x:c>
      <x:c r="K17" s="23" t="n">
        <x:f>20*(E17*'Scoring Inputs'!$B$5+F17*'Scoring Inputs'!$B$6+G17*'Scoring Inputs'!$B$7+H17*'Scoring Inputs'!$B$8+I17*'Scoring Inputs'!$B$9+J17*'Scoring Inputs'!$B$10)</x:f>
        <x:v>66</x:v>
      </x:c>
      <x:c r="L17" s="21" t="n">
        <x:f>IF(ISNUMBER(E17),'Scoring Inputs'!$B$5,0)+IF(ISNUMBER(F17),'Scoring Inputs'!$B$6,0)+IF(ISNUMBER(G17),'Scoring Inputs'!$B$7,0)+IF(ISNUMBER(H17),'Scoring Inputs'!$B$8,0)+IF(ISNUMBER(I17),'Scoring Inputs'!$B$9,0)+IF(ISNUMBER(J17),'Scoring Inputs'!$B$10,0)</x:f>
        <x:v>0.85</x:v>
      </x:c>
      <x:c r="M17" s="8" t="str">
        <x:v>Provisional: current momentum unavailable</x:v>
      </x:c>
      <x:c r="N17" s="8" t="str">
        <x:v>Localized booking-first homepage; preserve canonical and locale routes</x:v>
      </x:c>
      <x:c r="O17" s="8" t="str">
        <x:v>kw-es</x:v>
      </x:c>
      <x:c r="P17" s="8" t="str">
        <x:v>High; language operation required</x:v>
      </x:c>
      <x:c r="Q17" s="8" t="str">
        <x:v>Large aggregators and local specialists</x:v>
      </x:c>
      <x:c r="R17" s="8" t="str">
        <x:v>Current inventory / native editorial review</x:v>
      </x:c>
      <x:c r="S17" s="8" t="str">
        <x:v>4–8 weeks after indexed release for early data; 12+ weeks for meaningful trend</x:v>
      </x:c>
      <x:c r="T17" s="8" t="str">
        <x:v>Qualified booking handoff and completion by locale/landing page</x:v>
      </x:c>
    </x:row>
    <x:row r="18" ht="48" customHeight="1">
      <x:c r="A18" s="9" t="n">
        <x:v>14</x:v>
      </x:c>
      <x:c r="B18" s="9" t="str">
        <x:v>C-it-terms</x:v>
      </x:c>
      <x:c r="C18" s="11" t="str">
        <x:v>https://naxos-carrentals.com/it/terms</x:v>
      </x:c>
      <x:c r="D18" s="9" t="str">
        <x:v>COMMERCIAL FOUNDATIONS</x:v>
      </x:c>
      <x:c r="E18" s="26" t="n">
        <x:v>5</x:v>
      </x:c>
      <x:c r="F18" s="26" t="n">
        <x:v>4</x:v>
      </x:c>
      <x:c r="G18" s="26"/>
      <x:c r="H18" s="26" t="n">
        <x:v>3</x:v>
      </x:c>
      <x:c r="I18" s="26" t="n">
        <x:v>3</x:v>
      </x:c>
      <x:c r="J18" s="26" t="n">
        <x:v>2</x:v>
      </x:c>
      <x:c r="K18" s="24" t="n">
        <x:f>20*(E18*'Scoring Inputs'!$B$5+F18*'Scoring Inputs'!$B$6+G18*'Scoring Inputs'!$B$7+H18*'Scoring Inputs'!$B$8+I18*'Scoring Inputs'!$B$9+J18*'Scoring Inputs'!$B$10)</x:f>
        <x:v>65</x:v>
      </x:c>
      <x:c r="L18" s="22" t="n">
        <x:f>IF(ISNUMBER(E18),'Scoring Inputs'!$B$5,0)+IF(ISNUMBER(F18),'Scoring Inputs'!$B$6,0)+IF(ISNUMBER(G18),'Scoring Inputs'!$B$7,0)+IF(ISNUMBER(H18),'Scoring Inputs'!$B$8,0)+IF(ISNUMBER(I18),'Scoring Inputs'!$B$9,0)+IF(ISNUMBER(J18),'Scoring Inputs'!$B$10,0)</x:f>
        <x:v>0.85</x:v>
      </x:c>
      <x:c r="M18" s="9" t="str">
        <x:v>Provisional: current momentum unavailable</x:v>
      </x:c>
      <x:c r="N18" s="9" t="str">
        <x:v>Improve payment and rental eligibility with verified original detail</x:v>
      </x:c>
      <x:c r="O18" s="9" t="str">
        <x:v>kw-it, discover-it</x:v>
      </x:c>
      <x:c r="P18" s="9" t="str">
        <x:v>Medium; copy, proof and QA</x:v>
      </x:c>
      <x:c r="Q18" s="9" t="str">
        <x:v>Depends on query and proof; KD is incomplete</x:v>
      </x:c>
      <x:c r="R18" s="9" t="str">
        <x:v>Current inventory / native editorial review</x:v>
      </x:c>
      <x:c r="S18" s="9" t="str">
        <x:v>4–8 weeks after indexed release for early data; 12+ weeks for meaningful trend</x:v>
      </x:c>
      <x:c r="T18" s="9" t="str">
        <x:v>Qualified booking handoff and completion by locale/landing page</x:v>
      </x:c>
    </x:row>
    <x:row r="19" ht="48" customHeight="1">
      <x:c r="A19" s="8" t="n">
        <x:v>15</x:v>
      </x:c>
      <x:c r="B19" s="8" t="str">
        <x:v>C-en-reviews</x:v>
      </x:c>
      <x:c r="C19" s="10" t="str">
        <x:v>https://naxos-carrentals.com/en/reviews</x:v>
      </x:c>
      <x:c r="D19" s="8" t="str">
        <x:v>COMMERCIAL FOUNDATIONS</x:v>
      </x:c>
      <x:c r="E19" s="25" t="n">
        <x:v>5</x:v>
      </x:c>
      <x:c r="F19" s="25" t="n">
        <x:v>4</x:v>
      </x:c>
      <x:c r="G19" s="25"/>
      <x:c r="H19" s="25" t="n">
        <x:v>3</x:v>
      </x:c>
      <x:c r="I19" s="25" t="n">
        <x:v>3</x:v>
      </x:c>
      <x:c r="J19" s="25" t="n">
        <x:v>2</x:v>
      </x:c>
      <x:c r="K19" s="23" t="n">
        <x:f>20*(E19*'Scoring Inputs'!$B$5+F19*'Scoring Inputs'!$B$6+G19*'Scoring Inputs'!$B$7+H19*'Scoring Inputs'!$B$8+I19*'Scoring Inputs'!$B$9+J19*'Scoring Inputs'!$B$10)</x:f>
        <x:v>65</x:v>
      </x:c>
      <x:c r="L19" s="21" t="n">
        <x:f>IF(ISNUMBER(E19),'Scoring Inputs'!$B$5,0)+IF(ISNUMBER(F19),'Scoring Inputs'!$B$6,0)+IF(ISNUMBER(G19),'Scoring Inputs'!$B$7,0)+IF(ISNUMBER(H19),'Scoring Inputs'!$B$8,0)+IF(ISNUMBER(I19),'Scoring Inputs'!$B$9,0)+IF(ISNUMBER(J19),'Scoring Inputs'!$B$10,0)</x:f>
        <x:v>0.85</x:v>
      </x:c>
      <x:c r="M19" s="8" t="str">
        <x:v>Provisional: current momentum unavailable</x:v>
      </x:c>
      <x:c r="N19" s="8" t="str">
        <x:v>Improve assess operator trust with verified original detail</x:v>
      </x:c>
      <x:c r="O19" s="8" t="str">
        <x:v>discover-en</x:v>
      </x:c>
      <x:c r="P19" s="8" t="str">
        <x:v>Medium; copy, proof and QA</x:v>
      </x:c>
      <x:c r="Q19" s="8" t="str">
        <x:v>Depends on query and proof; KD is incomplete</x:v>
      </x:c>
      <x:c r="R19" s="8" t="str">
        <x:v>Current inventory / native editorial review</x:v>
      </x:c>
      <x:c r="S19" s="8" t="str">
        <x:v>4–8 weeks after indexed release for early data; 12+ weeks for meaningful trend</x:v>
      </x:c>
      <x:c r="T19" s="8" t="str">
        <x:v>Qualified booking handoff and completion by locale/landing page</x:v>
      </x:c>
    </x:row>
    <x:row r="20" ht="48" customHeight="1">
      <x:c r="A20" s="9" t="n">
        <x:v>16</x:v>
      </x:c>
      <x:c r="B20" s="9" t="str">
        <x:v>C-it-reviews</x:v>
      </x:c>
      <x:c r="C20" s="11" t="str">
        <x:v>https://naxos-carrentals.com/it/reviews</x:v>
      </x:c>
      <x:c r="D20" s="9" t="str">
        <x:v>COMMERCIAL FOUNDATIONS</x:v>
      </x:c>
      <x:c r="E20" s="26" t="n">
        <x:v>5</x:v>
      </x:c>
      <x:c r="F20" s="26" t="n">
        <x:v>4</x:v>
      </x:c>
      <x:c r="G20" s="26"/>
      <x:c r="H20" s="26" t="n">
        <x:v>3</x:v>
      </x:c>
      <x:c r="I20" s="26" t="n">
        <x:v>3</x:v>
      </x:c>
      <x:c r="J20" s="26" t="n">
        <x:v>2</x:v>
      </x:c>
      <x:c r="K20" s="24" t="n">
        <x:f>20*(E20*'Scoring Inputs'!$B$5+F20*'Scoring Inputs'!$B$6+G20*'Scoring Inputs'!$B$7+H20*'Scoring Inputs'!$B$8+I20*'Scoring Inputs'!$B$9+J20*'Scoring Inputs'!$B$10)</x:f>
        <x:v>65</x:v>
      </x:c>
      <x:c r="L20" s="22" t="n">
        <x:f>IF(ISNUMBER(E20),'Scoring Inputs'!$B$5,0)+IF(ISNUMBER(F20),'Scoring Inputs'!$B$6,0)+IF(ISNUMBER(G20),'Scoring Inputs'!$B$7,0)+IF(ISNUMBER(H20),'Scoring Inputs'!$B$8,0)+IF(ISNUMBER(I20),'Scoring Inputs'!$B$9,0)+IF(ISNUMBER(J20),'Scoring Inputs'!$B$10,0)</x:f>
        <x:v>0.85</x:v>
      </x:c>
      <x:c r="M20" s="9" t="str">
        <x:v>Provisional: current momentum unavailable</x:v>
      </x:c>
      <x:c r="N20" s="9" t="str">
        <x:v>Improve assess operator trust with verified original detail</x:v>
      </x:c>
      <x:c r="O20" s="9" t="str">
        <x:v>discover-it</x:v>
      </x:c>
      <x:c r="P20" s="9" t="str">
        <x:v>Medium; copy, proof and QA</x:v>
      </x:c>
      <x:c r="Q20" s="9" t="str">
        <x:v>Depends on query and proof; KD is incomplete</x:v>
      </x:c>
      <x:c r="R20" s="9" t="str">
        <x:v>Current inventory / native editorial review</x:v>
      </x:c>
      <x:c r="S20" s="9" t="str">
        <x:v>4–8 weeks after indexed release for early data; 12+ weeks for meaningful trend</x:v>
      </x:c>
      <x:c r="T20" s="9" t="str">
        <x:v>Qualified booking handoff and completion by locale/landing page</x:v>
      </x:c>
    </x:row>
    <x:row r="21" ht="48" customHeight="1">
      <x:c r="A21" s="8" t="n">
        <x:v>17</x:v>
      </x:c>
      <x:c r="B21" s="8" t="str">
        <x:v>C-it-airport</x:v>
      </x:c>
      <x:c r="C21" s="10" t="str">
        <x:v>https://naxos-carrentals.com/it/locations/airport-pickup</x:v>
      </x:c>
      <x:c r="D21" s="8" t="str">
        <x:v>COMMERCIAL FOUNDATIONS</x:v>
      </x:c>
      <x:c r="E21" s="25" t="n">
        <x:v>5</x:v>
      </x:c>
      <x:c r="F21" s="25" t="n">
        <x:v>4</x:v>
      </x:c>
      <x:c r="G21" s="25"/>
      <x:c r="H21" s="25" t="n">
        <x:v>2</x:v>
      </x:c>
      <x:c r="I21" s="25" t="n">
        <x:v>4</x:v>
      </x:c>
      <x:c r="J21" s="25" t="n">
        <x:v>2</x:v>
      </x:c>
      <x:c r="K21" s="23" t="n">
        <x:f>20*(E21*'Scoring Inputs'!$B$5+F21*'Scoring Inputs'!$B$6+G21*'Scoring Inputs'!$B$7+H21*'Scoring Inputs'!$B$8+I21*'Scoring Inputs'!$B$9+J21*'Scoring Inputs'!$B$10)</x:f>
        <x:v>63.99999999999999</x:v>
      </x:c>
      <x:c r="L21" s="21" t="n">
        <x:f>IF(ISNUMBER(E21),'Scoring Inputs'!$B$5,0)+IF(ISNUMBER(F21),'Scoring Inputs'!$B$6,0)+IF(ISNUMBER(G21),'Scoring Inputs'!$B$7,0)+IF(ISNUMBER(H21),'Scoring Inputs'!$B$8,0)+IF(ISNUMBER(I21),'Scoring Inputs'!$B$9,0)+IF(ISNUMBER(J21),'Scoring Inputs'!$B$10,0)</x:f>
        <x:v>0.85</x:v>
      </x:c>
      <x:c r="M21" s="8" t="str">
        <x:v>Provisional: current momentum unavailable</x:v>
      </x:c>
      <x:c r="N21" s="8" t="str">
        <x:v>Improve collect at naxos airport with verified original detail</x:v>
      </x:c>
      <x:c r="O21" s="8" t="str">
        <x:v>kw-it, discover-it</x:v>
      </x:c>
      <x:c r="P21" s="8" t="str">
        <x:v>Medium; copy, proof and QA</x:v>
      </x:c>
      <x:c r="Q21" s="8" t="str">
        <x:v>Depends on query and proof; KD is incomplete</x:v>
      </x:c>
      <x:c r="R21" s="8" t="str">
        <x:v>Current inventory / native editorial review</x:v>
      </x:c>
      <x:c r="S21" s="8" t="str">
        <x:v>4–8 weeks after indexed release for early data; 12+ weeks for meaningful trend</x:v>
      </x:c>
      <x:c r="T21" s="8" t="str">
        <x:v>Qualified booking handoff and completion by locale/landing page</x:v>
      </x:c>
    </x:row>
    <x:row r="22" ht="48" customHeight="1">
      <x:c r="A22" s="9" t="n">
        <x:v>18</x:v>
      </x:c>
      <x:c r="B22" s="9" t="str">
        <x:v>C-nl-core</x:v>
      </x:c>
      <x:c r="C22" s="11" t="str">
        <x:v>https://naxos-carrentals.com/nl</x:v>
      </x:c>
      <x:c r="D22" s="9" t="str">
        <x:v>LONGER-TERM BETS</x:v>
      </x:c>
      <x:c r="E22" s="26" t="n">
        <x:v>5</x:v>
      </x:c>
      <x:c r="F22" s="26" t="n">
        <x:v>4</x:v>
      </x:c>
      <x:c r="G22" s="26"/>
      <x:c r="H22" s="26" t="n">
        <x:v>3</x:v>
      </x:c>
      <x:c r="I22" s="26" t="n">
        <x:v>2</x:v>
      </x:c>
      <x:c r="J22" s="26" t="n">
        <x:v>2</x:v>
      </x:c>
      <x:c r="K22" s="24" t="n">
        <x:f>20*(E22*'Scoring Inputs'!$B$5+F22*'Scoring Inputs'!$B$6+G22*'Scoring Inputs'!$B$7+H22*'Scoring Inputs'!$B$8+I22*'Scoring Inputs'!$B$9+J22*'Scoring Inputs'!$B$10)</x:f>
        <x:v>63.00000000000001</x:v>
      </x:c>
      <x:c r="L22" s="22" t="n">
        <x:f>IF(ISNUMBER(E22),'Scoring Inputs'!$B$5,0)+IF(ISNUMBER(F22),'Scoring Inputs'!$B$6,0)+IF(ISNUMBER(G22),'Scoring Inputs'!$B$7,0)+IF(ISNUMBER(H22),'Scoring Inputs'!$B$8,0)+IF(ISNUMBER(I22),'Scoring Inputs'!$B$9,0)+IF(ISNUMBER(J22),'Scoring Inputs'!$B$10,0)</x:f>
        <x:v>0.85</x:v>
      </x:c>
      <x:c r="M22" s="9" t="str">
        <x:v>Provisional: current momentum unavailable</x:v>
      </x:c>
      <x:c r="N22" s="9" t="str">
        <x:v>Localized booking-first homepage; preserve canonical and locale routes</x:v>
      </x:c>
      <x:c r="O22" s="9" t="str">
        <x:v>kw-nl</x:v>
      </x:c>
      <x:c r="P22" s="9" t="str">
        <x:v>High; language operation required</x:v>
      </x:c>
      <x:c r="Q22" s="9" t="str">
        <x:v>Large aggregators and local specialists</x:v>
      </x:c>
      <x:c r="R22" s="9" t="str">
        <x:v>Current inventory / native editorial review</x:v>
      </x:c>
      <x:c r="S22" s="9" t="str">
        <x:v>4–8 weeks after indexed release for early data; 12+ weeks for meaningful trend</x:v>
      </x:c>
      <x:c r="T22" s="9" t="str">
        <x:v>Qualified booking handoff and completion by locale/landing page</x:v>
      </x:c>
    </x:row>
    <x:row r="23" ht="48" customHeight="1">
      <x:c r="A23" s="8" t="n">
        <x:v>19</x:v>
      </x:c>
      <x:c r="B23" s="8" t="str">
        <x:v>C-en-pricing</x:v>
      </x:c>
      <x:c r="C23" s="10" t="str">
        <x:v>https://naxos-carrentals.com/en/pricing</x:v>
      </x:c>
      <x:c r="D23" s="8" t="str">
        <x:v>COMMERCIAL FOUNDATIONS</x:v>
      </x:c>
      <x:c r="E23" s="25" t="n">
        <x:v>5</x:v>
      </x:c>
      <x:c r="F23" s="25" t="n">
        <x:v>4</x:v>
      </x:c>
      <x:c r="G23" s="25"/>
      <x:c r="H23" s="25" t="n">
        <x:v>2</x:v>
      </x:c>
      <x:c r="I23" s="25" t="n">
        <x:v>3</x:v>
      </x:c>
      <x:c r="J23" s="25" t="n">
        <x:v>2</x:v>
      </x:c>
      <x:c r="K23" s="23" t="n">
        <x:f>20*(E23*'Scoring Inputs'!$B$5+F23*'Scoring Inputs'!$B$6+G23*'Scoring Inputs'!$B$7+H23*'Scoring Inputs'!$B$8+I23*'Scoring Inputs'!$B$9+J23*'Scoring Inputs'!$B$10)</x:f>
        <x:v>61.99999999999999</x:v>
      </x:c>
      <x:c r="L23" s="21" t="n">
        <x:f>IF(ISNUMBER(E23),'Scoring Inputs'!$B$5,0)+IF(ISNUMBER(F23),'Scoring Inputs'!$B$6,0)+IF(ISNUMBER(G23),'Scoring Inputs'!$B$7,0)+IF(ISNUMBER(H23),'Scoring Inputs'!$B$8,0)+IF(ISNUMBER(I23),'Scoring Inputs'!$B$9,0)+IF(ISNUMBER(J23),'Scoring Inputs'!$B$10,0)</x:f>
        <x:v>0.85</x:v>
      </x:c>
      <x:c r="M23" s="8" t="str">
        <x:v>Provisional: current momentum unavailable</x:v>
      </x:c>
      <x:c r="N23" s="8" t="str">
        <x:v>Improve understand total rental cost with verified original detail</x:v>
      </x:c>
      <x:c r="O23" s="8" t="str">
        <x:v>discover-en</x:v>
      </x:c>
      <x:c r="P23" s="8" t="str">
        <x:v>Medium; copy, proof and QA</x:v>
      </x:c>
      <x:c r="Q23" s="8" t="str">
        <x:v>Depends on query and proof; KD is incomplete</x:v>
      </x:c>
      <x:c r="R23" s="8" t="str">
        <x:v>Current inventory / native editorial review</x:v>
      </x:c>
      <x:c r="S23" s="8" t="str">
        <x:v>4–8 weeks after indexed release for early data; 12+ weeks for meaningful trend</x:v>
      </x:c>
      <x:c r="T23" s="8" t="str">
        <x:v>Qualified booking handoff and completion by locale/landing page</x:v>
      </x:c>
    </x:row>
    <x:row r="24" ht="48" customHeight="1">
      <x:c r="A24" s="9" t="n">
        <x:v>20</x:v>
      </x:c>
      <x:c r="B24" s="9" t="str">
        <x:v>C-it-pricing</x:v>
      </x:c>
      <x:c r="C24" s="11" t="str">
        <x:v>https://naxos-carrentals.com/it/pricing</x:v>
      </x:c>
      <x:c r="D24" s="9" t="str">
        <x:v>COMMERCIAL FOUNDATIONS</x:v>
      </x:c>
      <x:c r="E24" s="26" t="n">
        <x:v>5</x:v>
      </x:c>
      <x:c r="F24" s="26" t="n">
        <x:v>4</x:v>
      </x:c>
      <x:c r="G24" s="26"/>
      <x:c r="H24" s="26" t="n">
        <x:v>2</x:v>
      </x:c>
      <x:c r="I24" s="26" t="n">
        <x:v>3</x:v>
      </x:c>
      <x:c r="J24" s="26" t="n">
        <x:v>2</x:v>
      </x:c>
      <x:c r="K24" s="24" t="n">
        <x:f>20*(E24*'Scoring Inputs'!$B$5+F24*'Scoring Inputs'!$B$6+G24*'Scoring Inputs'!$B$7+H24*'Scoring Inputs'!$B$8+I24*'Scoring Inputs'!$B$9+J24*'Scoring Inputs'!$B$10)</x:f>
        <x:v>61.99999999999999</x:v>
      </x:c>
      <x:c r="L24" s="22" t="n">
        <x:f>IF(ISNUMBER(E24),'Scoring Inputs'!$B$5,0)+IF(ISNUMBER(F24),'Scoring Inputs'!$B$6,0)+IF(ISNUMBER(G24),'Scoring Inputs'!$B$7,0)+IF(ISNUMBER(H24),'Scoring Inputs'!$B$8,0)+IF(ISNUMBER(I24),'Scoring Inputs'!$B$9,0)+IF(ISNUMBER(J24),'Scoring Inputs'!$B$10,0)</x:f>
        <x:v>0.85</x:v>
      </x:c>
      <x:c r="M24" s="9" t="str">
        <x:v>Provisional: current momentum unavailable</x:v>
      </x:c>
      <x:c r="N24" s="9" t="str">
        <x:v>Improve understand total rental cost with verified original detail</x:v>
      </x:c>
      <x:c r="O24" s="9" t="str">
        <x:v>discover-it</x:v>
      </x:c>
      <x:c r="P24" s="9" t="str">
        <x:v>Medium; copy, proof and QA</x:v>
      </x:c>
      <x:c r="Q24" s="9" t="str">
        <x:v>Depends on query and proof; KD is incomplete</x:v>
      </x:c>
      <x:c r="R24" s="9" t="str">
        <x:v>Current inventory / native editorial review</x:v>
      </x:c>
      <x:c r="S24" s="9" t="str">
        <x:v>4–8 weeks after indexed release for early data; 12+ weeks for meaningful trend</x:v>
      </x:c>
      <x:c r="T24" s="9" t="str">
        <x:v>Qualified booking handoff and completion by locale/landing page</x:v>
      </x:c>
    </x:row>
    <x:row r="25" ht="48" customHeight="1">
      <x:c r="A25" s="8" t="n">
        <x:v>21</x:v>
      </x:c>
      <x:c r="B25" s="8" t="str">
        <x:v>C-de-reviews</x:v>
      </x:c>
      <x:c r="C25" s="10" t="str">
        <x:v>https://naxos-carrentals.com/de/reviews</x:v>
      </x:c>
      <x:c r="D25" s="8" t="str">
        <x:v>COMMERCIAL FOUNDATIONS</x:v>
      </x:c>
      <x:c r="E25" s="25" t="n">
        <x:v>5</x:v>
      </x:c>
      <x:c r="F25" s="25" t="n">
        <x:v>4</x:v>
      </x:c>
      <x:c r="G25" s="25"/>
      <x:c r="H25" s="25" t="n">
        <x:v>2</x:v>
      </x:c>
      <x:c r="I25" s="25" t="n">
        <x:v>3</x:v>
      </x:c>
      <x:c r="J25" s="25" t="n">
        <x:v>2</x:v>
      </x:c>
      <x:c r="K25" s="23" t="n">
        <x:f>20*(E25*'Scoring Inputs'!$B$5+F25*'Scoring Inputs'!$B$6+G25*'Scoring Inputs'!$B$7+H25*'Scoring Inputs'!$B$8+I25*'Scoring Inputs'!$B$9+J25*'Scoring Inputs'!$B$10)</x:f>
        <x:v>61.99999999999999</x:v>
      </x:c>
      <x:c r="L25" s="21" t="n">
        <x:f>IF(ISNUMBER(E25),'Scoring Inputs'!$B$5,0)+IF(ISNUMBER(F25),'Scoring Inputs'!$B$6,0)+IF(ISNUMBER(G25),'Scoring Inputs'!$B$7,0)+IF(ISNUMBER(H25),'Scoring Inputs'!$B$8,0)+IF(ISNUMBER(I25),'Scoring Inputs'!$B$9,0)+IF(ISNUMBER(J25),'Scoring Inputs'!$B$10,0)</x:f>
        <x:v>0.85</x:v>
      </x:c>
      <x:c r="M25" s="8" t="str">
        <x:v>Provisional: current momentum unavailable</x:v>
      </x:c>
      <x:c r="N25" s="8" t="str">
        <x:v>Improve assess operator trust with verified original detail</x:v>
      </x:c>
      <x:c r="O25" s="8" t="str">
        <x:v>discover-de</x:v>
      </x:c>
      <x:c r="P25" s="8" t="str">
        <x:v>Medium; copy, proof and QA</x:v>
      </x:c>
      <x:c r="Q25" s="8" t="str">
        <x:v>Depends on query and proof; KD is incomplete</x:v>
      </x:c>
      <x:c r="R25" s="8" t="str">
        <x:v>Current inventory / native editorial review</x:v>
      </x:c>
      <x:c r="S25" s="8" t="str">
        <x:v>4–8 weeks after indexed release for early data; 12+ weeks for meaningful trend</x:v>
      </x:c>
      <x:c r="T25" s="8" t="str">
        <x:v>Qualified booking handoff and completion by locale/landing page</x:v>
      </x:c>
    </x:row>
    <x:row r="26" ht="48" customHeight="1">
      <x:c r="A26" s="9" t="n">
        <x:v>22</x:v>
      </x:c>
      <x:c r="B26" s="9" t="str">
        <x:v>C-de-insurance</x:v>
      </x:c>
      <x:c r="C26" s="11" t="str">
        <x:v>https://naxos-carrentals.com/de/insurance</x:v>
      </x:c>
      <x:c r="D26" s="9" t="str">
        <x:v>COMMERCIAL FOUNDATIONS</x:v>
      </x:c>
      <x:c r="E26" s="26" t="n">
        <x:v>5</x:v>
      </x:c>
      <x:c r="F26" s="26" t="n">
        <x:v>4</x:v>
      </x:c>
      <x:c r="G26" s="26"/>
      <x:c r="H26" s="26"/>
      <x:c r="I26" s="26" t="n">
        <x:v>4</x:v>
      </x:c>
      <x:c r="J26" s="26" t="n">
        <x:v>4</x:v>
      </x:c>
      <x:c r="K26" s="24" t="n">
        <x:f>20*(E26*'Scoring Inputs'!$B$5+F26*'Scoring Inputs'!$B$6+G26*'Scoring Inputs'!$B$7+H26*'Scoring Inputs'!$B$8+I26*'Scoring Inputs'!$B$9+J26*'Scoring Inputs'!$B$10)</x:f>
        <x:v>61.99999999999999</x:v>
      </x:c>
      <x:c r="L26" s="22" t="n">
        <x:f>IF(ISNUMBER(E26),'Scoring Inputs'!$B$5,0)+IF(ISNUMBER(F26),'Scoring Inputs'!$B$6,0)+IF(ISNUMBER(G26),'Scoring Inputs'!$B$7,0)+IF(ISNUMBER(H26),'Scoring Inputs'!$B$8,0)+IF(ISNUMBER(I26),'Scoring Inputs'!$B$9,0)+IF(ISNUMBER(J26),'Scoring Inputs'!$B$10,0)</x:f>
        <x:v>0.7</x:v>
      </x:c>
      <x:c r="M26" s="9" t="str">
        <x:v>Provisional: current momentum unavailable</x:v>
      </x:c>
      <x:c r="N26" s="9" t="str">
        <x:v>Improve understand cover and excess with verified original detail</x:v>
      </x:c>
      <x:c r="O26" s="9" t="str">
        <x:v>SRC-REPO</x:v>
      </x:c>
      <x:c r="P26" s="9" t="str">
        <x:v>Medium; copy, proof and QA</x:v>
      </x:c>
      <x:c r="Q26" s="9" t="str">
        <x:v>Depends on query and proof; KD is incomplete</x:v>
      </x:c>
      <x:c r="R26" s="9" t="str">
        <x:v>Policy owner review</x:v>
      </x:c>
      <x:c r="S26" s="9" t="str">
        <x:v>4–8 weeks after indexed release for early data; 12+ weeks for meaningful trend</x:v>
      </x:c>
      <x:c r="T26" s="9" t="str">
        <x:v>Qualified booking handoff and completion by locale/landing page</x:v>
      </x:c>
    </x:row>
    <x:row r="27" ht="48" customHeight="1">
      <x:c r="A27" s="8" t="n">
        <x:v>23</x:v>
      </x:c>
      <x:c r="B27" s="8" t="str">
        <x:v>C-el-port</x:v>
      </x:c>
      <x:c r="C27" s="10" t="str">
        <x:v>https://naxos-carrentals.com/el/locations/port-pickup</x:v>
      </x:c>
      <x:c r="D27" s="8" t="str">
        <x:v>COMMERCIAL FOUNDATIONS</x:v>
      </x:c>
      <x:c r="E27" s="25" t="n">
        <x:v>5</x:v>
      </x:c>
      <x:c r="F27" s="25" t="n">
        <x:v>4</x:v>
      </x:c>
      <x:c r="G27" s="25"/>
      <x:c r="H27" s="25" t="n">
        <x:v>1</x:v>
      </x:c>
      <x:c r="I27" s="25" t="n">
        <x:v>4</x:v>
      </x:c>
      <x:c r="J27" s="25" t="n">
        <x:v>2</x:v>
      </x:c>
      <x:c r="K27" s="23" t="n">
        <x:f>20*(E27*'Scoring Inputs'!$B$5+F27*'Scoring Inputs'!$B$6+G27*'Scoring Inputs'!$B$7+H27*'Scoring Inputs'!$B$8+I27*'Scoring Inputs'!$B$9+J27*'Scoring Inputs'!$B$10)</x:f>
        <x:v>61</x:v>
      </x:c>
      <x:c r="L27" s="21" t="n">
        <x:f>IF(ISNUMBER(E27),'Scoring Inputs'!$B$5,0)+IF(ISNUMBER(F27),'Scoring Inputs'!$B$6,0)+IF(ISNUMBER(G27),'Scoring Inputs'!$B$7,0)+IF(ISNUMBER(H27),'Scoring Inputs'!$B$8,0)+IF(ISNUMBER(I27),'Scoring Inputs'!$B$9,0)+IF(ISNUMBER(J27),'Scoring Inputs'!$B$10,0)</x:f>
        <x:v>0.85</x:v>
      </x:c>
      <x:c r="M27" s="8" t="str">
        <x:v>Provisional: current momentum unavailable</x:v>
      </x:c>
      <x:c r="N27" s="8" t="str">
        <x:v>Improve collect after arriving by ferry with verified original detail</x:v>
      </x:c>
      <x:c r="O27" s="8" t="str">
        <x:v>kw-gr</x:v>
      </x:c>
      <x:c r="P27" s="8" t="str">
        <x:v>Medium; copy, proof and QA</x:v>
      </x:c>
      <x:c r="Q27" s="8" t="str">
        <x:v>Depends on query and proof; KD is incomplete</x:v>
      </x:c>
      <x:c r="R27" s="8" t="str">
        <x:v>Current inventory / native editorial review</x:v>
      </x:c>
      <x:c r="S27" s="8" t="str">
        <x:v>4–8 weeks after indexed release for early data; 12+ weeks for meaningful trend</x:v>
      </x:c>
      <x:c r="T27" s="8" t="str">
        <x:v>Qualified booking handoff and completion by locale/landing page</x:v>
      </x:c>
    </x:row>
    <x:row r="28" ht="48" customHeight="1">
      <x:c r="A28" s="9" t="n">
        <x:v>24</x:v>
      </x:c>
      <x:c r="B28" s="9" t="str">
        <x:v>C-en-automatic</x:v>
      </x:c>
      <x:c r="C28" s="11" t="str">
        <x:v>https://naxos-carrentals.com/en/fleet/collections/automatic</x:v>
      </x:c>
      <x:c r="D28" s="9" t="str">
        <x:v>COMMERCIAL FOUNDATIONS</x:v>
      </x:c>
      <x:c r="E28" s="26" t="n">
        <x:v>5</x:v>
      </x:c>
      <x:c r="F28" s="26" t="n">
        <x:v>4</x:v>
      </x:c>
      <x:c r="G28" s="26"/>
      <x:c r="H28" s="26" t="n">
        <x:v>1</x:v>
      </x:c>
      <x:c r="I28" s="26" t="n">
        <x:v>4</x:v>
      </x:c>
      <x:c r="J28" s="26" t="n">
        <x:v>2</x:v>
      </x:c>
      <x:c r="K28" s="24" t="n">
        <x:f>20*(E28*'Scoring Inputs'!$B$5+F28*'Scoring Inputs'!$B$6+G28*'Scoring Inputs'!$B$7+H28*'Scoring Inputs'!$B$8+I28*'Scoring Inputs'!$B$9+J28*'Scoring Inputs'!$B$10)</x:f>
        <x:v>61</x:v>
      </x:c>
      <x:c r="L28" s="22" t="n">
        <x:f>IF(ISNUMBER(E28),'Scoring Inputs'!$B$5,0)+IF(ISNUMBER(F28),'Scoring Inputs'!$B$6,0)+IF(ISNUMBER(G28),'Scoring Inputs'!$B$7,0)+IF(ISNUMBER(H28),'Scoring Inputs'!$B$8,0)+IF(ISNUMBER(I28),'Scoring Inputs'!$B$9,0)+IF(ISNUMBER(J28),'Scoring Inputs'!$B$10,0)</x:f>
        <x:v>0.85</x:v>
      </x:c>
      <x:c r="M28" s="9" t="str">
        <x:v>Provisional: current momentum unavailable</x:v>
      </x:c>
      <x:c r="N28" s="9" t="str">
        <x:v>Improve choose an automatic car with verified original detail</x:v>
      </x:c>
      <x:c r="O28" s="9" t="str">
        <x:v>kw-gb</x:v>
      </x:c>
      <x:c r="P28" s="9" t="str">
        <x:v>Medium; copy, proof and QA</x:v>
      </x:c>
      <x:c r="Q28" s="9" t="str">
        <x:v>Depends on query and proof; KD is incomplete</x:v>
      </x:c>
      <x:c r="R28" s="9" t="str">
        <x:v>Current inventory / native editorial review</x:v>
      </x:c>
      <x:c r="S28" s="9" t="str">
        <x:v>4–8 weeks after indexed release for early data; 12+ weeks for meaningful trend</x:v>
      </x:c>
      <x:c r="T28" s="9" t="str">
        <x:v>Qualified booking handoff and completion by locale/landing page</x:v>
      </x:c>
    </x:row>
    <x:row r="29" ht="48" customHeight="1">
      <x:c r="A29" s="8" t="n">
        <x:v>25</x:v>
      </x:c>
      <x:c r="B29" s="8" t="str">
        <x:v>C-el-airport</x:v>
      </x:c>
      <x:c r="C29" s="10" t="str">
        <x:v>https://naxos-carrentals.com/el/locations/airport-pickup</x:v>
      </x:c>
      <x:c r="D29" s="8" t="str">
        <x:v>COMMERCIAL FOUNDATIONS</x:v>
      </x:c>
      <x:c r="E29" s="25" t="n">
        <x:v>5</x:v>
      </x:c>
      <x:c r="F29" s="25" t="n">
        <x:v>4</x:v>
      </x:c>
      <x:c r="G29" s="25"/>
      <x:c r="H29" s="25" t="n">
        <x:v>1</x:v>
      </x:c>
      <x:c r="I29" s="25" t="n">
        <x:v>4</x:v>
      </x:c>
      <x:c r="J29" s="25" t="n">
        <x:v>2</x:v>
      </x:c>
      <x:c r="K29" s="23" t="n">
        <x:f>20*(E29*'Scoring Inputs'!$B$5+F29*'Scoring Inputs'!$B$6+G29*'Scoring Inputs'!$B$7+H29*'Scoring Inputs'!$B$8+I29*'Scoring Inputs'!$B$9+J29*'Scoring Inputs'!$B$10)</x:f>
        <x:v>61</x:v>
      </x:c>
      <x:c r="L29" s="21" t="n">
        <x:f>IF(ISNUMBER(E29),'Scoring Inputs'!$B$5,0)+IF(ISNUMBER(F29),'Scoring Inputs'!$B$6,0)+IF(ISNUMBER(G29),'Scoring Inputs'!$B$7,0)+IF(ISNUMBER(H29),'Scoring Inputs'!$B$8,0)+IF(ISNUMBER(I29),'Scoring Inputs'!$B$9,0)+IF(ISNUMBER(J29),'Scoring Inputs'!$B$10,0)</x:f>
        <x:v>0.85</x:v>
      </x:c>
      <x:c r="M29" s="8" t="str">
        <x:v>Provisional: current momentum unavailable</x:v>
      </x:c>
      <x:c r="N29" s="8" t="str">
        <x:v>Improve collect at naxos airport with verified original detail</x:v>
      </x:c>
      <x:c r="O29" s="8" t="str">
        <x:v>kw-el-enrich</x:v>
      </x:c>
      <x:c r="P29" s="8" t="str">
        <x:v>Medium; copy, proof and QA</x:v>
      </x:c>
      <x:c r="Q29" s="8" t="str">
        <x:v>Depends on query and proof; KD is incomplete</x:v>
      </x:c>
      <x:c r="R29" s="8" t="str">
        <x:v>Current inventory / native editorial review</x:v>
      </x:c>
      <x:c r="S29" s="8" t="str">
        <x:v>4–8 weeks after indexed release for early data; 12+ weeks for meaningful trend</x:v>
      </x:c>
      <x:c r="T29" s="8" t="str">
        <x:v>Qualified booking handoff and completion by locale/landing page</x:v>
      </x:c>
    </x:row>
    <x:row r="30" ht="48" customHeight="1">
      <x:c r="A30" s="9" t="n">
        <x:v>26</x:v>
      </x:c>
      <x:c r="B30" s="9" t="str">
        <x:v>C-fr-pricing</x:v>
      </x:c>
      <x:c r="C30" s="11" t="str">
        <x:v>https://naxos-carrentals.com/fr/pricing</x:v>
      </x:c>
      <x:c r="D30" s="9" t="str">
        <x:v>COMMERCIAL FOUNDATIONS</x:v>
      </x:c>
      <x:c r="E30" s="26" t="n">
        <x:v>5</x:v>
      </x:c>
      <x:c r="F30" s="26" t="n">
        <x:v>4</x:v>
      </x:c>
      <x:c r="G30" s="26"/>
      <x:c r="H30" s="26" t="n">
        <x:v>1</x:v>
      </x:c>
      <x:c r="I30" s="26" t="n">
        <x:v>3</x:v>
      </x:c>
      <x:c r="J30" s="26" t="n">
        <x:v>2</x:v>
      </x:c>
      <x:c r="K30" s="24" t="n">
        <x:f>20*(E30*'Scoring Inputs'!$B$5+F30*'Scoring Inputs'!$B$6+G30*'Scoring Inputs'!$B$7+H30*'Scoring Inputs'!$B$8+I30*'Scoring Inputs'!$B$9+J30*'Scoring Inputs'!$B$10)</x:f>
        <x:v>59</x:v>
      </x:c>
      <x:c r="L30" s="22" t="n">
        <x:f>IF(ISNUMBER(E30),'Scoring Inputs'!$B$5,0)+IF(ISNUMBER(F30),'Scoring Inputs'!$B$6,0)+IF(ISNUMBER(G30),'Scoring Inputs'!$B$7,0)+IF(ISNUMBER(H30),'Scoring Inputs'!$B$8,0)+IF(ISNUMBER(I30),'Scoring Inputs'!$B$9,0)+IF(ISNUMBER(J30),'Scoring Inputs'!$B$10,0)</x:f>
        <x:v>0.85</x:v>
      </x:c>
      <x:c r="M30" s="9" t="str">
        <x:v>Provisional: current momentum unavailable</x:v>
      </x:c>
      <x:c r="N30" s="9" t="str">
        <x:v>Improve understand total rental cost with verified original detail</x:v>
      </x:c>
      <x:c r="O30" s="9" t="str">
        <x:v>discover-fr</x:v>
      </x:c>
      <x:c r="P30" s="9" t="str">
        <x:v>Medium; copy, proof and QA</x:v>
      </x:c>
      <x:c r="Q30" s="9" t="str">
        <x:v>Depends on query and proof; KD is incomplete</x:v>
      </x:c>
      <x:c r="R30" s="9" t="str">
        <x:v>Current inventory / native editorial review</x:v>
      </x:c>
      <x:c r="S30" s="9" t="str">
        <x:v>4–8 weeks after indexed release for early data; 12+ weeks for meaningful trend</x:v>
      </x:c>
      <x:c r="T30" s="9" t="str">
        <x:v>Qualified booking handoff and completion by locale/landing page</x:v>
      </x:c>
    </x:row>
    <x:row r="31" ht="48" customHeight="1">
      <x:c r="A31" s="8" t="n">
        <x:v>27</x:v>
      </x:c>
      <x:c r="B31" s="8" t="str">
        <x:v>C-fr-town</x:v>
      </x:c>
      <x:c r="C31" s="10" t="str">
        <x:v>https://naxos-carrentals.com/fr/locations/naxos-town</x:v>
      </x:c>
      <x:c r="D31" s="8" t="str">
        <x:v>COMMERCIAL FOUNDATIONS</x:v>
      </x:c>
      <x:c r="E31" s="25" t="n">
        <x:v>5</x:v>
      </x:c>
      <x:c r="F31" s="25" t="n">
        <x:v>4</x:v>
      </x:c>
      <x:c r="G31" s="25"/>
      <x:c r="H31" s="25" t="n">
        <x:v>1</x:v>
      </x:c>
      <x:c r="I31" s="25" t="n">
        <x:v>3</x:v>
      </x:c>
      <x:c r="J31" s="25" t="n">
        <x:v>2</x:v>
      </x:c>
      <x:c r="K31" s="23" t="n">
        <x:f>20*(E31*'Scoring Inputs'!$B$5+F31*'Scoring Inputs'!$B$6+G31*'Scoring Inputs'!$B$7+H31*'Scoring Inputs'!$B$8+I31*'Scoring Inputs'!$B$9+J31*'Scoring Inputs'!$B$10)</x:f>
        <x:v>59</x:v>
      </x:c>
      <x:c r="L31" s="21" t="n">
        <x:f>IF(ISNUMBER(E31),'Scoring Inputs'!$B$5,0)+IF(ISNUMBER(F31),'Scoring Inputs'!$B$6,0)+IF(ISNUMBER(G31),'Scoring Inputs'!$B$7,0)+IF(ISNUMBER(H31),'Scoring Inputs'!$B$8,0)+IF(ISNUMBER(I31),'Scoring Inputs'!$B$9,0)+IF(ISNUMBER(J31),'Scoring Inputs'!$B$10,0)</x:f>
        <x:v>0.85</x:v>
      </x:c>
      <x:c r="M31" s="8" t="str">
        <x:v>Provisional: current momentum unavailable</x:v>
      </x:c>
      <x:c r="N31" s="8" t="str">
        <x:v>Improve arrange chora pickup with verified original detail</x:v>
      </x:c>
      <x:c r="O31" s="8" t="str">
        <x:v>discover-fr</x:v>
      </x:c>
      <x:c r="P31" s="8" t="str">
        <x:v>Medium; copy, proof and QA</x:v>
      </x:c>
      <x:c r="Q31" s="8" t="str">
        <x:v>Depends on query and proof; KD is incomplete</x:v>
      </x:c>
      <x:c r="R31" s="8" t="str">
        <x:v>Current inventory / native editorial review</x:v>
      </x:c>
      <x:c r="S31" s="8" t="str">
        <x:v>4–8 weeks after indexed release for early data; 12+ weeks for meaningful trend</x:v>
      </x:c>
      <x:c r="T31" s="8" t="str">
        <x:v>Qualified booking handoff and completion by locale/landing page</x:v>
      </x:c>
    </x:row>
    <x:row r="32" ht="48" customHeight="1">
      <x:c r="A32" s="9" t="n">
        <x:v>28</x:v>
      </x:c>
      <x:c r="B32" s="9" t="str">
        <x:v>C-fr-prokopios</x:v>
      </x:c>
      <x:c r="C32" s="11" t="str">
        <x:v>https://naxos-carrentals.com/fr/locations/agios-prokopios</x:v>
      </x:c>
      <x:c r="D32" s="9" t="str">
        <x:v>COMMERCIAL FOUNDATIONS</x:v>
      </x:c>
      <x:c r="E32" s="26" t="n">
        <x:v>5</x:v>
      </x:c>
      <x:c r="F32" s="26" t="n">
        <x:v>4</x:v>
      </x:c>
      <x:c r="G32" s="26"/>
      <x:c r="H32" s="26" t="n">
        <x:v>1</x:v>
      </x:c>
      <x:c r="I32" s="26" t="n">
        <x:v>3</x:v>
      </x:c>
      <x:c r="J32" s="26" t="n">
        <x:v>2</x:v>
      </x:c>
      <x:c r="K32" s="24" t="n">
        <x:f>20*(E32*'Scoring Inputs'!$B$5+F32*'Scoring Inputs'!$B$6+G32*'Scoring Inputs'!$B$7+H32*'Scoring Inputs'!$B$8+I32*'Scoring Inputs'!$B$9+J32*'Scoring Inputs'!$B$10)</x:f>
        <x:v>59</x:v>
      </x:c>
      <x:c r="L32" s="22" t="n">
        <x:f>IF(ISNUMBER(E32),'Scoring Inputs'!$B$5,0)+IF(ISNUMBER(F32),'Scoring Inputs'!$B$6,0)+IF(ISNUMBER(G32),'Scoring Inputs'!$B$7,0)+IF(ISNUMBER(H32),'Scoring Inputs'!$B$8,0)+IF(ISNUMBER(I32),'Scoring Inputs'!$B$9,0)+IF(ISNUMBER(J32),'Scoring Inputs'!$B$10,0)</x:f>
        <x:v>0.85</x:v>
      </x:c>
      <x:c r="M32" s="9" t="str">
        <x:v>Provisional: current momentum unavailable</x:v>
      </x:c>
      <x:c r="N32" s="9" t="str">
        <x:v>Improve arrange agios prokopios delivery with verified original detail</x:v>
      </x:c>
      <x:c r="O32" s="9" t="str">
        <x:v>discover-fr</x:v>
      </x:c>
      <x:c r="P32" s="9" t="str">
        <x:v>Medium; copy, proof and QA</x:v>
      </x:c>
      <x:c r="Q32" s="9" t="str">
        <x:v>Depends on query and proof; KD is incomplete</x:v>
      </x:c>
      <x:c r="R32" s="9" t="str">
        <x:v>Current inventory / native editorial review</x:v>
      </x:c>
      <x:c r="S32" s="9" t="str">
        <x:v>4–8 weeks after indexed release for early data; 12+ weeks for meaningful trend</x:v>
      </x:c>
      <x:c r="T32" s="9" t="str">
        <x:v>Qualified booking handoff and completion by locale/landing page</x:v>
      </x:c>
    </x:row>
    <x:row r="33" ht="48" customHeight="1">
      <x:c r="A33" s="8" t="n">
        <x:v>29</x:v>
      </x:c>
      <x:c r="B33" s="8" t="str">
        <x:v>C-fr-reviews</x:v>
      </x:c>
      <x:c r="C33" s="10" t="str">
        <x:v>https://naxos-carrentals.com/fr/reviews</x:v>
      </x:c>
      <x:c r="D33" s="8" t="str">
        <x:v>COMMERCIAL FOUNDATIONS</x:v>
      </x:c>
      <x:c r="E33" s="25" t="n">
        <x:v>5</x:v>
      </x:c>
      <x:c r="F33" s="25" t="n">
        <x:v>4</x:v>
      </x:c>
      <x:c r="G33" s="25"/>
      <x:c r="H33" s="25" t="n">
        <x:v>1</x:v>
      </x:c>
      <x:c r="I33" s="25" t="n">
        <x:v>3</x:v>
      </x:c>
      <x:c r="J33" s="25" t="n">
        <x:v>2</x:v>
      </x:c>
      <x:c r="K33" s="23" t="n">
        <x:f>20*(E33*'Scoring Inputs'!$B$5+F33*'Scoring Inputs'!$B$6+G33*'Scoring Inputs'!$B$7+H33*'Scoring Inputs'!$B$8+I33*'Scoring Inputs'!$B$9+J33*'Scoring Inputs'!$B$10)</x:f>
        <x:v>59</x:v>
      </x:c>
      <x:c r="L33" s="21" t="n">
        <x:f>IF(ISNUMBER(E33),'Scoring Inputs'!$B$5,0)+IF(ISNUMBER(F33),'Scoring Inputs'!$B$6,0)+IF(ISNUMBER(G33),'Scoring Inputs'!$B$7,0)+IF(ISNUMBER(H33),'Scoring Inputs'!$B$8,0)+IF(ISNUMBER(I33),'Scoring Inputs'!$B$9,0)+IF(ISNUMBER(J33),'Scoring Inputs'!$B$10,0)</x:f>
        <x:v>0.85</x:v>
      </x:c>
      <x:c r="M33" s="8" t="str">
        <x:v>Provisional: current momentum unavailable</x:v>
      </x:c>
      <x:c r="N33" s="8" t="str">
        <x:v>Improve assess operator trust with verified original detail</x:v>
      </x:c>
      <x:c r="O33" s="8" t="str">
        <x:v>discover-fr</x:v>
      </x:c>
      <x:c r="P33" s="8" t="str">
        <x:v>Medium; copy, proof and QA</x:v>
      </x:c>
      <x:c r="Q33" s="8" t="str">
        <x:v>Depends on query and proof; KD is incomplete</x:v>
      </x:c>
      <x:c r="R33" s="8" t="str">
        <x:v>Current inventory / native editorial review</x:v>
      </x:c>
      <x:c r="S33" s="8" t="str">
        <x:v>4–8 weeks after indexed release for early data; 12+ weeks for meaningful trend</x:v>
      </x:c>
      <x:c r="T33" s="8" t="str">
        <x:v>Qualified booking handoff and completion by locale/landing page</x:v>
      </x:c>
    </x:row>
    <x:row r="34" ht="48" customHeight="1">
      <x:c r="A34" s="9" t="n">
        <x:v>30</x:v>
      </x:c>
      <x:c r="B34" s="9" t="str">
        <x:v>C-de-town</x:v>
      </x:c>
      <x:c r="C34" s="11" t="str">
        <x:v>https://naxos-carrentals.com/de/locations/naxos-town</x:v>
      </x:c>
      <x:c r="D34" s="9" t="str">
        <x:v>COMMERCIAL FOUNDATIONS</x:v>
      </x:c>
      <x:c r="E34" s="26" t="n">
        <x:v>5</x:v>
      </x:c>
      <x:c r="F34" s="26" t="n">
        <x:v>4</x:v>
      </x:c>
      <x:c r="G34" s="26"/>
      <x:c r="H34" s="26" t="n">
        <x:v>1</x:v>
      </x:c>
      <x:c r="I34" s="26" t="n">
        <x:v>3</x:v>
      </x:c>
      <x:c r="J34" s="26" t="n">
        <x:v>2</x:v>
      </x:c>
      <x:c r="K34" s="24" t="n">
        <x:f>20*(E34*'Scoring Inputs'!$B$5+F34*'Scoring Inputs'!$B$6+G34*'Scoring Inputs'!$B$7+H34*'Scoring Inputs'!$B$8+I34*'Scoring Inputs'!$B$9+J34*'Scoring Inputs'!$B$10)</x:f>
        <x:v>59</x:v>
      </x:c>
      <x:c r="L34" s="22" t="n">
        <x:f>IF(ISNUMBER(E34),'Scoring Inputs'!$B$5,0)+IF(ISNUMBER(F34),'Scoring Inputs'!$B$6,0)+IF(ISNUMBER(G34),'Scoring Inputs'!$B$7,0)+IF(ISNUMBER(H34),'Scoring Inputs'!$B$8,0)+IF(ISNUMBER(I34),'Scoring Inputs'!$B$9,0)+IF(ISNUMBER(J34),'Scoring Inputs'!$B$10,0)</x:f>
        <x:v>0.85</x:v>
      </x:c>
      <x:c r="M34" s="9" t="str">
        <x:v>Provisional: current momentum unavailable</x:v>
      </x:c>
      <x:c r="N34" s="9" t="str">
        <x:v>Improve arrange chora pickup with verified original detail</x:v>
      </x:c>
      <x:c r="O34" s="9" t="str">
        <x:v>discover-de</x:v>
      </x:c>
      <x:c r="P34" s="9" t="str">
        <x:v>Medium; copy, proof and QA</x:v>
      </x:c>
      <x:c r="Q34" s="9" t="str">
        <x:v>Depends on query and proof; KD is incomplete</x:v>
      </x:c>
      <x:c r="R34" s="9" t="str">
        <x:v>Current inventory / native editorial review</x:v>
      </x:c>
      <x:c r="S34" s="9" t="str">
        <x:v>4–8 weeks after indexed release for early data; 12+ weeks for meaningful trend</x:v>
      </x:c>
      <x:c r="T34" s="9" t="str">
        <x:v>Qualified booking handoff and completion by locale/landing page</x:v>
      </x:c>
    </x:row>
    <x:row r="35" ht="48" customHeight="1">
      <x:c r="A35" s="8" t="n">
        <x:v>31</x:v>
      </x:c>
      <x:c r="B35" s="8" t="str">
        <x:v>C-de-pricing</x:v>
      </x:c>
      <x:c r="C35" s="10" t="str">
        <x:v>https://naxos-carrentals.com/de/pricing</x:v>
      </x:c>
      <x:c r="D35" s="8" t="str">
        <x:v>COMMERCIAL FOUNDATIONS</x:v>
      </x:c>
      <x:c r="E35" s="25" t="n">
        <x:v>5</x:v>
      </x:c>
      <x:c r="F35" s="25" t="n">
        <x:v>4</x:v>
      </x:c>
      <x:c r="G35" s="25"/>
      <x:c r="H35" s="25" t="n">
        <x:v>1</x:v>
      </x:c>
      <x:c r="I35" s="25" t="n">
        <x:v>3</x:v>
      </x:c>
      <x:c r="J35" s="25" t="n">
        <x:v>2</x:v>
      </x:c>
      <x:c r="K35" s="23" t="n">
        <x:f>20*(E35*'Scoring Inputs'!$B$5+F35*'Scoring Inputs'!$B$6+G35*'Scoring Inputs'!$B$7+H35*'Scoring Inputs'!$B$8+I35*'Scoring Inputs'!$B$9+J35*'Scoring Inputs'!$B$10)</x:f>
        <x:v>59</x:v>
      </x:c>
      <x:c r="L35" s="21" t="n">
        <x:f>IF(ISNUMBER(E35),'Scoring Inputs'!$B$5,0)+IF(ISNUMBER(F35),'Scoring Inputs'!$B$6,0)+IF(ISNUMBER(G35),'Scoring Inputs'!$B$7,0)+IF(ISNUMBER(H35),'Scoring Inputs'!$B$8,0)+IF(ISNUMBER(I35),'Scoring Inputs'!$B$9,0)+IF(ISNUMBER(J35),'Scoring Inputs'!$B$10,0)</x:f>
        <x:v>0.85</x:v>
      </x:c>
      <x:c r="M35" s="8" t="str">
        <x:v>Provisional: current momentum unavailable</x:v>
      </x:c>
      <x:c r="N35" s="8" t="str">
        <x:v>Improve understand total rental cost with verified original detail</x:v>
      </x:c>
      <x:c r="O35" s="8" t="str">
        <x:v>discover-de</x:v>
      </x:c>
      <x:c r="P35" s="8" t="str">
        <x:v>Medium; copy, proof and QA</x:v>
      </x:c>
      <x:c r="Q35" s="8" t="str">
        <x:v>Depends on query and proof; KD is incomplete</x:v>
      </x:c>
      <x:c r="R35" s="8" t="str">
        <x:v>Current inventory / native editorial review</x:v>
      </x:c>
      <x:c r="S35" s="8" t="str">
        <x:v>4–8 weeks after indexed release for early data; 12+ weeks for meaningful trend</x:v>
      </x:c>
      <x:c r="T35" s="8" t="str">
        <x:v>Qualified booking handoff and completion by locale/landing page</x:v>
      </x:c>
    </x:row>
    <x:row r="36" ht="48" customHeight="1">
      <x:c r="A36" s="9" t="n">
        <x:v>32</x:v>
      </x:c>
      <x:c r="B36" s="9" t="str">
        <x:v>C-el-pricing</x:v>
      </x:c>
      <x:c r="C36" s="11" t="str">
        <x:v>https://naxos-carrentals.com/el/pricing</x:v>
      </x:c>
      <x:c r="D36" s="9" t="str">
        <x:v>COMMERCIAL FOUNDATIONS</x:v>
      </x:c>
      <x:c r="E36" s="26" t="n">
        <x:v>5</x:v>
      </x:c>
      <x:c r="F36" s="26" t="n">
        <x:v>4</x:v>
      </x:c>
      <x:c r="G36" s="26"/>
      <x:c r="H36" s="26" t="n">
        <x:v>1</x:v>
      </x:c>
      <x:c r="I36" s="26" t="n">
        <x:v>3</x:v>
      </x:c>
      <x:c r="J36" s="26" t="n">
        <x:v>2</x:v>
      </x:c>
      <x:c r="K36" s="24" t="n">
        <x:f>20*(E36*'Scoring Inputs'!$B$5+F36*'Scoring Inputs'!$B$6+G36*'Scoring Inputs'!$B$7+H36*'Scoring Inputs'!$B$8+I36*'Scoring Inputs'!$B$9+J36*'Scoring Inputs'!$B$10)</x:f>
        <x:v>59</x:v>
      </x:c>
      <x:c r="L36" s="22" t="n">
        <x:f>IF(ISNUMBER(E36),'Scoring Inputs'!$B$5,0)+IF(ISNUMBER(F36),'Scoring Inputs'!$B$6,0)+IF(ISNUMBER(G36),'Scoring Inputs'!$B$7,0)+IF(ISNUMBER(H36),'Scoring Inputs'!$B$8,0)+IF(ISNUMBER(I36),'Scoring Inputs'!$B$9,0)+IF(ISNUMBER(J36),'Scoring Inputs'!$B$10,0)</x:f>
        <x:v>0.85</x:v>
      </x:c>
      <x:c r="M36" s="9" t="str">
        <x:v>Provisional: current momentum unavailable</x:v>
      </x:c>
      <x:c r="N36" s="9" t="str">
        <x:v>Improve understand total rental cost with verified original detail</x:v>
      </x:c>
      <x:c r="O36" s="9" t="str">
        <x:v>kw-el-enrich</x:v>
      </x:c>
      <x:c r="P36" s="9" t="str">
        <x:v>Medium; copy, proof and QA</x:v>
      </x:c>
      <x:c r="Q36" s="9" t="str">
        <x:v>Depends on query and proof; KD is incomplete</x:v>
      </x:c>
      <x:c r="R36" s="9" t="str">
        <x:v>Current inventory / native editorial review</x:v>
      </x:c>
      <x:c r="S36" s="9" t="str">
        <x:v>4–8 weeks after indexed release for early data; 12+ weeks for meaningful trend</x:v>
      </x:c>
      <x:c r="T36" s="9" t="str">
        <x:v>Qualified booking handoff and completion by locale/landing page</x:v>
      </x:c>
    </x:row>
    <x:row r="37" ht="48" customHeight="1">
      <x:c r="A37" s="8" t="n">
        <x:v>33</x:v>
      </x:c>
      <x:c r="B37" s="8" t="str">
        <x:v>C-en-family</x:v>
      </x:c>
      <x:c r="C37" s="10" t="str">
        <x:v>https://naxos-carrentals.com/en/fleet/collections/family-7-seater</x:v>
      </x:c>
      <x:c r="D37" s="8" t="str">
        <x:v>COMMERCIAL FOUNDATIONS</x:v>
      </x:c>
      <x:c r="E37" s="25" t="n">
        <x:v>5</x:v>
      </x:c>
      <x:c r="F37" s="25" t="n">
        <x:v>4</x:v>
      </x:c>
      <x:c r="G37" s="25"/>
      <x:c r="H37" s="25"/>
      <x:c r="I37" s="25" t="n">
        <x:v>4</x:v>
      </x:c>
      <x:c r="J37" s="25" t="n">
        <x:v>2</x:v>
      </x:c>
      <x:c r="K37" s="23" t="n">
        <x:f>20*(E37*'Scoring Inputs'!$B$5+F37*'Scoring Inputs'!$B$6+G37*'Scoring Inputs'!$B$7+H37*'Scoring Inputs'!$B$8+I37*'Scoring Inputs'!$B$9+J37*'Scoring Inputs'!$B$10)</x:f>
        <x:v>58</x:v>
      </x:c>
      <x:c r="L37" s="21" t="n">
        <x:f>IF(ISNUMBER(E37),'Scoring Inputs'!$B$5,0)+IF(ISNUMBER(F37),'Scoring Inputs'!$B$6,0)+IF(ISNUMBER(G37),'Scoring Inputs'!$B$7,0)+IF(ISNUMBER(H37),'Scoring Inputs'!$B$8,0)+IF(ISNUMBER(I37),'Scoring Inputs'!$B$9,0)+IF(ISNUMBER(J37),'Scoring Inputs'!$B$10,0)</x:f>
        <x:v>0.7</x:v>
      </x:c>
      <x:c r="M37" s="8" t="str">
        <x:v>Provisional: current momentum unavailable</x:v>
      </x:c>
      <x:c r="N37" s="8" t="str">
        <x:v>Improve travel with seven passengers with verified original detail</x:v>
      </x:c>
      <x:c r="O37" s="8" t="str">
        <x:v>SRC-REPO</x:v>
      </x:c>
      <x:c r="P37" s="8" t="str">
        <x:v>Medium; copy, proof and QA</x:v>
      </x:c>
      <x:c r="Q37" s="8" t="str">
        <x:v>Depends on query and proof; KD is incomplete</x:v>
      </x:c>
      <x:c r="R37" s="8" t="str">
        <x:v>Current inventory / native editorial review</x:v>
      </x:c>
      <x:c r="S37" s="8" t="str">
        <x:v>4–8 weeks after indexed release for early data; 12+ weeks for meaningful trend</x:v>
      </x:c>
      <x:c r="T37" s="8" t="str">
        <x:v>Qualified booking handoff and completion by locale/landing page</x:v>
      </x:c>
    </x:row>
    <x:row r="38" ht="48" customHeight="1">
      <x:c r="A38" s="9" t="n">
        <x:v>34</x:v>
      </x:c>
      <x:c r="B38" s="9" t="str">
        <x:v>C-en-suv</x:v>
      </x:c>
      <x:c r="C38" s="11" t="str">
        <x:v>https://naxos-carrentals.com/en/fleet/collections/suv-4x4</x:v>
      </x:c>
      <x:c r="D38" s="9" t="str">
        <x:v>COMMERCIAL FOUNDATIONS</x:v>
      </x:c>
      <x:c r="E38" s="26" t="n">
        <x:v>5</x:v>
      </x:c>
      <x:c r="F38" s="26" t="n">
        <x:v>4</x:v>
      </x:c>
      <x:c r="G38" s="26"/>
      <x:c r="H38" s="26"/>
      <x:c r="I38" s="26" t="n">
        <x:v>4</x:v>
      </x:c>
      <x:c r="J38" s="26" t="n">
        <x:v>2</x:v>
      </x:c>
      <x:c r="K38" s="24" t="n">
        <x:f>20*(E38*'Scoring Inputs'!$B$5+F38*'Scoring Inputs'!$B$6+G38*'Scoring Inputs'!$B$7+H38*'Scoring Inputs'!$B$8+I38*'Scoring Inputs'!$B$9+J38*'Scoring Inputs'!$B$10)</x:f>
        <x:v>58</x:v>
      </x:c>
      <x:c r="L38" s="22" t="n">
        <x:f>IF(ISNUMBER(E38),'Scoring Inputs'!$B$5,0)+IF(ISNUMBER(F38),'Scoring Inputs'!$B$6,0)+IF(ISNUMBER(G38),'Scoring Inputs'!$B$7,0)+IF(ISNUMBER(H38),'Scoring Inputs'!$B$8,0)+IF(ISNUMBER(I38),'Scoring Inputs'!$B$9,0)+IF(ISNUMBER(J38),'Scoring Inputs'!$B$10,0)</x:f>
        <x:v>0.7</x:v>
      </x:c>
      <x:c r="M38" s="9" t="str">
        <x:v>Provisional: current momentum unavailable</x:v>
      </x:c>
      <x:c r="N38" s="9" t="str">
        <x:v>Improve compare suv and 4x4 with verified original detail</x:v>
      </x:c>
      <x:c r="O38" s="9" t="str">
        <x:v>SRC-REPO</x:v>
      </x:c>
      <x:c r="P38" s="9" t="str">
        <x:v>Medium; copy, proof and QA</x:v>
      </x:c>
      <x:c r="Q38" s="9" t="str">
        <x:v>Depends on query and proof; KD is incomplete</x:v>
      </x:c>
      <x:c r="R38" s="9" t="str">
        <x:v>Current inventory / native editorial review</x:v>
      </x:c>
      <x:c r="S38" s="9" t="str">
        <x:v>4–8 weeks after indexed release for early data; 12+ weeks for meaningful trend</x:v>
      </x:c>
      <x:c r="T38" s="9" t="str">
        <x:v>Qualified booking handoff and completion by locale/landing page</x:v>
      </x:c>
    </x:row>
    <x:row r="39" ht="48" customHeight="1">
      <x:c r="A39" s="8" t="n">
        <x:v>35</x:v>
      </x:c>
      <x:c r="B39" s="8" t="str">
        <x:v>C-en-insurance</x:v>
      </x:c>
      <x:c r="C39" s="10" t="str">
        <x:v>https://naxos-carrentals.com/en/insurance</x:v>
      </x:c>
      <x:c r="D39" s="8" t="str">
        <x:v>COMMERCIAL FOUNDATIONS</x:v>
      </x:c>
      <x:c r="E39" s="25" t="n">
        <x:v>5</x:v>
      </x:c>
      <x:c r="F39" s="25" t="n">
        <x:v>4</x:v>
      </x:c>
      <x:c r="G39" s="25"/>
      <x:c r="H39" s="25"/>
      <x:c r="I39" s="25" t="n">
        <x:v>4</x:v>
      </x:c>
      <x:c r="J39" s="25" t="n">
        <x:v>2</x:v>
      </x:c>
      <x:c r="K39" s="23" t="n">
        <x:f>20*(E39*'Scoring Inputs'!$B$5+F39*'Scoring Inputs'!$B$6+G39*'Scoring Inputs'!$B$7+H39*'Scoring Inputs'!$B$8+I39*'Scoring Inputs'!$B$9+J39*'Scoring Inputs'!$B$10)</x:f>
        <x:v>58</x:v>
      </x:c>
      <x:c r="L39" s="21" t="n">
        <x:f>IF(ISNUMBER(E39),'Scoring Inputs'!$B$5,0)+IF(ISNUMBER(F39),'Scoring Inputs'!$B$6,0)+IF(ISNUMBER(G39),'Scoring Inputs'!$B$7,0)+IF(ISNUMBER(H39),'Scoring Inputs'!$B$8,0)+IF(ISNUMBER(I39),'Scoring Inputs'!$B$9,0)+IF(ISNUMBER(J39),'Scoring Inputs'!$B$10,0)</x:f>
        <x:v>0.7</x:v>
      </x:c>
      <x:c r="M39" s="8" t="str">
        <x:v>Provisional: current momentum unavailable</x:v>
      </x:c>
      <x:c r="N39" s="8" t="str">
        <x:v>Improve understand cover and excess with verified original detail</x:v>
      </x:c>
      <x:c r="O39" s="8" t="str">
        <x:v>SRC-REPO</x:v>
      </x:c>
      <x:c r="P39" s="8" t="str">
        <x:v>Medium; copy, proof and QA</x:v>
      </x:c>
      <x:c r="Q39" s="8" t="str">
        <x:v>Depends on query and proof; KD is incomplete</x:v>
      </x:c>
      <x:c r="R39" s="8" t="str">
        <x:v>Policy owner review</x:v>
      </x:c>
      <x:c r="S39" s="8" t="str">
        <x:v>4–8 weeks after indexed release for early data; 12+ weeks for meaningful trend</x:v>
      </x:c>
      <x:c r="T39" s="8" t="str">
        <x:v>Qualified booking handoff and completion by locale/landing page</x:v>
      </x:c>
    </x:row>
    <x:row r="40" ht="48" customHeight="1">
      <x:c r="A40" s="9" t="n">
        <x:v>36</x:v>
      </x:c>
      <x:c r="B40" s="9" t="str">
        <x:v>C-en-fleet</x:v>
      </x:c>
      <x:c r="C40" s="11" t="str">
        <x:v>https://naxos-carrentals.com/en/fleet/cars</x:v>
      </x:c>
      <x:c r="D40" s="9" t="str">
        <x:v>COMMERCIAL FOUNDATIONS</x:v>
      </x:c>
      <x:c r="E40" s="26" t="n">
        <x:v>5</x:v>
      </x:c>
      <x:c r="F40" s="26" t="n">
        <x:v>4</x:v>
      </x:c>
      <x:c r="G40" s="26"/>
      <x:c r="H40" s="26"/>
      <x:c r="I40" s="26" t="n">
        <x:v>4</x:v>
      </x:c>
      <x:c r="J40" s="26" t="n">
        <x:v>2</x:v>
      </x:c>
      <x:c r="K40" s="24" t="n">
        <x:f>20*(E40*'Scoring Inputs'!$B$5+F40*'Scoring Inputs'!$B$6+G40*'Scoring Inputs'!$B$7+H40*'Scoring Inputs'!$B$8+I40*'Scoring Inputs'!$B$9+J40*'Scoring Inputs'!$B$10)</x:f>
        <x:v>58</x:v>
      </x:c>
      <x:c r="L40" s="22" t="n">
        <x:f>IF(ISNUMBER(E40),'Scoring Inputs'!$B$5,0)+IF(ISNUMBER(F40),'Scoring Inputs'!$B$6,0)+IF(ISNUMBER(G40),'Scoring Inputs'!$B$7,0)+IF(ISNUMBER(H40),'Scoring Inputs'!$B$8,0)+IF(ISNUMBER(I40),'Scoring Inputs'!$B$9,0)+IF(ISNUMBER(J40),'Scoring Inputs'!$B$10,0)</x:f>
        <x:v>0.7</x:v>
      </x:c>
      <x:c r="M40" s="9" t="str">
        <x:v>Provisional: current momentum unavailable</x:v>
      </x:c>
      <x:c r="N40" s="9" t="str">
        <x:v>Improve compare vehicles and luggage with verified original detail</x:v>
      </x:c>
      <x:c r="O40" s="9" t="str">
        <x:v>SRC-REPO</x:v>
      </x:c>
      <x:c r="P40" s="9" t="str">
        <x:v>Medium; copy, proof and QA</x:v>
      </x:c>
      <x:c r="Q40" s="9" t="str">
        <x:v>Depends on query and proof; KD is incomplete</x:v>
      </x:c>
      <x:c r="R40" s="9" t="str">
        <x:v>Current inventory / native editorial review</x:v>
      </x:c>
      <x:c r="S40" s="9" t="str">
        <x:v>4–8 weeks after indexed release for early data; 12+ weeks for meaningful trend</x:v>
      </x:c>
      <x:c r="T40" s="9" t="str">
        <x:v>Qualified booking handoff and completion by locale/landing page</x:v>
      </x:c>
    </x:row>
    <x:row r="41" ht="48" customHeight="1">
      <x:c r="A41" s="8" t="n">
        <x:v>37</x:v>
      </x:c>
      <x:c r="B41" s="8" t="str">
        <x:v>C-el-automatic</x:v>
      </x:c>
      <x:c r="C41" s="10" t="str">
        <x:v>https://naxos-carrentals.com/el/fleet/collections/automatic</x:v>
      </x:c>
      <x:c r="D41" s="8" t="str">
        <x:v>COMMERCIAL FOUNDATIONS</x:v>
      </x:c>
      <x:c r="E41" s="25" t="n">
        <x:v>5</x:v>
      </x:c>
      <x:c r="F41" s="25" t="n">
        <x:v>4</x:v>
      </x:c>
      <x:c r="G41" s="25"/>
      <x:c r="H41" s="25"/>
      <x:c r="I41" s="25" t="n">
        <x:v>4</x:v>
      </x:c>
      <x:c r="J41" s="25" t="n">
        <x:v>2</x:v>
      </x:c>
      <x:c r="K41" s="23" t="n">
        <x:f>20*(E41*'Scoring Inputs'!$B$5+F41*'Scoring Inputs'!$B$6+G41*'Scoring Inputs'!$B$7+H41*'Scoring Inputs'!$B$8+I41*'Scoring Inputs'!$B$9+J41*'Scoring Inputs'!$B$10)</x:f>
        <x:v>58</x:v>
      </x:c>
      <x:c r="L41" s="21" t="n">
        <x:f>IF(ISNUMBER(E41),'Scoring Inputs'!$B$5,0)+IF(ISNUMBER(F41),'Scoring Inputs'!$B$6,0)+IF(ISNUMBER(G41),'Scoring Inputs'!$B$7,0)+IF(ISNUMBER(H41),'Scoring Inputs'!$B$8,0)+IF(ISNUMBER(I41),'Scoring Inputs'!$B$9,0)+IF(ISNUMBER(J41),'Scoring Inputs'!$B$10,0)</x:f>
        <x:v>0.7</x:v>
      </x:c>
      <x:c r="M41" s="8" t="str">
        <x:v>Provisional: current momentum unavailable</x:v>
      </x:c>
      <x:c r="N41" s="8" t="str">
        <x:v>Improve choose an automatic car with verified original detail</x:v>
      </x:c>
      <x:c r="O41" s="8" t="str">
        <x:v>SRC-REPO</x:v>
      </x:c>
      <x:c r="P41" s="8" t="str">
        <x:v>Medium; copy, proof and QA</x:v>
      </x:c>
      <x:c r="Q41" s="8" t="str">
        <x:v>Depends on query and proof; KD is incomplete</x:v>
      </x:c>
      <x:c r="R41" s="8" t="str">
        <x:v>Current inventory / native editorial review</x:v>
      </x:c>
      <x:c r="S41" s="8" t="str">
        <x:v>4–8 weeks after indexed release for early data; 12+ weeks for meaningful trend</x:v>
      </x:c>
      <x:c r="T41" s="8" t="str">
        <x:v>Qualified booking handoff and completion by locale/landing page</x:v>
      </x:c>
    </x:row>
    <x:row r="42" ht="48" customHeight="1">
      <x:c r="A42" s="9" t="n">
        <x:v>38</x:v>
      </x:c>
      <x:c r="B42" s="9" t="str">
        <x:v>C-el-family</x:v>
      </x:c>
      <x:c r="C42" s="11" t="str">
        <x:v>https://naxos-carrentals.com/el/fleet/collections/family-7-seater</x:v>
      </x:c>
      <x:c r="D42" s="9" t="str">
        <x:v>COMMERCIAL FOUNDATIONS</x:v>
      </x:c>
      <x:c r="E42" s="26" t="n">
        <x:v>5</x:v>
      </x:c>
      <x:c r="F42" s="26" t="n">
        <x:v>4</x:v>
      </x:c>
      <x:c r="G42" s="26"/>
      <x:c r="H42" s="26"/>
      <x:c r="I42" s="26" t="n">
        <x:v>4</x:v>
      </x:c>
      <x:c r="J42" s="26" t="n">
        <x:v>2</x:v>
      </x:c>
      <x:c r="K42" s="24" t="n">
        <x:f>20*(E42*'Scoring Inputs'!$B$5+F42*'Scoring Inputs'!$B$6+G42*'Scoring Inputs'!$B$7+H42*'Scoring Inputs'!$B$8+I42*'Scoring Inputs'!$B$9+J42*'Scoring Inputs'!$B$10)</x:f>
        <x:v>58</x:v>
      </x:c>
      <x:c r="L42" s="22" t="n">
        <x:f>IF(ISNUMBER(E42),'Scoring Inputs'!$B$5,0)+IF(ISNUMBER(F42),'Scoring Inputs'!$B$6,0)+IF(ISNUMBER(G42),'Scoring Inputs'!$B$7,0)+IF(ISNUMBER(H42),'Scoring Inputs'!$B$8,0)+IF(ISNUMBER(I42),'Scoring Inputs'!$B$9,0)+IF(ISNUMBER(J42),'Scoring Inputs'!$B$10,0)</x:f>
        <x:v>0.7</x:v>
      </x:c>
      <x:c r="M42" s="9" t="str">
        <x:v>Provisional: current momentum unavailable</x:v>
      </x:c>
      <x:c r="N42" s="9" t="str">
        <x:v>Improve travel with seven passengers with verified original detail</x:v>
      </x:c>
      <x:c r="O42" s="9" t="str">
        <x:v>SRC-REPO</x:v>
      </x:c>
      <x:c r="P42" s="9" t="str">
        <x:v>Medium; copy, proof and QA</x:v>
      </x:c>
      <x:c r="Q42" s="9" t="str">
        <x:v>Depends on query and proof; KD is incomplete</x:v>
      </x:c>
      <x:c r="R42" s="9" t="str">
        <x:v>Current inventory / native editorial review</x:v>
      </x:c>
      <x:c r="S42" s="9" t="str">
        <x:v>4–8 weeks after indexed release for early data; 12+ weeks for meaningful trend</x:v>
      </x:c>
      <x:c r="T42" s="9" t="str">
        <x:v>Qualified booking handoff and completion by locale/landing page</x:v>
      </x:c>
    </x:row>
    <x:row r="43" ht="48" customHeight="1">
      <x:c r="A43" s="8" t="n">
        <x:v>39</x:v>
      </x:c>
      <x:c r="B43" s="8" t="str">
        <x:v>C-el-suv</x:v>
      </x:c>
      <x:c r="C43" s="10" t="str">
        <x:v>https://naxos-carrentals.com/el/fleet/collections/suv-4x4</x:v>
      </x:c>
      <x:c r="D43" s="8" t="str">
        <x:v>COMMERCIAL FOUNDATIONS</x:v>
      </x:c>
      <x:c r="E43" s="25" t="n">
        <x:v>5</x:v>
      </x:c>
      <x:c r="F43" s="25" t="n">
        <x:v>4</x:v>
      </x:c>
      <x:c r="G43" s="25"/>
      <x:c r="H43" s="25"/>
      <x:c r="I43" s="25" t="n">
        <x:v>4</x:v>
      </x:c>
      <x:c r="J43" s="25" t="n">
        <x:v>2</x:v>
      </x:c>
      <x:c r="K43" s="23" t="n">
        <x:f>20*(E43*'Scoring Inputs'!$B$5+F43*'Scoring Inputs'!$B$6+G43*'Scoring Inputs'!$B$7+H43*'Scoring Inputs'!$B$8+I43*'Scoring Inputs'!$B$9+J43*'Scoring Inputs'!$B$10)</x:f>
        <x:v>58</x:v>
      </x:c>
      <x:c r="L43" s="21" t="n">
        <x:f>IF(ISNUMBER(E43),'Scoring Inputs'!$B$5,0)+IF(ISNUMBER(F43),'Scoring Inputs'!$B$6,0)+IF(ISNUMBER(G43),'Scoring Inputs'!$B$7,0)+IF(ISNUMBER(H43),'Scoring Inputs'!$B$8,0)+IF(ISNUMBER(I43),'Scoring Inputs'!$B$9,0)+IF(ISNUMBER(J43),'Scoring Inputs'!$B$10,0)</x:f>
        <x:v>0.7</x:v>
      </x:c>
      <x:c r="M43" s="8" t="str">
        <x:v>Provisional: current momentum unavailable</x:v>
      </x:c>
      <x:c r="N43" s="8" t="str">
        <x:v>Improve compare suv and 4x4 with verified original detail</x:v>
      </x:c>
      <x:c r="O43" s="8" t="str">
        <x:v>SRC-REPO</x:v>
      </x:c>
      <x:c r="P43" s="8" t="str">
        <x:v>Medium; copy, proof and QA</x:v>
      </x:c>
      <x:c r="Q43" s="8" t="str">
        <x:v>Depends on query and proof; KD is incomplete</x:v>
      </x:c>
      <x:c r="R43" s="8" t="str">
        <x:v>Current inventory / native editorial review</x:v>
      </x:c>
      <x:c r="S43" s="8" t="str">
        <x:v>4–8 weeks after indexed release for early data; 12+ weeks for meaningful trend</x:v>
      </x:c>
      <x:c r="T43" s="8" t="str">
        <x:v>Qualified booking handoff and completion by locale/landing page</x:v>
      </x:c>
    </x:row>
    <x:row r="44" ht="48" customHeight="1">
      <x:c r="A44" s="9" t="n">
        <x:v>40</x:v>
      </x:c>
      <x:c r="B44" s="9" t="str">
        <x:v>C-el-insurance</x:v>
      </x:c>
      <x:c r="C44" s="11" t="str">
        <x:v>https://naxos-carrentals.com/el/insurance</x:v>
      </x:c>
      <x:c r="D44" s="9" t="str">
        <x:v>COMMERCIAL FOUNDATIONS</x:v>
      </x:c>
      <x:c r="E44" s="26" t="n">
        <x:v>5</x:v>
      </x:c>
      <x:c r="F44" s="26" t="n">
        <x:v>4</x:v>
      </x:c>
      <x:c r="G44" s="26"/>
      <x:c r="H44" s="26"/>
      <x:c r="I44" s="26" t="n">
        <x:v>4</x:v>
      </x:c>
      <x:c r="J44" s="26" t="n">
        <x:v>2</x:v>
      </x:c>
      <x:c r="K44" s="24" t="n">
        <x:f>20*(E44*'Scoring Inputs'!$B$5+F44*'Scoring Inputs'!$B$6+G44*'Scoring Inputs'!$B$7+H44*'Scoring Inputs'!$B$8+I44*'Scoring Inputs'!$B$9+J44*'Scoring Inputs'!$B$10)</x:f>
        <x:v>58</x:v>
      </x:c>
      <x:c r="L44" s="22" t="n">
        <x:f>IF(ISNUMBER(E44),'Scoring Inputs'!$B$5,0)+IF(ISNUMBER(F44),'Scoring Inputs'!$B$6,0)+IF(ISNUMBER(G44),'Scoring Inputs'!$B$7,0)+IF(ISNUMBER(H44),'Scoring Inputs'!$B$8,0)+IF(ISNUMBER(I44),'Scoring Inputs'!$B$9,0)+IF(ISNUMBER(J44),'Scoring Inputs'!$B$10,0)</x:f>
        <x:v>0.7</x:v>
      </x:c>
      <x:c r="M44" s="9" t="str">
        <x:v>Provisional: current momentum unavailable</x:v>
      </x:c>
      <x:c r="N44" s="9" t="str">
        <x:v>Improve understand cover and excess with verified original detail</x:v>
      </x:c>
      <x:c r="O44" s="9" t="str">
        <x:v>SRC-REPO</x:v>
      </x:c>
      <x:c r="P44" s="9" t="str">
        <x:v>Medium; copy, proof and QA</x:v>
      </x:c>
      <x:c r="Q44" s="9" t="str">
        <x:v>Depends on query and proof; KD is incomplete</x:v>
      </x:c>
      <x:c r="R44" s="9" t="str">
        <x:v>Policy owner review</x:v>
      </x:c>
      <x:c r="S44" s="9" t="str">
        <x:v>4–8 weeks after indexed release for early data; 12+ weeks for meaningful trend</x:v>
      </x:c>
      <x:c r="T44" s="9" t="str">
        <x:v>Qualified booking handoff and completion by locale/landing page</x:v>
      </x:c>
    </x:row>
    <x:row r="45" ht="48" customHeight="1">
      <x:c r="A45" s="8" t="n">
        <x:v>41</x:v>
      </x:c>
      <x:c r="B45" s="8" t="str">
        <x:v>C-el-fleet</x:v>
      </x:c>
      <x:c r="C45" s="10" t="str">
        <x:v>https://naxos-carrentals.com/el/fleet/cars</x:v>
      </x:c>
      <x:c r="D45" s="8" t="str">
        <x:v>COMMERCIAL FOUNDATIONS</x:v>
      </x:c>
      <x:c r="E45" s="25" t="n">
        <x:v>5</x:v>
      </x:c>
      <x:c r="F45" s="25" t="n">
        <x:v>4</x:v>
      </x:c>
      <x:c r="G45" s="25"/>
      <x:c r="H45" s="25"/>
      <x:c r="I45" s="25" t="n">
        <x:v>4</x:v>
      </x:c>
      <x:c r="J45" s="25" t="n">
        <x:v>2</x:v>
      </x:c>
      <x:c r="K45" s="23" t="n">
        <x:f>20*(E45*'Scoring Inputs'!$B$5+F45*'Scoring Inputs'!$B$6+G45*'Scoring Inputs'!$B$7+H45*'Scoring Inputs'!$B$8+I45*'Scoring Inputs'!$B$9+J45*'Scoring Inputs'!$B$10)</x:f>
        <x:v>58</x:v>
      </x:c>
      <x:c r="L45" s="21" t="n">
        <x:f>IF(ISNUMBER(E45),'Scoring Inputs'!$B$5,0)+IF(ISNUMBER(F45),'Scoring Inputs'!$B$6,0)+IF(ISNUMBER(G45),'Scoring Inputs'!$B$7,0)+IF(ISNUMBER(H45),'Scoring Inputs'!$B$8,0)+IF(ISNUMBER(I45),'Scoring Inputs'!$B$9,0)+IF(ISNUMBER(J45),'Scoring Inputs'!$B$10,0)</x:f>
        <x:v>0.7</x:v>
      </x:c>
      <x:c r="M45" s="8" t="str">
        <x:v>Provisional: current momentum unavailable</x:v>
      </x:c>
      <x:c r="N45" s="8" t="str">
        <x:v>Improve compare vehicles and luggage with verified original detail</x:v>
      </x:c>
      <x:c r="O45" s="8" t="str">
        <x:v>SRC-REPO</x:v>
      </x:c>
      <x:c r="P45" s="8" t="str">
        <x:v>Medium; copy, proof and QA</x:v>
      </x:c>
      <x:c r="Q45" s="8" t="str">
        <x:v>Depends on query and proof; KD is incomplete</x:v>
      </x:c>
      <x:c r="R45" s="8" t="str">
        <x:v>Current inventory / native editorial review</x:v>
      </x:c>
      <x:c r="S45" s="8" t="str">
        <x:v>4–8 weeks after indexed release for early data; 12+ weeks for meaningful trend</x:v>
      </x:c>
      <x:c r="T45" s="8" t="str">
        <x:v>Qualified booking handoff and completion by locale/landing page</x:v>
      </x:c>
    </x:row>
    <x:row r="46" ht="48" customHeight="1">
      <x:c r="A46" s="9" t="n">
        <x:v>42</x:v>
      </x:c>
      <x:c r="B46" s="9" t="str">
        <x:v>C-it-automatic</x:v>
      </x:c>
      <x:c r="C46" s="11" t="str">
        <x:v>https://naxos-carrentals.com/it/fleet/collections/automatic</x:v>
      </x:c>
      <x:c r="D46" s="9" t="str">
        <x:v>COMMERCIAL FOUNDATIONS</x:v>
      </x:c>
      <x:c r="E46" s="26" t="n">
        <x:v>5</x:v>
      </x:c>
      <x:c r="F46" s="26" t="n">
        <x:v>4</x:v>
      </x:c>
      <x:c r="G46" s="26"/>
      <x:c r="H46" s="26"/>
      <x:c r="I46" s="26" t="n">
        <x:v>4</x:v>
      </x:c>
      <x:c r="J46" s="26" t="n">
        <x:v>2</x:v>
      </x:c>
      <x:c r="K46" s="24" t="n">
        <x:f>20*(E46*'Scoring Inputs'!$B$5+F46*'Scoring Inputs'!$B$6+G46*'Scoring Inputs'!$B$7+H46*'Scoring Inputs'!$B$8+I46*'Scoring Inputs'!$B$9+J46*'Scoring Inputs'!$B$10)</x:f>
        <x:v>58</x:v>
      </x:c>
      <x:c r="L46" s="22" t="n">
        <x:f>IF(ISNUMBER(E46),'Scoring Inputs'!$B$5,0)+IF(ISNUMBER(F46),'Scoring Inputs'!$B$6,0)+IF(ISNUMBER(G46),'Scoring Inputs'!$B$7,0)+IF(ISNUMBER(H46),'Scoring Inputs'!$B$8,0)+IF(ISNUMBER(I46),'Scoring Inputs'!$B$9,0)+IF(ISNUMBER(J46),'Scoring Inputs'!$B$10,0)</x:f>
        <x:v>0.7</x:v>
      </x:c>
      <x:c r="M46" s="9" t="str">
        <x:v>Provisional: current momentum unavailable</x:v>
      </x:c>
      <x:c r="N46" s="9" t="str">
        <x:v>Improve choose an automatic car with verified original detail</x:v>
      </x:c>
      <x:c r="O46" s="9" t="str">
        <x:v>SRC-REPO</x:v>
      </x:c>
      <x:c r="P46" s="9" t="str">
        <x:v>Medium; copy, proof and QA</x:v>
      </x:c>
      <x:c r="Q46" s="9" t="str">
        <x:v>Depends on query and proof; KD is incomplete</x:v>
      </x:c>
      <x:c r="R46" s="9" t="str">
        <x:v>Current inventory / native editorial review</x:v>
      </x:c>
      <x:c r="S46" s="9" t="str">
        <x:v>4–8 weeks after indexed release for early data; 12+ weeks for meaningful trend</x:v>
      </x:c>
      <x:c r="T46" s="9" t="str">
        <x:v>Qualified booking handoff and completion by locale/landing page</x:v>
      </x:c>
    </x:row>
    <x:row r="47" ht="48" customHeight="1">
      <x:c r="A47" s="8" t="n">
        <x:v>43</x:v>
      </x:c>
      <x:c r="B47" s="8" t="str">
        <x:v>C-it-family</x:v>
      </x:c>
      <x:c r="C47" s="10" t="str">
        <x:v>https://naxos-carrentals.com/it/fleet/collections/family-7-seater</x:v>
      </x:c>
      <x:c r="D47" s="8" t="str">
        <x:v>COMMERCIAL FOUNDATIONS</x:v>
      </x:c>
      <x:c r="E47" s="25" t="n">
        <x:v>5</x:v>
      </x:c>
      <x:c r="F47" s="25" t="n">
        <x:v>4</x:v>
      </x:c>
      <x:c r="G47" s="25"/>
      <x:c r="H47" s="25"/>
      <x:c r="I47" s="25" t="n">
        <x:v>4</x:v>
      </x:c>
      <x:c r="J47" s="25" t="n">
        <x:v>2</x:v>
      </x:c>
      <x:c r="K47" s="23" t="n">
        <x:f>20*(E47*'Scoring Inputs'!$B$5+F47*'Scoring Inputs'!$B$6+G47*'Scoring Inputs'!$B$7+H47*'Scoring Inputs'!$B$8+I47*'Scoring Inputs'!$B$9+J47*'Scoring Inputs'!$B$10)</x:f>
        <x:v>58</x:v>
      </x:c>
      <x:c r="L47" s="21" t="n">
        <x:f>IF(ISNUMBER(E47),'Scoring Inputs'!$B$5,0)+IF(ISNUMBER(F47),'Scoring Inputs'!$B$6,0)+IF(ISNUMBER(G47),'Scoring Inputs'!$B$7,0)+IF(ISNUMBER(H47),'Scoring Inputs'!$B$8,0)+IF(ISNUMBER(I47),'Scoring Inputs'!$B$9,0)+IF(ISNUMBER(J47),'Scoring Inputs'!$B$10,0)</x:f>
        <x:v>0.7</x:v>
      </x:c>
      <x:c r="M47" s="8" t="str">
        <x:v>Provisional: current momentum unavailable</x:v>
      </x:c>
      <x:c r="N47" s="8" t="str">
        <x:v>Improve travel with seven passengers with verified original detail</x:v>
      </x:c>
      <x:c r="O47" s="8" t="str">
        <x:v>SRC-REPO</x:v>
      </x:c>
      <x:c r="P47" s="8" t="str">
        <x:v>Medium; copy, proof and QA</x:v>
      </x:c>
      <x:c r="Q47" s="8" t="str">
        <x:v>Depends on query and proof; KD is incomplete</x:v>
      </x:c>
      <x:c r="R47" s="8" t="str">
        <x:v>Current inventory / native editorial review</x:v>
      </x:c>
      <x:c r="S47" s="8" t="str">
        <x:v>4–8 weeks after indexed release for early data; 12+ weeks for meaningful trend</x:v>
      </x:c>
      <x:c r="T47" s="8" t="str">
        <x:v>Qualified booking handoff and completion by locale/landing page</x:v>
      </x:c>
    </x:row>
    <x:row r="48" ht="48" customHeight="1">
      <x:c r="A48" s="9" t="n">
        <x:v>44</x:v>
      </x:c>
      <x:c r="B48" s="9" t="str">
        <x:v>C-it-suv</x:v>
      </x:c>
      <x:c r="C48" s="11" t="str">
        <x:v>https://naxos-carrentals.com/it/fleet/collections/suv-4x4</x:v>
      </x:c>
      <x:c r="D48" s="9" t="str">
        <x:v>COMMERCIAL FOUNDATIONS</x:v>
      </x:c>
      <x:c r="E48" s="26" t="n">
        <x:v>5</x:v>
      </x:c>
      <x:c r="F48" s="26" t="n">
        <x:v>4</x:v>
      </x:c>
      <x:c r="G48" s="26"/>
      <x:c r="H48" s="26"/>
      <x:c r="I48" s="26" t="n">
        <x:v>4</x:v>
      </x:c>
      <x:c r="J48" s="26" t="n">
        <x:v>2</x:v>
      </x:c>
      <x:c r="K48" s="24" t="n">
        <x:f>20*(E48*'Scoring Inputs'!$B$5+F48*'Scoring Inputs'!$B$6+G48*'Scoring Inputs'!$B$7+H48*'Scoring Inputs'!$B$8+I48*'Scoring Inputs'!$B$9+J48*'Scoring Inputs'!$B$10)</x:f>
        <x:v>58</x:v>
      </x:c>
      <x:c r="L48" s="22" t="n">
        <x:f>IF(ISNUMBER(E48),'Scoring Inputs'!$B$5,0)+IF(ISNUMBER(F48),'Scoring Inputs'!$B$6,0)+IF(ISNUMBER(G48),'Scoring Inputs'!$B$7,0)+IF(ISNUMBER(H48),'Scoring Inputs'!$B$8,0)+IF(ISNUMBER(I48),'Scoring Inputs'!$B$9,0)+IF(ISNUMBER(J48),'Scoring Inputs'!$B$10,0)</x:f>
        <x:v>0.7</x:v>
      </x:c>
      <x:c r="M48" s="9" t="str">
        <x:v>Provisional: current momentum unavailable</x:v>
      </x:c>
      <x:c r="N48" s="9" t="str">
        <x:v>Improve compare suv and 4x4 with verified original detail</x:v>
      </x:c>
      <x:c r="O48" s="9" t="str">
        <x:v>SRC-REPO</x:v>
      </x:c>
      <x:c r="P48" s="9" t="str">
        <x:v>Medium; copy, proof and QA</x:v>
      </x:c>
      <x:c r="Q48" s="9" t="str">
        <x:v>Depends on query and proof; KD is incomplete</x:v>
      </x:c>
      <x:c r="R48" s="9" t="str">
        <x:v>Current inventory / native editorial review</x:v>
      </x:c>
      <x:c r="S48" s="9" t="str">
        <x:v>4–8 weeks after indexed release for early data; 12+ weeks for meaningful trend</x:v>
      </x:c>
      <x:c r="T48" s="9" t="str">
        <x:v>Qualified booking handoff and completion by locale/landing page</x:v>
      </x:c>
    </x:row>
    <x:row r="49" ht="48" customHeight="1">
      <x:c r="A49" s="8" t="n">
        <x:v>45</x:v>
      </x:c>
      <x:c r="B49" s="8" t="str">
        <x:v>C-it-insurance</x:v>
      </x:c>
      <x:c r="C49" s="10" t="str">
        <x:v>https://naxos-carrentals.com/it/insurance</x:v>
      </x:c>
      <x:c r="D49" s="8" t="str">
        <x:v>COMMERCIAL FOUNDATIONS</x:v>
      </x:c>
      <x:c r="E49" s="25" t="n">
        <x:v>5</x:v>
      </x:c>
      <x:c r="F49" s="25" t="n">
        <x:v>4</x:v>
      </x:c>
      <x:c r="G49" s="25"/>
      <x:c r="H49" s="25"/>
      <x:c r="I49" s="25" t="n">
        <x:v>4</x:v>
      </x:c>
      <x:c r="J49" s="25" t="n">
        <x:v>2</x:v>
      </x:c>
      <x:c r="K49" s="23" t="n">
        <x:f>20*(E49*'Scoring Inputs'!$B$5+F49*'Scoring Inputs'!$B$6+G49*'Scoring Inputs'!$B$7+H49*'Scoring Inputs'!$B$8+I49*'Scoring Inputs'!$B$9+J49*'Scoring Inputs'!$B$10)</x:f>
        <x:v>58</x:v>
      </x:c>
      <x:c r="L49" s="21" t="n">
        <x:f>IF(ISNUMBER(E49),'Scoring Inputs'!$B$5,0)+IF(ISNUMBER(F49),'Scoring Inputs'!$B$6,0)+IF(ISNUMBER(G49),'Scoring Inputs'!$B$7,0)+IF(ISNUMBER(H49),'Scoring Inputs'!$B$8,0)+IF(ISNUMBER(I49),'Scoring Inputs'!$B$9,0)+IF(ISNUMBER(J49),'Scoring Inputs'!$B$10,0)</x:f>
        <x:v>0.7</x:v>
      </x:c>
      <x:c r="M49" s="8" t="str">
        <x:v>Provisional: current momentum unavailable</x:v>
      </x:c>
      <x:c r="N49" s="8" t="str">
        <x:v>Improve understand cover and excess with verified original detail</x:v>
      </x:c>
      <x:c r="O49" s="8" t="str">
        <x:v>SRC-REPO</x:v>
      </x:c>
      <x:c r="P49" s="8" t="str">
        <x:v>Medium; copy, proof and QA</x:v>
      </x:c>
      <x:c r="Q49" s="8" t="str">
        <x:v>Depends on query and proof; KD is incomplete</x:v>
      </x:c>
      <x:c r="R49" s="8" t="str">
        <x:v>Policy owner review</x:v>
      </x:c>
      <x:c r="S49" s="8" t="str">
        <x:v>4–8 weeks after indexed release for early data; 12+ weeks for meaningful trend</x:v>
      </x:c>
      <x:c r="T49" s="8" t="str">
        <x:v>Qualified booking handoff and completion by locale/landing page</x:v>
      </x:c>
    </x:row>
    <x:row r="50" ht="48" customHeight="1">
      <x:c r="A50" s="9" t="n">
        <x:v>46</x:v>
      </x:c>
      <x:c r="B50" s="9" t="str">
        <x:v>C-it-fleet</x:v>
      </x:c>
      <x:c r="C50" s="11" t="str">
        <x:v>https://naxos-carrentals.com/it/fleet/cars</x:v>
      </x:c>
      <x:c r="D50" s="9" t="str">
        <x:v>COMMERCIAL FOUNDATIONS</x:v>
      </x:c>
      <x:c r="E50" s="26" t="n">
        <x:v>5</x:v>
      </x:c>
      <x:c r="F50" s="26" t="n">
        <x:v>4</x:v>
      </x:c>
      <x:c r="G50" s="26"/>
      <x:c r="H50" s="26"/>
      <x:c r="I50" s="26" t="n">
        <x:v>4</x:v>
      </x:c>
      <x:c r="J50" s="26" t="n">
        <x:v>2</x:v>
      </x:c>
      <x:c r="K50" s="24" t="n">
        <x:f>20*(E50*'Scoring Inputs'!$B$5+F50*'Scoring Inputs'!$B$6+G50*'Scoring Inputs'!$B$7+H50*'Scoring Inputs'!$B$8+I50*'Scoring Inputs'!$B$9+J50*'Scoring Inputs'!$B$10)</x:f>
        <x:v>58</x:v>
      </x:c>
      <x:c r="L50" s="22" t="n">
        <x:f>IF(ISNUMBER(E50),'Scoring Inputs'!$B$5,0)+IF(ISNUMBER(F50),'Scoring Inputs'!$B$6,0)+IF(ISNUMBER(G50),'Scoring Inputs'!$B$7,0)+IF(ISNUMBER(H50),'Scoring Inputs'!$B$8,0)+IF(ISNUMBER(I50),'Scoring Inputs'!$B$9,0)+IF(ISNUMBER(J50),'Scoring Inputs'!$B$10,0)</x:f>
        <x:v>0.7</x:v>
      </x:c>
      <x:c r="M50" s="9" t="str">
        <x:v>Provisional: current momentum unavailable</x:v>
      </x:c>
      <x:c r="N50" s="9" t="str">
        <x:v>Improve compare vehicles and luggage with verified original detail</x:v>
      </x:c>
      <x:c r="O50" s="9" t="str">
        <x:v>SRC-REPO</x:v>
      </x:c>
      <x:c r="P50" s="9" t="str">
        <x:v>Medium; copy, proof and QA</x:v>
      </x:c>
      <x:c r="Q50" s="9" t="str">
        <x:v>Depends on query and proof; KD is incomplete</x:v>
      </x:c>
      <x:c r="R50" s="9" t="str">
        <x:v>Current inventory / native editorial review</x:v>
      </x:c>
      <x:c r="S50" s="9" t="str">
        <x:v>4–8 weeks after indexed release for early data; 12+ weeks for meaningful trend</x:v>
      </x:c>
      <x:c r="T50" s="9" t="str">
        <x:v>Qualified booking handoff and completion by locale/landing page</x:v>
      </x:c>
    </x:row>
    <x:row r="51" ht="48" customHeight="1">
      <x:c r="A51" s="8" t="n">
        <x:v>47</x:v>
      </x:c>
      <x:c r="B51" s="8" t="str">
        <x:v>C-fr-automatic</x:v>
      </x:c>
      <x:c r="C51" s="10" t="str">
        <x:v>https://naxos-carrentals.com/fr/fleet/collections/automatic</x:v>
      </x:c>
      <x:c r="D51" s="8" t="str">
        <x:v>COMMERCIAL FOUNDATIONS</x:v>
      </x:c>
      <x:c r="E51" s="25" t="n">
        <x:v>5</x:v>
      </x:c>
      <x:c r="F51" s="25" t="n">
        <x:v>4</x:v>
      </x:c>
      <x:c r="G51" s="25"/>
      <x:c r="H51" s="25"/>
      <x:c r="I51" s="25" t="n">
        <x:v>4</x:v>
      </x:c>
      <x:c r="J51" s="25" t="n">
        <x:v>2</x:v>
      </x:c>
      <x:c r="K51" s="23" t="n">
        <x:f>20*(E51*'Scoring Inputs'!$B$5+F51*'Scoring Inputs'!$B$6+G51*'Scoring Inputs'!$B$7+H51*'Scoring Inputs'!$B$8+I51*'Scoring Inputs'!$B$9+J51*'Scoring Inputs'!$B$10)</x:f>
        <x:v>58</x:v>
      </x:c>
      <x:c r="L51" s="21" t="n">
        <x:f>IF(ISNUMBER(E51),'Scoring Inputs'!$B$5,0)+IF(ISNUMBER(F51),'Scoring Inputs'!$B$6,0)+IF(ISNUMBER(G51),'Scoring Inputs'!$B$7,0)+IF(ISNUMBER(H51),'Scoring Inputs'!$B$8,0)+IF(ISNUMBER(I51),'Scoring Inputs'!$B$9,0)+IF(ISNUMBER(J51),'Scoring Inputs'!$B$10,0)</x:f>
        <x:v>0.7</x:v>
      </x:c>
      <x:c r="M51" s="8" t="str">
        <x:v>Provisional: current momentum unavailable</x:v>
      </x:c>
      <x:c r="N51" s="8" t="str">
        <x:v>Improve choose an automatic car with verified original detail</x:v>
      </x:c>
      <x:c r="O51" s="8" t="str">
        <x:v>SRC-REPO</x:v>
      </x:c>
      <x:c r="P51" s="8" t="str">
        <x:v>Medium; copy, proof and QA</x:v>
      </x:c>
      <x:c r="Q51" s="8" t="str">
        <x:v>Depends on query and proof; KD is incomplete</x:v>
      </x:c>
      <x:c r="R51" s="8" t="str">
        <x:v>Current inventory / native editorial review</x:v>
      </x:c>
      <x:c r="S51" s="8" t="str">
        <x:v>4–8 weeks after indexed release for early data; 12+ weeks for meaningful trend</x:v>
      </x:c>
      <x:c r="T51" s="8" t="str">
        <x:v>Qualified booking handoff and completion by locale/landing page</x:v>
      </x:c>
    </x:row>
    <x:row r="52" ht="48" customHeight="1">
      <x:c r="A52" s="9" t="n">
        <x:v>48</x:v>
      </x:c>
      <x:c r="B52" s="9" t="str">
        <x:v>C-fr-family</x:v>
      </x:c>
      <x:c r="C52" s="11" t="str">
        <x:v>https://naxos-carrentals.com/fr/fleet/collections/family-7-seater</x:v>
      </x:c>
      <x:c r="D52" s="9" t="str">
        <x:v>COMMERCIAL FOUNDATIONS</x:v>
      </x:c>
      <x:c r="E52" s="26" t="n">
        <x:v>5</x:v>
      </x:c>
      <x:c r="F52" s="26" t="n">
        <x:v>4</x:v>
      </x:c>
      <x:c r="G52" s="26"/>
      <x:c r="H52" s="26"/>
      <x:c r="I52" s="26" t="n">
        <x:v>4</x:v>
      </x:c>
      <x:c r="J52" s="26" t="n">
        <x:v>2</x:v>
      </x:c>
      <x:c r="K52" s="24" t="n">
        <x:f>20*(E52*'Scoring Inputs'!$B$5+F52*'Scoring Inputs'!$B$6+G52*'Scoring Inputs'!$B$7+H52*'Scoring Inputs'!$B$8+I52*'Scoring Inputs'!$B$9+J52*'Scoring Inputs'!$B$10)</x:f>
        <x:v>58</x:v>
      </x:c>
      <x:c r="L52" s="22" t="n">
        <x:f>IF(ISNUMBER(E52),'Scoring Inputs'!$B$5,0)+IF(ISNUMBER(F52),'Scoring Inputs'!$B$6,0)+IF(ISNUMBER(G52),'Scoring Inputs'!$B$7,0)+IF(ISNUMBER(H52),'Scoring Inputs'!$B$8,0)+IF(ISNUMBER(I52),'Scoring Inputs'!$B$9,0)+IF(ISNUMBER(J52),'Scoring Inputs'!$B$10,0)</x:f>
        <x:v>0.7</x:v>
      </x:c>
      <x:c r="M52" s="9" t="str">
        <x:v>Provisional: current momentum unavailable</x:v>
      </x:c>
      <x:c r="N52" s="9" t="str">
        <x:v>Improve travel with seven passengers with verified original detail</x:v>
      </x:c>
      <x:c r="O52" s="9" t="str">
        <x:v>SRC-REPO</x:v>
      </x:c>
      <x:c r="P52" s="9" t="str">
        <x:v>Medium; copy, proof and QA</x:v>
      </x:c>
      <x:c r="Q52" s="9" t="str">
        <x:v>Depends on query and proof; KD is incomplete</x:v>
      </x:c>
      <x:c r="R52" s="9" t="str">
        <x:v>Current inventory / native editorial review</x:v>
      </x:c>
      <x:c r="S52" s="9" t="str">
        <x:v>4–8 weeks after indexed release for early data; 12+ weeks for meaningful trend</x:v>
      </x:c>
      <x:c r="T52" s="9" t="str">
        <x:v>Qualified booking handoff and completion by locale/landing page</x:v>
      </x:c>
    </x:row>
    <x:row r="53" ht="48" customHeight="1">
      <x:c r="A53" s="8" t="n">
        <x:v>49</x:v>
      </x:c>
      <x:c r="B53" s="8" t="str">
        <x:v>C-fr-suv</x:v>
      </x:c>
      <x:c r="C53" s="10" t="str">
        <x:v>https://naxos-carrentals.com/fr/fleet/collections/suv-4x4</x:v>
      </x:c>
      <x:c r="D53" s="8" t="str">
        <x:v>COMMERCIAL FOUNDATIONS</x:v>
      </x:c>
      <x:c r="E53" s="25" t="n">
        <x:v>5</x:v>
      </x:c>
      <x:c r="F53" s="25" t="n">
        <x:v>4</x:v>
      </x:c>
      <x:c r="G53" s="25"/>
      <x:c r="H53" s="25"/>
      <x:c r="I53" s="25" t="n">
        <x:v>4</x:v>
      </x:c>
      <x:c r="J53" s="25" t="n">
        <x:v>2</x:v>
      </x:c>
      <x:c r="K53" s="23" t="n">
        <x:f>20*(E53*'Scoring Inputs'!$B$5+F53*'Scoring Inputs'!$B$6+G53*'Scoring Inputs'!$B$7+H53*'Scoring Inputs'!$B$8+I53*'Scoring Inputs'!$B$9+J53*'Scoring Inputs'!$B$10)</x:f>
        <x:v>58</x:v>
      </x:c>
      <x:c r="L53" s="21" t="n">
        <x:f>IF(ISNUMBER(E53),'Scoring Inputs'!$B$5,0)+IF(ISNUMBER(F53),'Scoring Inputs'!$B$6,0)+IF(ISNUMBER(G53),'Scoring Inputs'!$B$7,0)+IF(ISNUMBER(H53),'Scoring Inputs'!$B$8,0)+IF(ISNUMBER(I53),'Scoring Inputs'!$B$9,0)+IF(ISNUMBER(J53),'Scoring Inputs'!$B$10,0)</x:f>
        <x:v>0.7</x:v>
      </x:c>
      <x:c r="M53" s="8" t="str">
        <x:v>Provisional: current momentum unavailable</x:v>
      </x:c>
      <x:c r="N53" s="8" t="str">
        <x:v>Improve compare suv and 4x4 with verified original detail</x:v>
      </x:c>
      <x:c r="O53" s="8" t="str">
        <x:v>SRC-REPO</x:v>
      </x:c>
      <x:c r="P53" s="8" t="str">
        <x:v>Medium; copy, proof and QA</x:v>
      </x:c>
      <x:c r="Q53" s="8" t="str">
        <x:v>Depends on query and proof; KD is incomplete</x:v>
      </x:c>
      <x:c r="R53" s="8" t="str">
        <x:v>Current inventory / native editorial review</x:v>
      </x:c>
      <x:c r="S53" s="8" t="str">
        <x:v>4–8 weeks after indexed release for early data; 12+ weeks for meaningful trend</x:v>
      </x:c>
      <x:c r="T53" s="8" t="str">
        <x:v>Qualified booking handoff and completion by locale/landing page</x:v>
      </x:c>
    </x:row>
    <x:row r="54" ht="48" customHeight="1">
      <x:c r="A54" s="9" t="n">
        <x:v>50</x:v>
      </x:c>
      <x:c r="B54" s="9" t="str">
        <x:v>C-fr-insurance</x:v>
      </x:c>
      <x:c r="C54" s="11" t="str">
        <x:v>https://naxos-carrentals.com/fr/insurance</x:v>
      </x:c>
      <x:c r="D54" s="9" t="str">
        <x:v>COMMERCIAL FOUNDATIONS</x:v>
      </x:c>
      <x:c r="E54" s="26" t="n">
        <x:v>5</x:v>
      </x:c>
      <x:c r="F54" s="26" t="n">
        <x:v>4</x:v>
      </x:c>
      <x:c r="G54" s="26"/>
      <x:c r="H54" s="26"/>
      <x:c r="I54" s="26" t="n">
        <x:v>4</x:v>
      </x:c>
      <x:c r="J54" s="26" t="n">
        <x:v>2</x:v>
      </x:c>
      <x:c r="K54" s="24" t="n">
        <x:f>20*(E54*'Scoring Inputs'!$B$5+F54*'Scoring Inputs'!$B$6+G54*'Scoring Inputs'!$B$7+H54*'Scoring Inputs'!$B$8+I54*'Scoring Inputs'!$B$9+J54*'Scoring Inputs'!$B$10)</x:f>
        <x:v>58</x:v>
      </x:c>
      <x:c r="L54" s="22" t="n">
        <x:f>IF(ISNUMBER(E54),'Scoring Inputs'!$B$5,0)+IF(ISNUMBER(F54),'Scoring Inputs'!$B$6,0)+IF(ISNUMBER(G54),'Scoring Inputs'!$B$7,0)+IF(ISNUMBER(H54),'Scoring Inputs'!$B$8,0)+IF(ISNUMBER(I54),'Scoring Inputs'!$B$9,0)+IF(ISNUMBER(J54),'Scoring Inputs'!$B$10,0)</x:f>
        <x:v>0.7</x:v>
      </x:c>
      <x:c r="M54" s="9" t="str">
        <x:v>Provisional: current momentum unavailable</x:v>
      </x:c>
      <x:c r="N54" s="9" t="str">
        <x:v>Improve understand cover and excess with verified original detail</x:v>
      </x:c>
      <x:c r="O54" s="9" t="str">
        <x:v>SRC-REPO</x:v>
      </x:c>
      <x:c r="P54" s="9" t="str">
        <x:v>Medium; copy, proof and QA</x:v>
      </x:c>
      <x:c r="Q54" s="9" t="str">
        <x:v>Depends on query and proof; KD is incomplete</x:v>
      </x:c>
      <x:c r="R54" s="9" t="str">
        <x:v>Policy owner review</x:v>
      </x:c>
      <x:c r="S54" s="9" t="str">
        <x:v>4–8 weeks after indexed release for early data; 12+ weeks for meaningful trend</x:v>
      </x:c>
      <x:c r="T54" s="9" t="str">
        <x:v>Qualified booking handoff and completion by locale/landing page</x:v>
      </x:c>
    </x:row>
    <x:row r="55" ht="48" customHeight="1">
      <x:c r="A55" s="8" t="n">
        <x:v>51</x:v>
      </x:c>
      <x:c r="B55" s="8" t="str">
        <x:v>C-fr-fleet</x:v>
      </x:c>
      <x:c r="C55" s="10" t="str">
        <x:v>https://naxos-carrentals.com/fr/fleet/cars</x:v>
      </x:c>
      <x:c r="D55" s="8" t="str">
        <x:v>COMMERCIAL FOUNDATIONS</x:v>
      </x:c>
      <x:c r="E55" s="25" t="n">
        <x:v>5</x:v>
      </x:c>
      <x:c r="F55" s="25" t="n">
        <x:v>4</x:v>
      </x:c>
      <x:c r="G55" s="25"/>
      <x:c r="H55" s="25"/>
      <x:c r="I55" s="25" t="n">
        <x:v>4</x:v>
      </x:c>
      <x:c r="J55" s="25" t="n">
        <x:v>2</x:v>
      </x:c>
      <x:c r="K55" s="23" t="n">
        <x:f>20*(E55*'Scoring Inputs'!$B$5+F55*'Scoring Inputs'!$B$6+G55*'Scoring Inputs'!$B$7+H55*'Scoring Inputs'!$B$8+I55*'Scoring Inputs'!$B$9+J55*'Scoring Inputs'!$B$10)</x:f>
        <x:v>58</x:v>
      </x:c>
      <x:c r="L55" s="21" t="n">
        <x:f>IF(ISNUMBER(E55),'Scoring Inputs'!$B$5,0)+IF(ISNUMBER(F55),'Scoring Inputs'!$B$6,0)+IF(ISNUMBER(G55),'Scoring Inputs'!$B$7,0)+IF(ISNUMBER(H55),'Scoring Inputs'!$B$8,0)+IF(ISNUMBER(I55),'Scoring Inputs'!$B$9,0)+IF(ISNUMBER(J55),'Scoring Inputs'!$B$10,0)</x:f>
        <x:v>0.7</x:v>
      </x:c>
      <x:c r="M55" s="8" t="str">
        <x:v>Provisional: current momentum unavailable</x:v>
      </x:c>
      <x:c r="N55" s="8" t="str">
        <x:v>Improve compare vehicles and luggage with verified original detail</x:v>
      </x:c>
      <x:c r="O55" s="8" t="str">
        <x:v>SRC-REPO</x:v>
      </x:c>
      <x:c r="P55" s="8" t="str">
        <x:v>Medium; copy, proof and QA</x:v>
      </x:c>
      <x:c r="Q55" s="8" t="str">
        <x:v>Depends on query and proof; KD is incomplete</x:v>
      </x:c>
      <x:c r="R55" s="8" t="str">
        <x:v>Current inventory / native editorial review</x:v>
      </x:c>
      <x:c r="S55" s="8" t="str">
        <x:v>4–8 weeks after indexed release for early data; 12+ weeks for meaningful trend</x:v>
      </x:c>
      <x:c r="T55" s="8" t="str">
        <x:v>Qualified booking handoff and completion by locale/landing page</x:v>
      </x:c>
    </x:row>
    <x:row r="56" ht="48" customHeight="1">
      <x:c r="A56" s="9" t="n">
        <x:v>52</x:v>
      </x:c>
      <x:c r="B56" s="9" t="str">
        <x:v>C-de-automatic</x:v>
      </x:c>
      <x:c r="C56" s="11" t="str">
        <x:v>https://naxos-carrentals.com/de/fleet/collections/automatic</x:v>
      </x:c>
      <x:c r="D56" s="9" t="str">
        <x:v>COMMERCIAL FOUNDATIONS</x:v>
      </x:c>
      <x:c r="E56" s="26" t="n">
        <x:v>5</x:v>
      </x:c>
      <x:c r="F56" s="26" t="n">
        <x:v>4</x:v>
      </x:c>
      <x:c r="G56" s="26"/>
      <x:c r="H56" s="26"/>
      <x:c r="I56" s="26" t="n">
        <x:v>4</x:v>
      </x:c>
      <x:c r="J56" s="26" t="n">
        <x:v>2</x:v>
      </x:c>
      <x:c r="K56" s="24" t="n">
        <x:f>20*(E56*'Scoring Inputs'!$B$5+F56*'Scoring Inputs'!$B$6+G56*'Scoring Inputs'!$B$7+H56*'Scoring Inputs'!$B$8+I56*'Scoring Inputs'!$B$9+J56*'Scoring Inputs'!$B$10)</x:f>
        <x:v>58</x:v>
      </x:c>
      <x:c r="L56" s="22" t="n">
        <x:f>IF(ISNUMBER(E56),'Scoring Inputs'!$B$5,0)+IF(ISNUMBER(F56),'Scoring Inputs'!$B$6,0)+IF(ISNUMBER(G56),'Scoring Inputs'!$B$7,0)+IF(ISNUMBER(H56),'Scoring Inputs'!$B$8,0)+IF(ISNUMBER(I56),'Scoring Inputs'!$B$9,0)+IF(ISNUMBER(J56),'Scoring Inputs'!$B$10,0)</x:f>
        <x:v>0.7</x:v>
      </x:c>
      <x:c r="M56" s="9" t="str">
        <x:v>Provisional: current momentum unavailable</x:v>
      </x:c>
      <x:c r="N56" s="9" t="str">
        <x:v>Improve choose an automatic car with verified original detail</x:v>
      </x:c>
      <x:c r="O56" s="9" t="str">
        <x:v>SRC-REPO</x:v>
      </x:c>
      <x:c r="P56" s="9" t="str">
        <x:v>Medium; copy, proof and QA</x:v>
      </x:c>
      <x:c r="Q56" s="9" t="str">
        <x:v>Depends on query and proof; KD is incomplete</x:v>
      </x:c>
      <x:c r="R56" s="9" t="str">
        <x:v>Current inventory / native editorial review</x:v>
      </x:c>
      <x:c r="S56" s="9" t="str">
        <x:v>4–8 weeks after indexed release for early data; 12+ weeks for meaningful trend</x:v>
      </x:c>
      <x:c r="T56" s="9" t="str">
        <x:v>Qualified booking handoff and completion by locale/landing page</x:v>
      </x:c>
    </x:row>
    <x:row r="57" ht="48" customHeight="1">
      <x:c r="A57" s="8" t="n">
        <x:v>53</x:v>
      </x:c>
      <x:c r="B57" s="8" t="str">
        <x:v>C-de-family</x:v>
      </x:c>
      <x:c r="C57" s="10" t="str">
        <x:v>https://naxos-carrentals.com/de/fleet/collections/family-7-seater</x:v>
      </x:c>
      <x:c r="D57" s="8" t="str">
        <x:v>COMMERCIAL FOUNDATIONS</x:v>
      </x:c>
      <x:c r="E57" s="25" t="n">
        <x:v>5</x:v>
      </x:c>
      <x:c r="F57" s="25" t="n">
        <x:v>4</x:v>
      </x:c>
      <x:c r="G57" s="25"/>
      <x:c r="H57" s="25"/>
      <x:c r="I57" s="25" t="n">
        <x:v>4</x:v>
      </x:c>
      <x:c r="J57" s="25" t="n">
        <x:v>2</x:v>
      </x:c>
      <x:c r="K57" s="23" t="n">
        <x:f>20*(E57*'Scoring Inputs'!$B$5+F57*'Scoring Inputs'!$B$6+G57*'Scoring Inputs'!$B$7+H57*'Scoring Inputs'!$B$8+I57*'Scoring Inputs'!$B$9+J57*'Scoring Inputs'!$B$10)</x:f>
        <x:v>58</x:v>
      </x:c>
      <x:c r="L57" s="21" t="n">
        <x:f>IF(ISNUMBER(E57),'Scoring Inputs'!$B$5,0)+IF(ISNUMBER(F57),'Scoring Inputs'!$B$6,0)+IF(ISNUMBER(G57),'Scoring Inputs'!$B$7,0)+IF(ISNUMBER(H57),'Scoring Inputs'!$B$8,0)+IF(ISNUMBER(I57),'Scoring Inputs'!$B$9,0)+IF(ISNUMBER(J57),'Scoring Inputs'!$B$10,0)</x:f>
        <x:v>0.7</x:v>
      </x:c>
      <x:c r="M57" s="8" t="str">
        <x:v>Provisional: current momentum unavailable</x:v>
      </x:c>
      <x:c r="N57" s="8" t="str">
        <x:v>Improve travel with seven passengers with verified original detail</x:v>
      </x:c>
      <x:c r="O57" s="8" t="str">
        <x:v>SRC-REPO</x:v>
      </x:c>
      <x:c r="P57" s="8" t="str">
        <x:v>Medium; copy, proof and QA</x:v>
      </x:c>
      <x:c r="Q57" s="8" t="str">
        <x:v>Depends on query and proof; KD is incomplete</x:v>
      </x:c>
      <x:c r="R57" s="8" t="str">
        <x:v>Current inventory / native editorial review</x:v>
      </x:c>
      <x:c r="S57" s="8" t="str">
        <x:v>4–8 weeks after indexed release for early data; 12+ weeks for meaningful trend</x:v>
      </x:c>
      <x:c r="T57" s="8" t="str">
        <x:v>Qualified booking handoff and completion by locale/landing page</x:v>
      </x:c>
    </x:row>
    <x:row r="58" ht="48" customHeight="1">
      <x:c r="A58" s="9" t="n">
        <x:v>54</x:v>
      </x:c>
      <x:c r="B58" s="9" t="str">
        <x:v>C-de-suv</x:v>
      </x:c>
      <x:c r="C58" s="11" t="str">
        <x:v>https://naxos-carrentals.com/de/fleet/collections/suv-4x4</x:v>
      </x:c>
      <x:c r="D58" s="9" t="str">
        <x:v>COMMERCIAL FOUNDATIONS</x:v>
      </x:c>
      <x:c r="E58" s="26" t="n">
        <x:v>5</x:v>
      </x:c>
      <x:c r="F58" s="26" t="n">
        <x:v>4</x:v>
      </x:c>
      <x:c r="G58" s="26"/>
      <x:c r="H58" s="26"/>
      <x:c r="I58" s="26" t="n">
        <x:v>4</x:v>
      </x:c>
      <x:c r="J58" s="26" t="n">
        <x:v>2</x:v>
      </x:c>
      <x:c r="K58" s="24" t="n">
        <x:f>20*(E58*'Scoring Inputs'!$B$5+F58*'Scoring Inputs'!$B$6+G58*'Scoring Inputs'!$B$7+H58*'Scoring Inputs'!$B$8+I58*'Scoring Inputs'!$B$9+J58*'Scoring Inputs'!$B$10)</x:f>
        <x:v>58</x:v>
      </x:c>
      <x:c r="L58" s="22" t="n">
        <x:f>IF(ISNUMBER(E58),'Scoring Inputs'!$B$5,0)+IF(ISNUMBER(F58),'Scoring Inputs'!$B$6,0)+IF(ISNUMBER(G58),'Scoring Inputs'!$B$7,0)+IF(ISNUMBER(H58),'Scoring Inputs'!$B$8,0)+IF(ISNUMBER(I58),'Scoring Inputs'!$B$9,0)+IF(ISNUMBER(J58),'Scoring Inputs'!$B$10,0)</x:f>
        <x:v>0.7</x:v>
      </x:c>
      <x:c r="M58" s="9" t="str">
        <x:v>Provisional: current momentum unavailable</x:v>
      </x:c>
      <x:c r="N58" s="9" t="str">
        <x:v>Improve compare suv and 4x4 with verified original detail</x:v>
      </x:c>
      <x:c r="O58" s="9" t="str">
        <x:v>SRC-REPO</x:v>
      </x:c>
      <x:c r="P58" s="9" t="str">
        <x:v>Medium; copy, proof and QA</x:v>
      </x:c>
      <x:c r="Q58" s="9" t="str">
        <x:v>Depends on query and proof; KD is incomplete</x:v>
      </x:c>
      <x:c r="R58" s="9" t="str">
        <x:v>Current inventory / native editorial review</x:v>
      </x:c>
      <x:c r="S58" s="9" t="str">
        <x:v>4–8 weeks after indexed release for early data; 12+ weeks for meaningful trend</x:v>
      </x:c>
      <x:c r="T58" s="9" t="str">
        <x:v>Qualified booking handoff and completion by locale/landing page</x:v>
      </x:c>
    </x:row>
    <x:row r="59" ht="48" customHeight="1">
      <x:c r="A59" s="8" t="n">
        <x:v>55</x:v>
      </x:c>
      <x:c r="B59" s="8" t="str">
        <x:v>C-de-fleet</x:v>
      </x:c>
      <x:c r="C59" s="10" t="str">
        <x:v>https://naxos-carrentals.com/de/fleet/cars</x:v>
      </x:c>
      <x:c r="D59" s="8" t="str">
        <x:v>COMMERCIAL FOUNDATIONS</x:v>
      </x:c>
      <x:c r="E59" s="25" t="n">
        <x:v>5</x:v>
      </x:c>
      <x:c r="F59" s="25" t="n">
        <x:v>4</x:v>
      </x:c>
      <x:c r="G59" s="25"/>
      <x:c r="H59" s="25"/>
      <x:c r="I59" s="25" t="n">
        <x:v>4</x:v>
      </x:c>
      <x:c r="J59" s="25" t="n">
        <x:v>2</x:v>
      </x:c>
      <x:c r="K59" s="23" t="n">
        <x:f>20*(E59*'Scoring Inputs'!$B$5+F59*'Scoring Inputs'!$B$6+G59*'Scoring Inputs'!$B$7+H59*'Scoring Inputs'!$B$8+I59*'Scoring Inputs'!$B$9+J59*'Scoring Inputs'!$B$10)</x:f>
        <x:v>58</x:v>
      </x:c>
      <x:c r="L59" s="21" t="n">
        <x:f>IF(ISNUMBER(E59),'Scoring Inputs'!$B$5,0)+IF(ISNUMBER(F59),'Scoring Inputs'!$B$6,0)+IF(ISNUMBER(G59),'Scoring Inputs'!$B$7,0)+IF(ISNUMBER(H59),'Scoring Inputs'!$B$8,0)+IF(ISNUMBER(I59),'Scoring Inputs'!$B$9,0)+IF(ISNUMBER(J59),'Scoring Inputs'!$B$10,0)</x:f>
        <x:v>0.7</x:v>
      </x:c>
      <x:c r="M59" s="8" t="str">
        <x:v>Provisional: current momentum unavailable</x:v>
      </x:c>
      <x:c r="N59" s="8" t="str">
        <x:v>Improve compare vehicles and luggage with verified original detail</x:v>
      </x:c>
      <x:c r="O59" s="8" t="str">
        <x:v>SRC-REPO</x:v>
      </x:c>
      <x:c r="P59" s="8" t="str">
        <x:v>Medium; copy, proof and QA</x:v>
      </x:c>
      <x:c r="Q59" s="8" t="str">
        <x:v>Depends on query and proof; KD is incomplete</x:v>
      </x:c>
      <x:c r="R59" s="8" t="str">
        <x:v>Current inventory / native editorial review</x:v>
      </x:c>
      <x:c r="S59" s="8" t="str">
        <x:v>4–8 weeks after indexed release for early data; 12+ weeks for meaningful trend</x:v>
      </x:c>
      <x:c r="T59" s="8" t="str">
        <x:v>Qualified booking handoff and completion by locale/landing page</x:v>
      </x:c>
    </x:row>
    <x:row r="60" ht="48" customHeight="1">
      <x:c r="A60" s="9" t="n">
        <x:v>56</x:v>
      </x:c>
      <x:c r="B60" s="9" t="str">
        <x:v>C-en-need-car</x:v>
      </x:c>
      <x:c r="C60" s="11" t="str">
        <x:v>https://naxos-carrentals.com/en/guides/do-you-need-a-car-in-naxos</x:v>
      </x:c>
      <x:c r="D60" s="9" t="str">
        <x:v>AUTHORITY BUILDING</x:v>
      </x:c>
      <x:c r="E60" s="26" t="n">
        <x:v>3</x:v>
      </x:c>
      <x:c r="F60" s="26" t="n">
        <x:v>4</x:v>
      </x:c>
      <x:c r="G60" s="26"/>
      <x:c r="H60" s="26" t="n">
        <x:v>3</x:v>
      </x:c>
      <x:c r="I60" s="26" t="n">
        <x:v>3</x:v>
      </x:c>
      <x:c r="J60" s="26" t="n">
        <x:v>2</x:v>
      </x:c>
      <x:c r="K60" s="24" t="n">
        <x:f>20*(E60*'Scoring Inputs'!$B$5+F60*'Scoring Inputs'!$B$6+G60*'Scoring Inputs'!$B$7+H60*'Scoring Inputs'!$B$8+I60*'Scoring Inputs'!$B$9+J60*'Scoring Inputs'!$B$10)</x:f>
        <x:v>53.00000000000001</x:v>
      </x:c>
      <x:c r="L60" s="22" t="n">
        <x:f>IF(ISNUMBER(E60),'Scoring Inputs'!$B$5,0)+IF(ISNUMBER(F60),'Scoring Inputs'!$B$6,0)+IF(ISNUMBER(G60),'Scoring Inputs'!$B$7,0)+IF(ISNUMBER(H60),'Scoring Inputs'!$B$8,0)+IF(ISNUMBER(I60),'Scoring Inputs'!$B$9,0)+IF(ISNUMBER(J60),'Scoring Inputs'!$B$10,0)</x:f>
        <x:v>0.85</x:v>
      </x:c>
      <x:c r="M60" s="9" t="str">
        <x:v>Provisional: current momentum unavailable</x:v>
      </x:c>
      <x:c r="N60" s="9" t="str">
        <x:v>Improve decide whether to rent a car with verified original detail</x:v>
      </x:c>
      <x:c r="O60" s="9" t="str">
        <x:v>kw-us</x:v>
      </x:c>
      <x:c r="P60" s="9" t="str">
        <x:v>Medium; copy, proof and QA</x:v>
      </x:c>
      <x:c r="Q60" s="9" t="str">
        <x:v>Depends on query and proof; KD is incomplete</x:v>
      </x:c>
      <x:c r="R60" s="9" t="str">
        <x:v>Current inventory / native editorial review</x:v>
      </x:c>
      <x:c r="S60" s="9" t="str">
        <x:v>4–8 weeks after indexed release for early data; 12+ weeks for meaningful trend</x:v>
      </x:c>
      <x:c r="T60" s="9" t="str">
        <x:v>Qualified booking handoff and completion by locale/landing page</x:v>
      </x:c>
    </x:row>
    <x:row r="61" ht="48" customHeight="1">
      <x:c r="A61" s="8" t="n">
        <x:v>57</x:v>
      </x:c>
      <x:c r="B61" s="8" t="str">
        <x:v>C-el-need-car</x:v>
      </x:c>
      <x:c r="C61" s="10" t="str">
        <x:v>https://naxos-carrentals.com/el/guides/do-you-need-a-car-in-naxos</x:v>
      </x:c>
      <x:c r="D61" s="8" t="str">
        <x:v>AUTHORITY BUILDING</x:v>
      </x:c>
      <x:c r="E61" s="25" t="n">
        <x:v>3</x:v>
      </x:c>
      <x:c r="F61" s="25" t="n">
        <x:v>4</x:v>
      </x:c>
      <x:c r="G61" s="25"/>
      <x:c r="H61" s="25" t="n">
        <x:v>3</x:v>
      </x:c>
      <x:c r="I61" s="25" t="n">
        <x:v>3</x:v>
      </x:c>
      <x:c r="J61" s="25" t="n">
        <x:v>2</x:v>
      </x:c>
      <x:c r="K61" s="23" t="n">
        <x:f>20*(E61*'Scoring Inputs'!$B$5+F61*'Scoring Inputs'!$B$6+G61*'Scoring Inputs'!$B$7+H61*'Scoring Inputs'!$B$8+I61*'Scoring Inputs'!$B$9+J61*'Scoring Inputs'!$B$10)</x:f>
        <x:v>53.00000000000001</x:v>
      </x:c>
      <x:c r="L61" s="21" t="n">
        <x:f>IF(ISNUMBER(E61),'Scoring Inputs'!$B$5,0)+IF(ISNUMBER(F61),'Scoring Inputs'!$B$6,0)+IF(ISNUMBER(G61),'Scoring Inputs'!$B$7,0)+IF(ISNUMBER(H61),'Scoring Inputs'!$B$8,0)+IF(ISNUMBER(I61),'Scoring Inputs'!$B$9,0)+IF(ISNUMBER(J61),'Scoring Inputs'!$B$10,0)</x:f>
        <x:v>0.85</x:v>
      </x:c>
      <x:c r="M61" s="8" t="str">
        <x:v>Provisional: current momentum unavailable</x:v>
      </x:c>
      <x:c r="N61" s="8" t="str">
        <x:v>Improve decide whether to rent a car with verified original detail</x:v>
      </x:c>
      <x:c r="O61" s="8" t="str">
        <x:v>discover-el</x:v>
      </x:c>
      <x:c r="P61" s="8" t="str">
        <x:v>Medium; copy, proof and QA</x:v>
      </x:c>
      <x:c r="Q61" s="8" t="str">
        <x:v>Depends on query and proof; KD is incomplete</x:v>
      </x:c>
      <x:c r="R61" s="8" t="str">
        <x:v>Current inventory / native editorial review</x:v>
      </x:c>
      <x:c r="S61" s="8" t="str">
        <x:v>4–8 weeks after indexed release for early data; 12+ weeks for meaningful trend</x:v>
      </x:c>
      <x:c r="T61" s="8" t="str">
        <x:v>Qualified booking handoff and completion by locale/landing page</x:v>
      </x:c>
    </x:row>
    <x:row r="62" ht="48" customHeight="1">
      <x:c r="A62" s="9" t="n">
        <x:v>58</x:v>
      </x:c>
      <x:c r="B62" s="9" t="str">
        <x:v>C-en-driving</x:v>
      </x:c>
      <x:c r="C62" s="11" t="str">
        <x:v>https://naxos-carrentals.com/en/guides/driving-in-naxos</x:v>
      </x:c>
      <x:c r="D62" s="9" t="str">
        <x:v>AUTHORITY BUILDING</x:v>
      </x:c>
      <x:c r="E62" s="26" t="n">
        <x:v>3</x:v>
      </x:c>
      <x:c r="F62" s="26" t="n">
        <x:v>4</x:v>
      </x:c>
      <x:c r="G62" s="26"/>
      <x:c r="H62" s="26" t="n">
        <x:v>2</x:v>
      </x:c>
      <x:c r="I62" s="26" t="n">
        <x:v>3</x:v>
      </x:c>
      <x:c r="J62" s="26" t="n">
        <x:v>2</x:v>
      </x:c>
      <x:c r="K62" s="24" t="n">
        <x:f>20*(E62*'Scoring Inputs'!$B$5+F62*'Scoring Inputs'!$B$6+G62*'Scoring Inputs'!$B$7+H62*'Scoring Inputs'!$B$8+I62*'Scoring Inputs'!$B$9+J62*'Scoring Inputs'!$B$10)</x:f>
        <x:v>50</x:v>
      </x:c>
      <x:c r="L62" s="22" t="n">
        <x:f>IF(ISNUMBER(E62),'Scoring Inputs'!$B$5,0)+IF(ISNUMBER(F62),'Scoring Inputs'!$B$6,0)+IF(ISNUMBER(G62),'Scoring Inputs'!$B$7,0)+IF(ISNUMBER(H62),'Scoring Inputs'!$B$8,0)+IF(ISNUMBER(I62),'Scoring Inputs'!$B$9,0)+IF(ISNUMBER(J62),'Scoring Inputs'!$B$10,0)</x:f>
        <x:v>0.85</x:v>
      </x:c>
      <x:c r="M62" s="9" t="str">
        <x:v>Provisional: current momentum unavailable</x:v>
      </x:c>
      <x:c r="N62" s="9" t="str">
        <x:v>Improve plan a practical driving route with verified original detail</x:v>
      </x:c>
      <x:c r="O62" s="9" t="str">
        <x:v>kw-gb, discover-en</x:v>
      </x:c>
      <x:c r="P62" s="9" t="str">
        <x:v>Medium; copy, proof and QA</x:v>
      </x:c>
      <x:c r="Q62" s="9" t="str">
        <x:v>Depends on query and proof; KD is incomplete</x:v>
      </x:c>
      <x:c r="R62" s="9" t="str">
        <x:v>Current inventory / native editorial review</x:v>
      </x:c>
      <x:c r="S62" s="9" t="str">
        <x:v>4–8 weeks after indexed release for early data; 12+ weeks for meaningful trend</x:v>
      </x:c>
      <x:c r="T62" s="9" t="str">
        <x:v>Qualified booking handoff and completion by locale/landing page</x:v>
      </x:c>
    </x:row>
    <x:row r="63" ht="48" customHeight="1">
      <x:c r="A63" s="8" t="n">
        <x:v>59</x:v>
      </x:c>
      <x:c r="B63" s="8" t="str">
        <x:v>C-fr-need-car</x:v>
      </x:c>
      <x:c r="C63" s="10" t="str">
        <x:v>https://naxos-carrentals.com/fr/guides/do-you-need-a-car-in-naxos</x:v>
      </x:c>
      <x:c r="D63" s="8" t="str">
        <x:v>AUTHORITY BUILDING</x:v>
      </x:c>
      <x:c r="E63" s="25" t="n">
        <x:v>3</x:v>
      </x:c>
      <x:c r="F63" s="25" t="n">
        <x:v>4</x:v>
      </x:c>
      <x:c r="G63" s="25"/>
      <x:c r="H63" s="25" t="n">
        <x:v>2</x:v>
      </x:c>
      <x:c r="I63" s="25" t="n">
        <x:v>3</x:v>
      </x:c>
      <x:c r="J63" s="25" t="n">
        <x:v>2</x:v>
      </x:c>
      <x:c r="K63" s="23" t="n">
        <x:f>20*(E63*'Scoring Inputs'!$B$5+F63*'Scoring Inputs'!$B$6+G63*'Scoring Inputs'!$B$7+H63*'Scoring Inputs'!$B$8+I63*'Scoring Inputs'!$B$9+J63*'Scoring Inputs'!$B$10)</x:f>
        <x:v>50</x:v>
      </x:c>
      <x:c r="L63" s="21" t="n">
        <x:f>IF(ISNUMBER(E63),'Scoring Inputs'!$B$5,0)+IF(ISNUMBER(F63),'Scoring Inputs'!$B$6,0)+IF(ISNUMBER(G63),'Scoring Inputs'!$B$7,0)+IF(ISNUMBER(H63),'Scoring Inputs'!$B$8,0)+IF(ISNUMBER(I63),'Scoring Inputs'!$B$9,0)+IF(ISNUMBER(J63),'Scoring Inputs'!$B$10,0)</x:f>
        <x:v>0.85</x:v>
      </x:c>
      <x:c r="M63" s="8" t="str">
        <x:v>Provisional: current momentum unavailable</x:v>
      </x:c>
      <x:c r="N63" s="8" t="str">
        <x:v>Improve decide whether to rent a car with verified original detail</x:v>
      </x:c>
      <x:c r="O63" s="8" t="str">
        <x:v>discover-fr</x:v>
      </x:c>
      <x:c r="P63" s="8" t="str">
        <x:v>Medium; copy, proof and QA</x:v>
      </x:c>
      <x:c r="Q63" s="8" t="str">
        <x:v>Depends on query and proof; KD is incomplete</x:v>
      </x:c>
      <x:c r="R63" s="8" t="str">
        <x:v>Current inventory / native editorial review</x:v>
      </x:c>
      <x:c r="S63" s="8" t="str">
        <x:v>4–8 weeks after indexed release for early data; 12+ weeks for meaningful trend</x:v>
      </x:c>
      <x:c r="T63" s="8" t="str">
        <x:v>Qualified booking handoff and completion by locale/landing page</x:v>
      </x:c>
    </x:row>
    <x:row r="64" ht="48" customHeight="1">
      <x:c r="A64" s="9" t="n">
        <x:v>60</x:v>
      </x:c>
      <x:c r="B64" s="9" t="str">
        <x:v>C-fr-driving</x:v>
      </x:c>
      <x:c r="C64" s="11" t="str">
        <x:v>https://naxos-carrentals.com/fr/guides/driving-in-naxos</x:v>
      </x:c>
      <x:c r="D64" s="9" t="str">
        <x:v>AUTHORITY BUILDING</x:v>
      </x:c>
      <x:c r="E64" s="26" t="n">
        <x:v>3</x:v>
      </x:c>
      <x:c r="F64" s="26" t="n">
        <x:v>4</x:v>
      </x:c>
      <x:c r="G64" s="26"/>
      <x:c r="H64" s="26" t="n">
        <x:v>1</x:v>
      </x:c>
      <x:c r="I64" s="26" t="n">
        <x:v>3</x:v>
      </x:c>
      <x:c r="J64" s="26" t="n">
        <x:v>2</x:v>
      </x:c>
      <x:c r="K64" s="24" t="n">
        <x:f>20*(E64*'Scoring Inputs'!$B$5+F64*'Scoring Inputs'!$B$6+G64*'Scoring Inputs'!$B$7+H64*'Scoring Inputs'!$B$8+I64*'Scoring Inputs'!$B$9+J64*'Scoring Inputs'!$B$10)</x:f>
        <x:v>47</x:v>
      </x:c>
      <x:c r="L64" s="22" t="n">
        <x:f>IF(ISNUMBER(E64),'Scoring Inputs'!$B$5,0)+IF(ISNUMBER(F64),'Scoring Inputs'!$B$6,0)+IF(ISNUMBER(G64),'Scoring Inputs'!$B$7,0)+IF(ISNUMBER(H64),'Scoring Inputs'!$B$8,0)+IF(ISNUMBER(I64),'Scoring Inputs'!$B$9,0)+IF(ISNUMBER(J64),'Scoring Inputs'!$B$10,0)</x:f>
        <x:v>0.85</x:v>
      </x:c>
      <x:c r="M64" s="9" t="str">
        <x:v>Provisional: current momentum unavailable</x:v>
      </x:c>
      <x:c r="N64" s="9" t="str">
        <x:v>Improve plan a practical driving route with verified original detail</x:v>
      </x:c>
      <x:c r="O64" s="9" t="str">
        <x:v>discover-fr</x:v>
      </x:c>
      <x:c r="P64" s="9" t="str">
        <x:v>Medium; copy, proof and QA</x:v>
      </x:c>
      <x:c r="Q64" s="9" t="str">
        <x:v>Depends on query and proof; KD is incomplete</x:v>
      </x:c>
      <x:c r="R64" s="9" t="str">
        <x:v>Current inventory / native editorial review</x:v>
      </x:c>
      <x:c r="S64" s="9" t="str">
        <x:v>4–8 weeks after indexed release for early data; 12+ weeks for meaningful trend</x:v>
      </x:c>
      <x:c r="T64" s="9" t="str">
        <x:v>Qualified booking handoff and completion by locale/landing page</x:v>
      </x:c>
    </x:row>
    <x:row r="65" ht="48" customHeight="1">
      <x:c r="A65" s="8" t="n">
        <x:v>61</x:v>
      </x:c>
      <x:c r="B65" s="8" t="str">
        <x:v>C-de-driving</x:v>
      </x:c>
      <x:c r="C65" s="10" t="str">
        <x:v>https://naxos-carrentals.com/de/guides/driving-in-naxos</x:v>
      </x:c>
      <x:c r="D65" s="8" t="str">
        <x:v>AUTHORITY BUILDING</x:v>
      </x:c>
      <x:c r="E65" s="25" t="n">
        <x:v>3</x:v>
      </x:c>
      <x:c r="F65" s="25" t="n">
        <x:v>4</x:v>
      </x:c>
      <x:c r="G65" s="25"/>
      <x:c r="H65" s="25" t="n">
        <x:v>1</x:v>
      </x:c>
      <x:c r="I65" s="25" t="n">
        <x:v>3</x:v>
      </x:c>
      <x:c r="J65" s="25" t="n">
        <x:v>2</x:v>
      </x:c>
      <x:c r="K65" s="23" t="n">
        <x:f>20*(E65*'Scoring Inputs'!$B$5+F65*'Scoring Inputs'!$B$6+G65*'Scoring Inputs'!$B$7+H65*'Scoring Inputs'!$B$8+I65*'Scoring Inputs'!$B$9+J65*'Scoring Inputs'!$B$10)</x:f>
        <x:v>47</x:v>
      </x:c>
      <x:c r="L65" s="21" t="n">
        <x:f>IF(ISNUMBER(E65),'Scoring Inputs'!$B$5,0)+IF(ISNUMBER(F65),'Scoring Inputs'!$B$6,0)+IF(ISNUMBER(G65),'Scoring Inputs'!$B$7,0)+IF(ISNUMBER(H65),'Scoring Inputs'!$B$8,0)+IF(ISNUMBER(I65),'Scoring Inputs'!$B$9,0)+IF(ISNUMBER(J65),'Scoring Inputs'!$B$10,0)</x:f>
        <x:v>0.85</x:v>
      </x:c>
      <x:c r="M65" s="8" t="str">
        <x:v>Provisional: current momentum unavailable</x:v>
      </x:c>
      <x:c r="N65" s="8" t="str">
        <x:v>Improve plan a practical driving route with verified original detail</x:v>
      </x:c>
      <x:c r="O65" s="8" t="str">
        <x:v>discover-de</x:v>
      </x:c>
      <x:c r="P65" s="8" t="str">
        <x:v>Medium; copy, proof and QA</x:v>
      </x:c>
      <x:c r="Q65" s="8" t="str">
        <x:v>Depends on query and proof; KD is incomplete</x:v>
      </x:c>
      <x:c r="R65" s="8" t="str">
        <x:v>Current inventory / native editorial review</x:v>
      </x:c>
      <x:c r="S65" s="8" t="str">
        <x:v>4–8 weeks after indexed release for early data; 12+ weeks for meaningful trend</x:v>
      </x:c>
      <x:c r="T65" s="8" t="str">
        <x:v>Qualified booking handoff and completion by locale/landing page</x:v>
      </x:c>
    </x:row>
    <x:row r="66" ht="48" customHeight="1">
      <x:c r="A66" s="9" t="n">
        <x:v>62</x:v>
      </x:c>
      <x:c r="B66" s="9" t="str">
        <x:v>C-de-need-car</x:v>
      </x:c>
      <x:c r="C66" s="11" t="str">
        <x:v>https://naxos-carrentals.com/de/guides/do-you-need-a-car-in-naxos</x:v>
      </x:c>
      <x:c r="D66" s="9" t="str">
        <x:v>AUTHORITY BUILDING</x:v>
      </x:c>
      <x:c r="E66" s="26" t="n">
        <x:v>3</x:v>
      </x:c>
      <x:c r="F66" s="26" t="n">
        <x:v>4</x:v>
      </x:c>
      <x:c r="G66" s="26"/>
      <x:c r="H66" s="26" t="n">
        <x:v>1</x:v>
      </x:c>
      <x:c r="I66" s="26" t="n">
        <x:v>3</x:v>
      </x:c>
      <x:c r="J66" s="26" t="n">
        <x:v>2</x:v>
      </x:c>
      <x:c r="K66" s="24" t="n">
        <x:f>20*(E66*'Scoring Inputs'!$B$5+F66*'Scoring Inputs'!$B$6+G66*'Scoring Inputs'!$B$7+H66*'Scoring Inputs'!$B$8+I66*'Scoring Inputs'!$B$9+J66*'Scoring Inputs'!$B$10)</x:f>
        <x:v>47</x:v>
      </x:c>
      <x:c r="L66" s="22" t="n">
        <x:f>IF(ISNUMBER(E66),'Scoring Inputs'!$B$5,0)+IF(ISNUMBER(F66),'Scoring Inputs'!$B$6,0)+IF(ISNUMBER(G66),'Scoring Inputs'!$B$7,0)+IF(ISNUMBER(H66),'Scoring Inputs'!$B$8,0)+IF(ISNUMBER(I66),'Scoring Inputs'!$B$9,0)+IF(ISNUMBER(J66),'Scoring Inputs'!$B$10,0)</x:f>
        <x:v>0.85</x:v>
      </x:c>
      <x:c r="M66" s="9" t="str">
        <x:v>Provisional: current momentum unavailable</x:v>
      </x:c>
      <x:c r="N66" s="9" t="str">
        <x:v>Improve decide whether to rent a car with verified original detail</x:v>
      </x:c>
      <x:c r="O66" s="9" t="str">
        <x:v>discover-de</x:v>
      </x:c>
      <x:c r="P66" s="9" t="str">
        <x:v>Medium; copy, proof and QA</x:v>
      </x:c>
      <x:c r="Q66" s="9" t="str">
        <x:v>Depends on query and proof; KD is incomplete</x:v>
      </x:c>
      <x:c r="R66" s="9" t="str">
        <x:v>Current inventory / native editorial review</x:v>
      </x:c>
      <x:c r="S66" s="9" t="str">
        <x:v>4–8 weeks after indexed release for early data; 12+ weeks for meaningful trend</x:v>
      </x:c>
      <x:c r="T66" s="9" t="str">
        <x:v>Qualified booking handoff and completion by locale/landing page</x:v>
      </x:c>
    </x:row>
    <x:row r="67" ht="48" customHeight="1">
      <x:c r="A67" s="8" t="n">
        <x:v>63</x:v>
      </x:c>
      <x:c r="B67" s="8" t="str">
        <x:v>C-en-scooter</x:v>
      </x:c>
      <x:c r="C67" s="10" t="str">
        <x:v>https://naxos-carrentals.com/en/fleet/scooters</x:v>
      </x:c>
      <x:c r="D67" s="8" t="str">
        <x:v>DEPRIORITIZED</x:v>
      </x:c>
      <x:c r="E67" s="25" t="n">
        <x:v>2</x:v>
      </x:c>
      <x:c r="F67" s="25" t="n">
        <x:v>4</x:v>
      </x:c>
      <x:c r="G67" s="25"/>
      <x:c r="H67" s="25" t="n">
        <x:v>2</x:v>
      </x:c>
      <x:c r="I67" s="25" t="n">
        <x:v>3</x:v>
      </x:c>
      <x:c r="J67" s="25" t="n">
        <x:v>2</x:v>
      </x:c>
      <x:c r="K67" s="23" t="n">
        <x:f>20*(E67*'Scoring Inputs'!$B$5+F67*'Scoring Inputs'!$B$6+G67*'Scoring Inputs'!$B$7+H67*'Scoring Inputs'!$B$8+I67*'Scoring Inputs'!$B$9+J67*'Scoring Inputs'!$B$10)</x:f>
        <x:v>44</x:v>
      </x:c>
      <x:c r="L67" s="21" t="n">
        <x:f>IF(ISNUMBER(E67),'Scoring Inputs'!$B$5,0)+IF(ISNUMBER(F67),'Scoring Inputs'!$B$6,0)+IF(ISNUMBER(G67),'Scoring Inputs'!$B$7,0)+IF(ISNUMBER(H67),'Scoring Inputs'!$B$8,0)+IF(ISNUMBER(I67),'Scoring Inputs'!$B$9,0)+IF(ISNUMBER(J67),'Scoring Inputs'!$B$10,0)</x:f>
        <x:v>0.85</x:v>
      </x:c>
      <x:c r="M67" s="8" t="str">
        <x:v>Provisional: current momentum unavailable</x:v>
      </x:c>
      <x:c r="N67" s="8" t="str">
        <x:v>Improve compare cars and scooters honestly with verified original detail</x:v>
      </x:c>
      <x:c r="O67" s="8" t="str">
        <x:v>discover-en</x:v>
      </x:c>
      <x:c r="P67" s="8" t="str">
        <x:v>Medium; copy, proof and QA</x:v>
      </x:c>
      <x:c r="Q67" s="8" t="str">
        <x:v>Depends on query and proof; KD is incomplete</x:v>
      </x:c>
      <x:c r="R67" s="8" t="str">
        <x:v>Current inventory / native editorial review</x:v>
      </x:c>
      <x:c r="S67" s="8" t="str">
        <x:v>4–8 weeks after indexed release for early data; 12+ weeks for meaningful trend</x:v>
      </x:c>
      <x:c r="T67" s="8" t="str">
        <x:v>Qualified booking handoff and completion by locale/landing page</x:v>
      </x:c>
    </x:row>
    <x:row r="68" ht="48" customHeight="1">
      <x:c r="A68" s="9" t="n">
        <x:v>64</x:v>
      </x:c>
      <x:c r="B68" s="9" t="str">
        <x:v>C-it-scooter</x:v>
      </x:c>
      <x:c r="C68" s="11" t="str">
        <x:v>https://naxos-carrentals.com/it/fleet/scooters</x:v>
      </x:c>
      <x:c r="D68" s="9" t="str">
        <x:v>DEPRIORITIZED</x:v>
      </x:c>
      <x:c r="E68" s="26" t="n">
        <x:v>2</x:v>
      </x:c>
      <x:c r="F68" s="26" t="n">
        <x:v>4</x:v>
      </x:c>
      <x:c r="G68" s="26"/>
      <x:c r="H68" s="26" t="n">
        <x:v>1</x:v>
      </x:c>
      <x:c r="I68" s="26" t="n">
        <x:v>3</x:v>
      </x:c>
      <x:c r="J68" s="26" t="n">
        <x:v>2</x:v>
      </x:c>
      <x:c r="K68" s="24" t="n">
        <x:f>20*(E68*'Scoring Inputs'!$B$5+F68*'Scoring Inputs'!$B$6+G68*'Scoring Inputs'!$B$7+H68*'Scoring Inputs'!$B$8+I68*'Scoring Inputs'!$B$9+J68*'Scoring Inputs'!$B$10)</x:f>
        <x:v>41</x:v>
      </x:c>
      <x:c r="L68" s="22" t="n">
        <x:f>IF(ISNUMBER(E68),'Scoring Inputs'!$B$5,0)+IF(ISNUMBER(F68),'Scoring Inputs'!$B$6,0)+IF(ISNUMBER(G68),'Scoring Inputs'!$B$7,0)+IF(ISNUMBER(H68),'Scoring Inputs'!$B$8,0)+IF(ISNUMBER(I68),'Scoring Inputs'!$B$9,0)+IF(ISNUMBER(J68),'Scoring Inputs'!$B$10,0)</x:f>
        <x:v>0.85</x:v>
      </x:c>
      <x:c r="M68" s="9" t="str">
        <x:v>Provisional: current momentum unavailable</x:v>
      </x:c>
      <x:c r="N68" s="9" t="str">
        <x:v>Improve compare cars and scooters honestly with verified original detail</x:v>
      </x:c>
      <x:c r="O68" s="9" t="str">
        <x:v>discover-it</x:v>
      </x:c>
      <x:c r="P68" s="9" t="str">
        <x:v>Medium; copy, proof and QA</x:v>
      </x:c>
      <x:c r="Q68" s="9" t="str">
        <x:v>Depends on query and proof; KD is incomplete</x:v>
      </x:c>
      <x:c r="R68" s="9" t="str">
        <x:v>Current inventory / native editorial review</x:v>
      </x:c>
      <x:c r="S68" s="9" t="str">
        <x:v>4–8 weeks after indexed release for early data; 12+ weeks for meaningful trend</x:v>
      </x:c>
      <x:c r="T68" s="9" t="str">
        <x:v>Qualified booking handoff and completion by locale/landing page</x:v>
      </x:c>
    </x:row>
    <x:row r="69" ht="48" customHeight="1">
      <x:c r="A69" s="8" t="n">
        <x:v>65</x:v>
      </x:c>
      <x:c r="B69" s="8" t="str">
        <x:v>C-de-scooter</x:v>
      </x:c>
      <x:c r="C69" s="10" t="str">
        <x:v>https://naxos-carrentals.com/de/fleet/scooters</x:v>
      </x:c>
      <x:c r="D69" s="8" t="str">
        <x:v>DEPRIORITIZED</x:v>
      </x:c>
      <x:c r="E69" s="25" t="n">
        <x:v>2</x:v>
      </x:c>
      <x:c r="F69" s="25" t="n">
        <x:v>4</x:v>
      </x:c>
      <x:c r="G69" s="25"/>
      <x:c r="H69" s="25" t="n">
        <x:v>1</x:v>
      </x:c>
      <x:c r="I69" s="25" t="n">
        <x:v>3</x:v>
      </x:c>
      <x:c r="J69" s="25" t="n">
        <x:v>2</x:v>
      </x:c>
      <x:c r="K69" s="23" t="n">
        <x:f>20*(E69*'Scoring Inputs'!$B$5+F69*'Scoring Inputs'!$B$6+G69*'Scoring Inputs'!$B$7+H69*'Scoring Inputs'!$B$8+I69*'Scoring Inputs'!$B$9+J69*'Scoring Inputs'!$B$10)</x:f>
        <x:v>41</x:v>
      </x:c>
      <x:c r="L69" s="21" t="n">
        <x:f>IF(ISNUMBER(E69),'Scoring Inputs'!$B$5,0)+IF(ISNUMBER(F69),'Scoring Inputs'!$B$6,0)+IF(ISNUMBER(G69),'Scoring Inputs'!$B$7,0)+IF(ISNUMBER(H69),'Scoring Inputs'!$B$8,0)+IF(ISNUMBER(I69),'Scoring Inputs'!$B$9,0)+IF(ISNUMBER(J69),'Scoring Inputs'!$B$10,0)</x:f>
        <x:v>0.85</x:v>
      </x:c>
      <x:c r="M69" s="8" t="str">
        <x:v>Provisional: current momentum unavailable</x:v>
      </x:c>
      <x:c r="N69" s="8" t="str">
        <x:v>Improve compare cars and scooters honestly with verified original detail</x:v>
      </x:c>
      <x:c r="O69" s="8" t="str">
        <x:v>discover-de</x:v>
      </x:c>
      <x:c r="P69" s="8" t="str">
        <x:v>Medium; copy, proof and QA</x:v>
      </x:c>
      <x:c r="Q69" s="8" t="str">
        <x:v>Depends on query and proof; KD is incomplete</x:v>
      </x:c>
      <x:c r="R69" s="8" t="str">
        <x:v>Current inventory / native editorial review</x:v>
      </x:c>
      <x:c r="S69" s="8" t="str">
        <x:v>4–8 weeks after indexed release for early data; 12+ weeks for meaningful trend</x:v>
      </x:c>
      <x:c r="T69" s="8" t="str">
        <x:v>Qualified booking handoff and completion by locale/landing page</x:v>
      </x:c>
    </x:row>
    <x:row r="70" ht="48" customHeight="1">
      <x:c r="A70" s="9" t="n">
        <x:v>66</x:v>
      </x:c>
      <x:c r="B70" s="9" t="str">
        <x:v>C-fr-private</x:v>
      </x:c>
      <x:c r="C70" s="11" t="str">
        <x:v>https://naxos-carrentals.com/fr/terms</x:v>
      </x:c>
      <x:c r="D70" s="9" t="str">
        <x:v>DEPRIORITIZED</x:v>
      </x:c>
      <x:c r="E70" s="26" t="n">
        <x:v>1</x:v>
      </x:c>
      <x:c r="F70" s="26" t="n">
        <x:v>1</x:v>
      </x:c>
      <x:c r="G70" s="26"/>
      <x:c r="H70" s="26" t="n">
        <x:v>1</x:v>
      </x:c>
      <x:c r="I70" s="26" t="n">
        <x:v>3</x:v>
      </x:c>
      <x:c r="J70" s="26" t="n">
        <x:v>2</x:v>
      </x:c>
      <x:c r="K70" s="24" t="n">
        <x:f>20*(E70*'Scoring Inputs'!$B$5+F70*'Scoring Inputs'!$B$6+G70*'Scoring Inputs'!$B$7+H70*'Scoring Inputs'!$B$8+I70*'Scoring Inputs'!$B$9+J70*'Scoring Inputs'!$B$10)</x:f>
        <x:v>23.000000000000004</x:v>
      </x:c>
      <x:c r="L70" s="22" t="n">
        <x:f>IF(ISNUMBER(E70),'Scoring Inputs'!$B$5,0)+IF(ISNUMBER(F70),'Scoring Inputs'!$B$6,0)+IF(ISNUMBER(G70),'Scoring Inputs'!$B$7,0)+IF(ISNUMBER(H70),'Scoring Inputs'!$B$8,0)+IF(ISNUMBER(I70),'Scoring Inputs'!$B$9,0)+IF(ISNUMBER(J70),'Scoring Inputs'!$B$10,0)</x:f>
        <x:v>0.85</x:v>
      </x:c>
      <x:c r="M70" s="9" t="str">
        <x:v>Provisional: current momentum unavailable</x:v>
      </x:c>
      <x:c r="N70" s="9" t="str">
        <x:v>Improve private-hire intent review with verified original detail</x:v>
      </x:c>
      <x:c r="O70" s="9" t="str">
        <x:v>discover-fr</x:v>
      </x:c>
      <x:c r="P70" s="9" t="str">
        <x:v>Medium; copy, proof and QA</x:v>
      </x:c>
      <x:c r="Q70" s="9" t="str">
        <x:v>Depends on query and proof; KD is incomplete</x:v>
      </x:c>
      <x:c r="R70" s="9" t="str">
        <x:v>Current inventory / native editorial review</x:v>
      </x:c>
      <x:c r="S70" s="9" t="str">
        <x:v>4–8 weeks after indexed release for early data; 12+ weeks for meaningful trend</x:v>
      </x:c>
      <x:c r="T70" s="9" t="str">
        <x:v>Qualified booking handoff and completion by locale/landing page</x:v>
      </x:c>
    </x:row>
  </x:sheetData>
  <x:mergeCells>
    <x:mergeCell ref="A1:E1"/>
    <x:mergeCell ref="A2:F2"/>
  </x:mergeCells>
  <x:conditionalFormatting sqref="M5:M70">
    <x:cfRule type="containsText" dxfId="14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964fbfecf7fc4f2d"/>
  </x:tableParts>
</x:worksheet>
</file>

<file path=xl/worksheets/sheet14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62" hidden="0" customWidth="1"/>
    <x:col min="3" max="3" width="32" hidden="0" customWidth="1"/>
    <x:col min="4" max="4" width="112" hidden="0" customWidth="1"/>
    <x:col min="5" max="5" width="47" hidden="0" customWidth="1"/>
    <x:col min="6" max="6" width="23" hidden="0" customWidth="1"/>
  </x:cols>
  <x:sheetData>
    <x:row r="1" ht="34" customHeight="1">
      <x:c r="A1" s="4" t="str">
        <x:v>Content Briefs</x:v>
      </x:c>
      <x:c r="B1" s="3"/>
      <x:c r="C1" s="3"/>
      <x:c r="D1" s="3"/>
      <x:c r="E1" s="3"/>
      <x:c r="F1" s="3"/>
    </x:row>
    <x:row r="2" ht="44" customHeight="1">
      <x:c r="A2" s="5" t="str">
        <x:v>Ten detailed briefs. Proposed copy and acceptance criteria are separate from observed research. No fixed word counts or unsupported policy promises.</x:v>
      </x:c>
      <x:c r="B2" s="3"/>
      <x:c r="C2" s="3"/>
      <x:c r="D2" s="3"/>
      <x:c r="E2" s="3"/>
      <x:c r="F2" s="3"/>
    </x:row>
    <x:row r="3" ht="9" customHeight="1">
      <x:c r="A3" s="3"/>
      <x:c r="B3" s="3"/>
      <x:c r="C3" s="3"/>
      <x:c r="D3" s="3"/>
      <x:c r="E3" s="3"/>
      <x:c r="F3" s="3"/>
    </x:row>
    <x:row r="4" ht="42" customHeight="1">
      <x:c r="A4" s="7" t="str">
        <x:v>Brief ID</x:v>
      </x:c>
      <x:c r="B4" s="7" t="str">
        <x:v>Owner URL</x:v>
      </x:c>
      <x:c r="C4" s="7" t="str">
        <x:v>Field</x:v>
      </x:c>
      <x:c r="D4" s="7" t="str">
        <x:v>Detail</x:v>
      </x:c>
      <x:c r="E4" s="7" t="str">
        <x:v>Source IDs</x:v>
      </x:c>
      <x:c r="F4" s="7" t="str">
        <x:v>Evidence status</x:v>
      </x:c>
    </x:row>
    <x:row r="5" ht="48" customHeight="1">
      <x:c r="A5" s="8" t="str">
        <x:v>B01</x:v>
      </x:c>
      <x:c r="B5" s="10" t="str">
        <x:v>https://naxos-carrentals.com/it</x:v>
      </x:c>
      <x:c r="C5" s="8" t="str">
        <x:v>Cluster</x:v>
      </x:c>
      <x:c r="D5" s="8" t="str">
        <x:v>C-it-core</x:v>
      </x:c>
      <x:c r="E5" s="8" t="str">
        <x:v>kw-it; serp-IT</x:v>
      </x:c>
      <x:c r="F5" s="8" t="str">
        <x:v>PROPOSED</x:v>
      </x:c>
    </x:row>
    <x:row r="6" ht="48" customHeight="1">
      <x:c r="A6" s="9" t="str">
        <x:v>B01</x:v>
      </x:c>
      <x:c r="B6" s="11" t="str">
        <x:v>https://naxos-carrentals.com/it</x:v>
      </x:c>
      <x:c r="C6" s="9" t="str">
        <x:v>Purpose and conversion</x:v>
      </x:c>
      <x:c r="D6" s="9" t="str">
        <x:v>Choose and book a car. Primary conversion: qualified booking-engine handoff, then confirmed booking when provider reporting is connected.</x:v>
      </x:c>
      <x:c r="E6" s="9" t="str">
        <x:v>kw-it; serp-IT</x:v>
      </x:c>
      <x:c r="F6" s="9" t="str">
        <x:v>PROPOSED</x:v>
      </x:c>
    </x:row>
    <x:row r="7" ht="48" customHeight="1">
      <x:c r="A7" s="8" t="str">
        <x:v>B01</x:v>
      </x:c>
      <x:c r="B7" s="10" t="str">
        <x:v>https://naxos-carrentals.com/it</x:v>
      </x:c>
      <x:c r="C7" s="8" t="str">
        <x:v>Action</x:v>
      </x:c>
      <x:c r="D7" s="8" t="str">
        <x:v>OPTIMIZE existing route; proposed editorial brief. Local redesign implements parts, not every evidence asset.</x:v>
      </x:c>
      <x:c r="E7" s="8" t="str">
        <x:v>kw-it; serp-IT</x:v>
      </x:c>
      <x:c r="F7" s="8" t="str">
        <x:v>PROPOSED</x:v>
      </x:c>
    </x:row>
    <x:row r="8" ht="48" customHeight="1">
      <x:c r="A8" s="9" t="str">
        <x:v>B01</x:v>
      </x:c>
      <x:c r="B8" s="11" t="str">
        <x:v>https://naxos-carrentals.com/it</x:v>
      </x:c>
      <x:c r="C8" s="9" t="str">
        <x:v>Market and language</x:v>
      </x:c>
      <x:c r="D8" s="9" t="str">
        <x:v>IT; Italian</x:v>
      </x:c>
      <x:c r="E8" s="9" t="str">
        <x:v>kw-it; serp-IT</x:v>
      </x:c>
      <x:c r="F8" s="9" t="str">
        <x:v>PROPOSED</x:v>
      </x:c>
    </x:row>
    <x:row r="9" ht="48" customHeight="1">
      <x:c r="A9" s="8" t="str">
        <x:v>B01</x:v>
      </x:c>
      <x:c r="B9" s="10" t="str">
        <x:v>https://naxos-carrentals.com/it</x:v>
      </x:c>
      <x:c r="C9" s="8" t="str">
        <x:v>Primary keyword</x:v>
      </x:c>
      <x:c r="D9" s="8" t="str">
        <x:v>noleggio auto naxos</x:v>
      </x:c>
      <x:c r="E9" s="8" t="str">
        <x:v>kw-it; serp-IT</x:v>
      </x:c>
      <x:c r="F9" s="8" t="str">
        <x:v>PROPOSED</x:v>
      </x:c>
    </x:row>
    <x:row r="10" ht="48" customHeight="1">
      <x:c r="A10" s="9" t="str">
        <x:v>B01</x:v>
      </x:c>
      <x:c r="B10" s="11" t="str">
        <x:v>https://naxos-carrentals.com/it</x:v>
      </x:c>
      <x:c r="C10" s="9" t="str">
        <x:v>Intent and format</x:v>
      </x:c>
      <x:c r="D10" s="9" t="str">
        <x:v>Commercial decision page supported by visible evidence</x:v>
      </x:c>
      <x:c r="E10" s="9" t="str">
        <x:v>kw-it; serp-IT</x:v>
      </x:c>
      <x:c r="F10" s="9" t="str">
        <x:v>PROPOSED</x:v>
      </x:c>
    </x:row>
    <x:row r="11" ht="48" customHeight="1">
      <x:c r="A11" s="8" t="str">
        <x:v>B01</x:v>
      </x:c>
      <x:c r="B11" s="10" t="str">
        <x:v>https://naxos-carrentals.com/it</x:v>
      </x:c>
      <x:c r="C11" s="8" t="str">
        <x:v>Title tag</x:v>
      </x:c>
      <x:c r="D11" s="8" t="str">
        <x:v>Noleggio auto a Naxos | Fast Motor Rental</x:v>
      </x:c>
      <x:c r="E11" s="8" t="str">
        <x:v>kw-it; serp-IT</x:v>
      </x:c>
      <x:c r="F11" s="8" t="str">
        <x:v>PROPOSED</x:v>
      </x:c>
    </x:row>
    <x:row r="12" ht="48" customHeight="1">
      <x:c r="A12" s="9" t="str">
        <x:v>B01</x:v>
      </x:c>
      <x:c r="B12" s="11" t="str">
        <x:v>https://naxos-carrentals.com/it</x:v>
      </x:c>
      <x:c r="C12" s="9" t="str">
        <x:v>H1</x:v>
      </x:c>
      <x:c r="D12" s="9" t="str">
        <x:v>Noleggio auto a Naxos, al tuo ritmo</x:v>
      </x:c>
      <x:c r="E12" s="9" t="str">
        <x:v>kw-it; serp-IT</x:v>
      </x:c>
      <x:c r="F12" s="9" t="str">
        <x:v>PROPOSED</x:v>
      </x:c>
    </x:row>
    <x:row r="13" ht="48" customHeight="1">
      <x:c r="A13" s="8" t="str">
        <x:v>B01</x:v>
      </x:c>
      <x:c r="B13" s="10" t="str">
        <x:v>https://naxos-carrentals.com/it</x:v>
      </x:c>
      <x:c r="C13" s="8" t="str">
        <x:v>Meta description</x:v>
      </x:c>
      <x:c r="D13" s="8" t="str">
        <x:v>Confronta auto, cambio e bagagliaio. Scegli il ritiro al porto o in aeroporto e verifica la disponibilità per le tue date.</x:v>
      </x:c>
      <x:c r="E13" s="8" t="str">
        <x:v>kw-it; serp-IT</x:v>
      </x:c>
      <x:c r="F13" s="8" t="str">
        <x:v>PROPOSED</x:v>
      </x:c>
    </x:row>
    <x:row r="14" ht="48" customHeight="1">
      <x:c r="A14" s="9" t="str">
        <x:v>B01</x:v>
      </x:c>
      <x:c r="B14" s="11" t="str">
        <x:v>https://naxos-carrentals.com/it</x:v>
      </x:c>
      <x:c r="C14" s="9" t="str">
        <x:v>H2/H3 structure</x:v>
      </x:c>
      <x:c r="D14" s="9" t="str">
        <x:v>Ritiro al porto o aeroporto; Scegli la tua auto; Condizioni chiare; Persone dell’isola; Domande prima di prenotare</x:v>
      </x:c>
      <x:c r="E14" s="9" t="str">
        <x:v>kw-it; serp-IT</x:v>
      </x:c>
      <x:c r="F14" s="9" t="str">
        <x:v>PROPOSED</x:v>
      </x:c>
    </x:row>
    <x:row r="15" ht="48" customHeight="1">
      <x:c r="A15" s="8" t="str">
        <x:v>B01</x:v>
      </x:c>
      <x:c r="B15" s="10" t="str">
        <x:v>https://naxos-carrentals.com/it</x:v>
      </x:c>
      <x:c r="C15" s="8" t="str">
        <x:v>Questions and comparisons</x:v>
      </x:c>
      <x:c r="D15" s="8" t="str">
        <x:v>Card/deposit requirements, pickup, automatic availability</x:v>
      </x:c>
      <x:c r="E15" s="8" t="str">
        <x:v>kw-it; serp-IT</x:v>
      </x:c>
      <x:c r="F15" s="8" t="str">
        <x:v>PROPOSED</x:v>
      </x:c>
    </x:row>
    <x:row r="16" ht="48" customHeight="1">
      <x:c r="A16" s="9" t="str">
        <x:v>B01</x:v>
      </x:c>
      <x:c r="B16" s="11" t="str">
        <x:v>https://naxos-carrentals.com/it</x:v>
      </x:c>
      <x:c r="C16" s="9" t="str">
        <x:v>Original evidence</x:v>
      </x:c>
      <x:c r="D16" s="9" t="str">
        <x:v>Actual operator details, genuine imagery, current inventory and date-stamped local advice</x:v>
      </x:c>
      <x:c r="E16" s="9" t="str">
        <x:v>kw-it; serp-IT</x:v>
      </x:c>
      <x:c r="F16" s="9" t="str">
        <x:v>PROPOSED</x:v>
      </x:c>
    </x:row>
    <x:row r="17" ht="48" customHeight="1">
      <x:c r="A17" s="8" t="str">
        <x:v>B01</x:v>
      </x:c>
      <x:c r="B17" s="10" t="str">
        <x:v>https://naxos-carrentals.com/it</x:v>
      </x:c>
      <x:c r="C17" s="8" t="str">
        <x:v>Claims needing verification</x:v>
      </x:c>
      <x:c r="D17" s="8" t="str">
        <x:v>Exact prices, inclusions, deposits, delivery promises, opening hours, reviews and provider availability. Legal/insurance wording requires qualified owner review.</x:v>
      </x:c>
      <x:c r="E17" s="8" t="str">
        <x:v>kw-it; serp-IT</x:v>
      </x:c>
      <x:c r="F17" s="8" t="str">
        <x:v>PROPOSED</x:v>
      </x:c>
    </x:row>
    <x:row r="18" ht="48" customHeight="1">
      <x:c r="A18" s="9" t="str">
        <x:v>B01</x:v>
      </x:c>
      <x:c r="B18" s="11" t="str">
        <x:v>https://naxos-carrentals.com/it</x:v>
      </x:c>
      <x:c r="C18" s="9" t="str">
        <x:v>Images/video</x:v>
      </x:c>
      <x:c r="D18" s="9" t="str">
        <x:v>Actual fleet and Naxos photography. No stock vehicle used as proof of an unavailable model.</x:v>
      </x:c>
      <x:c r="E18" s="9" t="str">
        <x:v>kw-it; serp-IT</x:v>
      </x:c>
      <x:c r="F18" s="9" t="str">
        <x:v>PROPOSED</x:v>
      </x:c>
    </x:row>
    <x:row r="19" ht="48" customHeight="1">
      <x:c r="A19" s="8" t="str">
        <x:v>B01</x:v>
      </x:c>
      <x:c r="B19" s="10" t="str">
        <x:v>https://naxos-carrentals.com/it</x:v>
      </x:c>
      <x:c r="C19" s="8" t="str">
        <x:v>Structured data</x:v>
      </x:c>
      <x:c r="D19" s="8" t="str">
        <x:v>BreadcrumbList and accurate existing business identity. ItemList where a real visible list exists. FAQ markup only for visible Q&amp;A; no rich-result or AI guarantee.</x:v>
      </x:c>
      <x:c r="E19" s="8" t="str">
        <x:v>kw-it; serp-IT</x:v>
      </x:c>
      <x:c r="F19" s="8" t="str">
        <x:v>PROPOSED</x:v>
      </x:c>
    </x:row>
    <x:row r="20" ht="48" customHeight="1">
      <x:c r="A20" s="9" t="str">
        <x:v>B01</x:v>
      </x:c>
      <x:c r="B20" s="11" t="str">
        <x:v>https://naxos-carrentals.com/it</x:v>
      </x:c>
      <x:c r="C20" s="9" t="str">
        <x:v>CTA</x:v>
      </x:c>
      <x:c r="D20" s="9" t="str">
        <x:v>Check availability for dates; ask a specific pickup/policy question</x:v>
      </x:c>
      <x:c r="E20" s="9" t="str">
        <x:v>kw-it; serp-IT</x:v>
      </x:c>
      <x:c r="F20" s="9" t="str">
        <x:v>PROPOSED</x:v>
      </x:c>
    </x:row>
    <x:row r="21" ht="48" customHeight="1">
      <x:c r="A21" s="8" t="str">
        <x:v>B01</x:v>
      </x:c>
      <x:c r="B21" s="10" t="str">
        <x:v>https://naxos-carrentals.com/it</x:v>
      </x:c>
      <x:c r="C21" s="8" t="str">
        <x:v>Internal links in</x:v>
      </x:c>
      <x:c r="D21" s="8" t="str">
        <x:v>Homepage and relevant guide hub in Italian</x:v>
      </x:c>
      <x:c r="E21" s="8" t="str">
        <x:v>kw-it; serp-IT</x:v>
      </x:c>
      <x:c r="F21" s="8" t="str">
        <x:v>PROPOSED</x:v>
      </x:c>
    </x:row>
    <x:row r="22" ht="48" customHeight="1">
      <x:c r="A22" s="9" t="str">
        <x:v>B01</x:v>
      </x:c>
      <x:c r="B22" s="11" t="str">
        <x:v>https://naxos-carrentals.com/it</x:v>
      </x:c>
      <x:c r="C22" s="9" t="str">
        <x:v>Internal links out</x:v>
      </x:c>
      <x:c r="D22" s="9" t="str">
        <x:v>https://naxos-carrentals.com/it/fleet/cars
https://naxos-carrentals.com/it/insurance
https://naxos-carrentals.com/it/terms
https://naxos-carrentals.com/it/locations</x:v>
      </x:c>
      <x:c r="E22" s="9" t="str">
        <x:v>kw-it; serp-IT</x:v>
      </x:c>
      <x:c r="F22" s="9" t="str">
        <x:v>PROPOSED</x:v>
      </x:c>
    </x:row>
    <x:row r="23" ht="48" customHeight="1">
      <x:c r="A23" s="8" t="str">
        <x:v>B01</x:v>
      </x:c>
      <x:c r="B23" s="10" t="str">
        <x:v>https://naxos-carrentals.com/it</x:v>
      </x:c>
      <x:c r="C23" s="8" t="str">
        <x:v>Competitor / citation context</x:v>
      </x:c>
      <x:c r="D23" s="8" t="str">
        <x:v>Relevant local specialists and marketplace page formats in SERP Samples</x:v>
      </x:c>
      <x:c r="E23" s="8" t="str">
        <x:v>kw-it; serp-IT</x:v>
      </x:c>
      <x:c r="F23" s="8" t="str">
        <x:v>PROPOSED</x:v>
      </x:c>
    </x:row>
    <x:row r="24" ht="48" customHeight="1">
      <x:c r="A24" s="9" t="str">
        <x:v>B01</x:v>
      </x:c>
      <x:c r="B24" s="11" t="str">
        <x:v>https://naxos-carrentals.com/it</x:v>
      </x:c>
      <x:c r="C24" s="9" t="str">
        <x:v>Differentiation</x:v>
      </x:c>
      <x:c r="D24" s="9" t="str">
        <x:v>Homepage owns broad Italian hire intent; fleet category owns inventory comparison</x:v>
      </x:c>
      <x:c r="E24" s="9" t="str">
        <x:v>kw-it; serp-IT</x:v>
      </x:c>
      <x:c r="F24" s="9" t="str">
        <x:v>PROPOSED</x:v>
      </x:c>
    </x:row>
    <x:row r="25" ht="48" customHeight="1">
      <x:c r="A25" s="8" t="str">
        <x:v>B01</x:v>
      </x:c>
      <x:c r="B25" s="10" t="str">
        <x:v>https://naxos-carrentals.com/it</x:v>
      </x:c>
      <x:c r="C25" s="8" t="str">
        <x:v>Acceptance</x:v>
      </x:c>
      <x:c r="D25" s="8" t="str">
        <x:v>One clear H1; valid self-canonical and five-language hreflang; native review; no invented claims; current route200; mobile booking link; no duplicate owner page; visible text matches schema.</x:v>
      </x:c>
      <x:c r="E25" s="8" t="str">
        <x:v>kw-it; serp-IT</x:v>
      </x:c>
      <x:c r="F25" s="8" t="str">
        <x:v>PROPOSED</x:v>
      </x:c>
    </x:row>
    <x:row r="26" ht="48" customHeight="1">
      <x:c r="A26" s="9" t="str">
        <x:v>B02</x:v>
      </x:c>
      <x:c r="B26" s="11" t="str">
        <x:v>https://naxos-carrentals.com/fr/locations/port-pickup</x:v>
      </x:c>
      <x:c r="C26" s="9" t="str">
        <x:v>Cluster</x:v>
      </x:c>
      <x:c r="D26" s="9" t="str">
        <x:v>C-fr-port</x:v>
      </x:c>
      <x:c r="E26" s="9" t="str">
        <x:v>kw-fr; serp-FR</x:v>
      </x:c>
      <x:c r="F26" s="9" t="str">
        <x:v>PROPOSED</x:v>
      </x:c>
    </x:row>
    <x:row r="27" ht="48" customHeight="1">
      <x:c r="A27" s="8" t="str">
        <x:v>B02</x:v>
      </x:c>
      <x:c r="B27" s="10" t="str">
        <x:v>https://naxos-carrentals.com/fr/locations/port-pickup</x:v>
      </x:c>
      <x:c r="C27" s="8" t="str">
        <x:v>Purpose and conversion</x:v>
      </x:c>
      <x:c r="D27" s="8" t="str">
        <x:v>Collect after arriving by ferry. Primary conversion: qualified booking-engine handoff, then confirmed booking when provider reporting is connected.</x:v>
      </x:c>
      <x:c r="E27" s="8" t="str">
        <x:v>kw-fr; serp-FR</x:v>
      </x:c>
      <x:c r="F27" s="8" t="str">
        <x:v>PROPOSED</x:v>
      </x:c>
    </x:row>
    <x:row r="28" ht="48" customHeight="1">
      <x:c r="A28" s="9" t="str">
        <x:v>B02</x:v>
      </x:c>
      <x:c r="B28" s="11" t="str">
        <x:v>https://naxos-carrentals.com/fr/locations/port-pickup</x:v>
      </x:c>
      <x:c r="C28" s="9" t="str">
        <x:v>Action</x:v>
      </x:c>
      <x:c r="D28" s="9" t="str">
        <x:v>OPTIMIZE existing route; proposed editorial brief. Local redesign implements parts, not every evidence asset.</x:v>
      </x:c>
      <x:c r="E28" s="9" t="str">
        <x:v>kw-fr; serp-FR</x:v>
      </x:c>
      <x:c r="F28" s="9" t="str">
        <x:v>PROPOSED</x:v>
      </x:c>
    </x:row>
    <x:row r="29" ht="48" customHeight="1">
      <x:c r="A29" s="8" t="str">
        <x:v>B02</x:v>
      </x:c>
      <x:c r="B29" s="10" t="str">
        <x:v>https://naxos-carrentals.com/fr/locations/port-pickup</x:v>
      </x:c>
      <x:c r="C29" s="8" t="str">
        <x:v>Market and language</x:v>
      </x:c>
      <x:c r="D29" s="8" t="str">
        <x:v>FR; French</x:v>
      </x:c>
      <x:c r="E29" s="8" t="str">
        <x:v>kw-fr; serp-FR</x:v>
      </x:c>
      <x:c r="F29" s="8" t="str">
        <x:v>PROPOSED</x:v>
      </x:c>
    </x:row>
    <x:row r="30" ht="48" customHeight="1">
      <x:c r="A30" s="9" t="str">
        <x:v>B02</x:v>
      </x:c>
      <x:c r="B30" s="11" t="str">
        <x:v>https://naxos-carrentals.com/fr/locations/port-pickup</x:v>
      </x:c>
      <x:c r="C30" s="9" t="str">
        <x:v>Primary keyword</x:v>
      </x:c>
      <x:c r="D30" s="9" t="str">
        <x:v>location voiture naxos port</x:v>
      </x:c>
      <x:c r="E30" s="9" t="str">
        <x:v>kw-fr; serp-FR</x:v>
      </x:c>
      <x:c r="F30" s="9" t="str">
        <x:v>PROPOSED</x:v>
      </x:c>
    </x:row>
    <x:row r="31" ht="48" customHeight="1">
      <x:c r="A31" s="8" t="str">
        <x:v>B02</x:v>
      </x:c>
      <x:c r="B31" s="10" t="str">
        <x:v>https://naxos-carrentals.com/fr/locations/port-pickup</x:v>
      </x:c>
      <x:c r="C31" s="8" t="str">
        <x:v>Intent and format</x:v>
      </x:c>
      <x:c r="D31" s="8" t="str">
        <x:v>Commercial decision page supported by visible evidence</x:v>
      </x:c>
      <x:c r="E31" s="8" t="str">
        <x:v>kw-fr; serp-FR</x:v>
      </x:c>
      <x:c r="F31" s="8" t="str">
        <x:v>PROPOSED</x:v>
      </x:c>
    </x:row>
    <x:row r="32" ht="48" customHeight="1">
      <x:c r="A32" s="9" t="str">
        <x:v>B02</x:v>
      </x:c>
      <x:c r="B32" s="11" t="str">
        <x:v>https://naxos-carrentals.com/fr/locations/port-pickup</x:v>
      </x:c>
      <x:c r="C32" s="9" t="str">
        <x:v>Title tag</x:v>
      </x:c>
      <x:c r="D32" s="9" t="str">
        <x:v>Location voiture au port de Naxos | Fast Motor Rental</x:v>
      </x:c>
      <x:c r="E32" s="9" t="str">
        <x:v>kw-fr; serp-FR</x:v>
      </x:c>
      <x:c r="F32" s="9" t="str">
        <x:v>PROPOSED</x:v>
      </x:c>
    </x:row>
    <x:row r="33" ht="48" customHeight="1">
      <x:c r="A33" s="8" t="str">
        <x:v>B02</x:v>
      </x:c>
      <x:c r="B33" s="10" t="str">
        <x:v>https://naxos-carrentals.com/fr/locations/port-pickup</x:v>
      </x:c>
      <x:c r="C33" s="8" t="str">
        <x:v>H1</x:v>
      </x:c>
      <x:c r="D33" s="8" t="str">
        <x:v>Votre voiture au port de Naxos</x:v>
      </x:c>
      <x:c r="E33" s="8" t="str">
        <x:v>kw-fr; serp-FR</x:v>
      </x:c>
      <x:c r="F33" s="8" t="str">
        <x:v>PROPOSED</x:v>
      </x:c>
    </x:row>
    <x:row r="34" ht="48" customHeight="1">
      <x:c r="A34" s="9" t="str">
        <x:v>B02</x:v>
      </x:c>
      <x:c r="B34" s="11" t="str">
        <x:v>https://naxos-carrentals.com/fr/locations/port-pickup</x:v>
      </x:c>
      <x:c r="C34" s="9" t="str">
        <x:v>Meta description</x:v>
      </x:c>
      <x:c r="D34" s="9" t="str">
        <x:v>Préparez votre arrivée en ferry : point de rencontre, informations à transmettre et retour du véhicule. Vérifiez les disponibilités.</x:v>
      </x:c>
      <x:c r="E34" s="9" t="str">
        <x:v>kw-fr; serp-FR</x:v>
      </x:c>
      <x:c r="F34" s="9" t="str">
        <x:v>PROPOSED</x:v>
      </x:c>
    </x:row>
    <x:row r="35" ht="48" customHeight="1">
      <x:c r="A35" s="8" t="str">
        <x:v>B02</x:v>
      </x:c>
      <x:c r="B35" s="10" t="str">
        <x:v>https://naxos-carrentals.com/fr/locations/port-pickup</x:v>
      </x:c>
      <x:c r="C35" s="8" t="str">
        <x:v>H2/H3 structure</x:v>
      </x:c>
      <x:c r="D35" s="8" t="str">
        <x:v>Avant votre arrivée; Point de rencontre; Retard du ferry; Choisir une voiture; Retour et assurance</x:v>
      </x:c>
      <x:c r="E35" s="8" t="str">
        <x:v>kw-fr; serp-FR</x:v>
      </x:c>
      <x:c r="F35" s="8" t="str">
        <x:v>PROPOSED</x:v>
      </x:c>
    </x:row>
    <x:row r="36" ht="48" customHeight="1">
      <x:c r="A36" s="9" t="str">
        <x:v>B02</x:v>
      </x:c>
      <x:c r="B36" s="11" t="str">
        <x:v>https://naxos-carrentals.com/fr/locations/port-pickup</x:v>
      </x:c>
      <x:c r="C36" s="9" t="str">
        <x:v>Questions and comparisons</x:v>
      </x:c>
      <x:c r="D36" s="9" t="str">
        <x:v>Where to meet, ferry delay, return at another approved location</x:v>
      </x:c>
      <x:c r="E36" s="9" t="str">
        <x:v>kw-fr; serp-FR</x:v>
      </x:c>
      <x:c r="F36" s="9" t="str">
        <x:v>PROPOSED</x:v>
      </x:c>
    </x:row>
    <x:row r="37" ht="48" customHeight="1">
      <x:c r="A37" s="8" t="str">
        <x:v>B02</x:v>
      </x:c>
      <x:c r="B37" s="10" t="str">
        <x:v>https://naxos-carrentals.com/fr/locations/port-pickup</x:v>
      </x:c>
      <x:c r="C37" s="8" t="str">
        <x:v>Original evidence</x:v>
      </x:c>
      <x:c r="D37" s="8" t="str">
        <x:v>Owner-approved meeting-point map, real photographs, arrival/delay instructions and returns process</x:v>
      </x:c>
      <x:c r="E37" s="8" t="str">
        <x:v>kw-fr; serp-FR</x:v>
      </x:c>
      <x:c r="F37" s="8" t="str">
        <x:v>PROPOSED</x:v>
      </x:c>
    </x:row>
    <x:row r="38" ht="48" customHeight="1">
      <x:c r="A38" s="9" t="str">
        <x:v>B02</x:v>
      </x:c>
      <x:c r="B38" s="11" t="str">
        <x:v>https://naxos-carrentals.com/fr/locations/port-pickup</x:v>
      </x:c>
      <x:c r="C38" s="9" t="str">
        <x:v>Claims needing verification</x:v>
      </x:c>
      <x:c r="D38" s="9" t="str">
        <x:v>Exact prices, inclusions, deposits, delivery promises, opening hours, reviews and provider availability. Legal/insurance wording requires qualified owner review.</x:v>
      </x:c>
      <x:c r="E38" s="9" t="str">
        <x:v>kw-fr; serp-FR</x:v>
      </x:c>
      <x:c r="F38" s="9" t="str">
        <x:v>PROPOSED</x:v>
      </x:c>
    </x:row>
    <x:row r="39" ht="48" customHeight="1">
      <x:c r="A39" s="8" t="str">
        <x:v>B02</x:v>
      </x:c>
      <x:c r="B39" s="10" t="str">
        <x:v>https://naxos-carrentals.com/fr/locations/port-pickup</x:v>
      </x:c>
      <x:c r="C39" s="8" t="str">
        <x:v>Images/video</x:v>
      </x:c>
      <x:c r="D39" s="8" t="str">
        <x:v>Short real walk from arrivals/ferry exit to the agreed collection point, with accessible captions</x:v>
      </x:c>
      <x:c r="E39" s="8" t="str">
        <x:v>kw-fr; serp-FR</x:v>
      </x:c>
      <x:c r="F39" s="8" t="str">
        <x:v>PROPOSED</x:v>
      </x:c>
    </x:row>
    <x:row r="40" ht="48" customHeight="1">
      <x:c r="A40" s="9" t="str">
        <x:v>B02</x:v>
      </x:c>
      <x:c r="B40" s="11" t="str">
        <x:v>https://naxos-carrentals.com/fr/locations/port-pickup</x:v>
      </x:c>
      <x:c r="C40" s="9" t="str">
        <x:v>Structured data</x:v>
      </x:c>
      <x:c r="D40" s="9" t="str">
        <x:v>BreadcrumbList and accurate existing business identity. ItemList where a real visible list exists. FAQ markup only for visible Q&amp;A; no rich-result or AI guarantee.</x:v>
      </x:c>
      <x:c r="E40" s="9" t="str">
        <x:v>kw-fr; serp-FR</x:v>
      </x:c>
      <x:c r="F40" s="9" t="str">
        <x:v>PROPOSED</x:v>
      </x:c>
    </x:row>
    <x:row r="41" ht="48" customHeight="1">
      <x:c r="A41" s="8" t="str">
        <x:v>B02</x:v>
      </x:c>
      <x:c r="B41" s="10" t="str">
        <x:v>https://naxos-carrentals.com/fr/locations/port-pickup</x:v>
      </x:c>
      <x:c r="C41" s="8" t="str">
        <x:v>CTA</x:v>
      </x:c>
      <x:c r="D41" s="8" t="str">
        <x:v>Check availability for dates; ask a specific pickup/policy question</x:v>
      </x:c>
      <x:c r="E41" s="8" t="str">
        <x:v>kw-fr; serp-FR</x:v>
      </x:c>
      <x:c r="F41" s="8" t="str">
        <x:v>PROPOSED</x:v>
      </x:c>
    </x:row>
    <x:row r="42" ht="48" customHeight="1">
      <x:c r="A42" s="9" t="str">
        <x:v>B02</x:v>
      </x:c>
      <x:c r="B42" s="11" t="str">
        <x:v>https://naxos-carrentals.com/fr/locations/port-pickup</x:v>
      </x:c>
      <x:c r="C42" s="9" t="str">
        <x:v>Internal links in</x:v>
      </x:c>
      <x:c r="D42" s="9" t="str">
        <x:v>Homepage and relevant guide hub in French</x:v>
      </x:c>
      <x:c r="E42" s="9" t="str">
        <x:v>kw-fr; serp-FR</x:v>
      </x:c>
      <x:c r="F42" s="9" t="str">
        <x:v>PROPOSED</x:v>
      </x:c>
    </x:row>
    <x:row r="43" ht="48" customHeight="1">
      <x:c r="A43" s="8" t="str">
        <x:v>B02</x:v>
      </x:c>
      <x:c r="B43" s="10" t="str">
        <x:v>https://naxos-carrentals.com/fr/locations/port-pickup</x:v>
      </x:c>
      <x:c r="C43" s="8" t="str">
        <x:v>Internal links out</x:v>
      </x:c>
      <x:c r="D43" s="8" t="str">
        <x:v>https://naxos-carrentals.com/fr/fleet/cars
https://naxos-carrentals.com/fr/insurance
https://naxos-carrentals.com/fr/terms
https://naxos-carrentals.com/fr/locations</x:v>
      </x:c>
      <x:c r="E43" s="8" t="str">
        <x:v>kw-fr; serp-FR</x:v>
      </x:c>
      <x:c r="F43" s="8" t="str">
        <x:v>PROPOSED</x:v>
      </x:c>
    </x:row>
    <x:row r="44" ht="48" customHeight="1">
      <x:c r="A44" s="9" t="str">
        <x:v>B02</x:v>
      </x:c>
      <x:c r="B44" s="11" t="str">
        <x:v>https://naxos-carrentals.com/fr/locations/port-pickup</x:v>
      </x:c>
      <x:c r="C44" s="9" t="str">
        <x:v>Competitor / citation context</x:v>
      </x:c>
      <x:c r="D44" s="9" t="str">
        <x:v>FR port sample: Matha, Enjoy, Naction, KAYAK, Europcar, Routard</x:v>
      </x:c>
      <x:c r="E44" s="9" t="str">
        <x:v>kw-fr; serp-FR</x:v>
      </x:c>
      <x:c r="F44" s="9" t="str">
        <x:v>PROPOSED</x:v>
      </x:c>
    </x:row>
    <x:row r="45" ht="48" customHeight="1">
      <x:c r="A45" s="8" t="str">
        <x:v>B02</x:v>
      </x:c>
      <x:c r="B45" s="10" t="str">
        <x:v>https://naxos-carrentals.com/fr/locations/port-pickup</x:v>
      </x:c>
      <x:c r="C45" s="8" t="str">
        <x:v>Differentiation</x:v>
      </x:c>
      <x:c r="D45" s="8" t="str">
        <x:v>Commercial handover details distinguish this from the general homepage</x:v>
      </x:c>
      <x:c r="E45" s="8" t="str">
        <x:v>kw-fr; serp-FR</x:v>
      </x:c>
      <x:c r="F45" s="8" t="str">
        <x:v>PROPOSED</x:v>
      </x:c>
    </x:row>
    <x:row r="46" ht="48" customHeight="1">
      <x:c r="A46" s="9" t="str">
        <x:v>B02</x:v>
      </x:c>
      <x:c r="B46" s="11" t="str">
        <x:v>https://naxos-carrentals.com/fr/locations/port-pickup</x:v>
      </x:c>
      <x:c r="C46" s="9" t="str">
        <x:v>Acceptance</x:v>
      </x:c>
      <x:c r="D46" s="9" t="str">
        <x:v>One clear H1; valid self-canonical and five-language hreflang; native review; no invented claims; current route200; mobile booking link; no duplicate owner page; visible text matches schema.</x:v>
      </x:c>
      <x:c r="E46" s="9" t="str">
        <x:v>kw-fr; serp-FR</x:v>
      </x:c>
      <x:c r="F46" s="9" t="str">
        <x:v>PROPOSED</x:v>
      </x:c>
    </x:row>
    <x:row r="47" ht="48" customHeight="1">
      <x:c r="A47" s="8" t="str">
        <x:v>B03</x:v>
      </x:c>
      <x:c r="B47" s="10" t="str">
        <x:v>https://naxos-carrentals.com/el</x:v>
      </x:c>
      <x:c r="C47" s="8" t="str">
        <x:v>Cluster</x:v>
      </x:c>
      <x:c r="D47" s="8" t="str">
        <x:v>C-el-core</x:v>
      </x:c>
      <x:c r="E47" s="8" t="str">
        <x:v>kw-gr; kw-el-enrich; serp-GR</x:v>
      </x:c>
      <x:c r="F47" s="8" t="str">
        <x:v>PROPOSED</x:v>
      </x:c>
    </x:row>
    <x:row r="48" ht="48" customHeight="1">
      <x:c r="A48" s="9" t="str">
        <x:v>B03</x:v>
      </x:c>
      <x:c r="B48" s="11" t="str">
        <x:v>https://naxos-carrentals.com/el</x:v>
      </x:c>
      <x:c r="C48" s="9" t="str">
        <x:v>Purpose and conversion</x:v>
      </x:c>
      <x:c r="D48" s="9" t="str">
        <x:v>Choose and book a car. Primary conversion: qualified booking-engine handoff, then confirmed booking when provider reporting is connected.</x:v>
      </x:c>
      <x:c r="E48" s="9" t="str">
        <x:v>kw-gr; kw-el-enrich; serp-GR</x:v>
      </x:c>
      <x:c r="F48" s="9" t="str">
        <x:v>PROPOSED</x:v>
      </x:c>
    </x:row>
    <x:row r="49" ht="48" customHeight="1">
      <x:c r="A49" s="8" t="str">
        <x:v>B03</x:v>
      </x:c>
      <x:c r="B49" s="10" t="str">
        <x:v>https://naxos-carrentals.com/el</x:v>
      </x:c>
      <x:c r="C49" s="8" t="str">
        <x:v>Action</x:v>
      </x:c>
      <x:c r="D49" s="8" t="str">
        <x:v>OPTIMIZE existing route; proposed editorial brief. Local redesign implements parts, not every evidence asset.</x:v>
      </x:c>
      <x:c r="E49" s="8" t="str">
        <x:v>kw-gr; kw-el-enrich; serp-GR</x:v>
      </x:c>
      <x:c r="F49" s="8" t="str">
        <x:v>PROPOSED</x:v>
      </x:c>
    </x:row>
    <x:row r="50" ht="48" customHeight="1">
      <x:c r="A50" s="9" t="str">
        <x:v>B03</x:v>
      </x:c>
      <x:c r="B50" s="11" t="str">
        <x:v>https://naxos-carrentals.com/el</x:v>
      </x:c>
      <x:c r="C50" s="9" t="str">
        <x:v>Market and language</x:v>
      </x:c>
      <x:c r="D50" s="9" t="str">
        <x:v>GR; Greek</x:v>
      </x:c>
      <x:c r="E50" s="9" t="str">
        <x:v>kw-gr; kw-el-enrich; serp-GR</x:v>
      </x:c>
      <x:c r="F50" s="9" t="str">
        <x:v>PROPOSED</x:v>
      </x:c>
    </x:row>
    <x:row r="51" ht="48" customHeight="1">
      <x:c r="A51" s="8" t="str">
        <x:v>B03</x:v>
      </x:c>
      <x:c r="B51" s="10" t="str">
        <x:v>https://naxos-carrentals.com/el</x:v>
      </x:c>
      <x:c r="C51" s="8" t="str">
        <x:v>Primary keyword</x:v>
      </x:c>
      <x:c r="D51" s="8" t="str">
        <x:v>ενοικιαση αυτοκινητου ναξος</x:v>
      </x:c>
      <x:c r="E51" s="8" t="str">
        <x:v>kw-gr; kw-el-enrich; serp-GR</x:v>
      </x:c>
      <x:c r="F51" s="8" t="str">
        <x:v>PROPOSED</x:v>
      </x:c>
    </x:row>
    <x:row r="52" ht="48" customHeight="1">
      <x:c r="A52" s="9" t="str">
        <x:v>B03</x:v>
      </x:c>
      <x:c r="B52" s="11" t="str">
        <x:v>https://naxos-carrentals.com/el</x:v>
      </x:c>
      <x:c r="C52" s="9" t="str">
        <x:v>Intent and format</x:v>
      </x:c>
      <x:c r="D52" s="9" t="str">
        <x:v>Commercial decision page supported by visible evidence</x:v>
      </x:c>
      <x:c r="E52" s="9" t="str">
        <x:v>kw-gr; kw-el-enrich; serp-GR</x:v>
      </x:c>
      <x:c r="F52" s="9" t="str">
        <x:v>PROPOSED</x:v>
      </x:c>
    </x:row>
    <x:row r="53" ht="48" customHeight="1">
      <x:c r="A53" s="8" t="str">
        <x:v>B03</x:v>
      </x:c>
      <x:c r="B53" s="10" t="str">
        <x:v>https://naxos-carrentals.com/el</x:v>
      </x:c>
      <x:c r="C53" s="8" t="str">
        <x:v>Title tag</x:v>
      </x:c>
      <x:c r="D53" s="8" t="str">
        <x:v>Ενοικίαση αυτοκινήτου στη Νάξο | Fast Motor Rental</x:v>
      </x:c>
      <x:c r="E53" s="8" t="str">
        <x:v>kw-gr; kw-el-enrich; serp-GR</x:v>
      </x:c>
      <x:c r="F53" s="8" t="str">
        <x:v>PROPOSED</x:v>
      </x:c>
    </x:row>
    <x:row r="54" ht="48" customHeight="1">
      <x:c r="A54" s="9" t="str">
        <x:v>B03</x:v>
      </x:c>
      <x:c r="B54" s="11" t="str">
        <x:v>https://naxos-carrentals.com/el</x:v>
      </x:c>
      <x:c r="C54" s="9" t="str">
        <x:v>H1</x:v>
      </x:c>
      <x:c r="D54" s="9" t="str">
        <x:v>Το αυτοκίνητό σου για τη Νάξο</x:v>
      </x:c>
      <x:c r="E54" s="9" t="str">
        <x:v>kw-gr; kw-el-enrich; serp-GR</x:v>
      </x:c>
      <x:c r="F54" s="9" t="str">
        <x:v>PROPOSED</x:v>
      </x:c>
    </x:row>
    <x:row r="55" ht="48" customHeight="1">
      <x:c r="A55" s="8" t="str">
        <x:v>B03</x:v>
      </x:c>
      <x:c r="B55" s="10" t="str">
        <x:v>https://naxos-carrentals.com/el</x:v>
      </x:c>
      <x:c r="C55" s="8" t="str">
        <x:v>Meta description</x:v>
      </x:c>
      <x:c r="D55" s="8" t="str">
        <x:v>Βρες αυτοκίνητο για τη Νάξο, σύγκρινε κιβώτιο και χώρο αποσκευών και δες διαθεσιμότητα για τις ημερομηνίες σου.</x:v>
      </x:c>
      <x:c r="E55" s="8" t="str">
        <x:v>kw-gr; kw-el-enrich; serp-GR</x:v>
      </x:c>
      <x:c r="F55" s="8" t="str">
        <x:v>PROPOSED</x:v>
      </x:c>
    </x:row>
    <x:row r="56" ht="48" customHeight="1">
      <x:c r="A56" s="9" t="str">
        <x:v>B03</x:v>
      </x:c>
      <x:c r="B56" s="11" t="str">
        <x:v>https://naxos-carrentals.com/el</x:v>
      </x:c>
      <x:c r="C56" s="9" t="str">
        <x:v>H2/H3 structure</x:v>
      </x:c>
      <x:c r="D56" s="9" t="str">
        <x:v>Παραλαβή στη Νάξο; Διάλεξε αυτοκίνητο; Τι να ελέγξεις πριν την κράτηση; Η ομάδα μας</x:v>
      </x:c>
      <x:c r="E56" s="9" t="str">
        <x:v>kw-gr; kw-el-enrich; serp-GR</x:v>
      </x:c>
      <x:c r="F56" s="9" t="str">
        <x:v>PROPOSED</x:v>
      </x:c>
    </x:row>
    <x:row r="57" ht="48" customHeight="1">
      <x:c r="A57" s="8" t="str">
        <x:v>B03</x:v>
      </x:c>
      <x:c r="B57" s="10" t="str">
        <x:v>https://naxos-carrentals.com/el</x:v>
      </x:c>
      <x:c r="C57" s="8" t="str">
        <x:v>Questions and comparisons</x:v>
      </x:c>
      <x:c r="D57" s="8" t="str">
        <x:v>Payment methods, arrival and booking confirmation</x:v>
      </x:c>
      <x:c r="E57" s="8" t="str">
        <x:v>kw-gr; kw-el-enrich; serp-GR</x:v>
      </x:c>
      <x:c r="F57" s="8" t="str">
        <x:v>PROPOSED</x:v>
      </x:c>
    </x:row>
    <x:row r="58" ht="48" customHeight="1">
      <x:c r="A58" s="9" t="str">
        <x:v>B03</x:v>
      </x:c>
      <x:c r="B58" s="11" t="str">
        <x:v>https://naxos-carrentals.com/el</x:v>
      </x:c>
      <x:c r="C58" s="9" t="str">
        <x:v>Original evidence</x:v>
      </x:c>
      <x:c r="D58" s="9" t="str">
        <x:v>Actual operator details, genuine imagery, current inventory and date-stamped local advice</x:v>
      </x:c>
      <x:c r="E58" s="9" t="str">
        <x:v>kw-gr; kw-el-enrich; serp-GR</x:v>
      </x:c>
      <x:c r="F58" s="9" t="str">
        <x:v>PROPOSED</x:v>
      </x:c>
    </x:row>
    <x:row r="59" ht="48" customHeight="1">
      <x:c r="A59" s="8" t="str">
        <x:v>B03</x:v>
      </x:c>
      <x:c r="B59" s="10" t="str">
        <x:v>https://naxos-carrentals.com/el</x:v>
      </x:c>
      <x:c r="C59" s="8" t="str">
        <x:v>Claims needing verification</x:v>
      </x:c>
      <x:c r="D59" s="8" t="str">
        <x:v>Exact prices, inclusions, deposits, delivery promises, opening hours, reviews and provider availability. Legal/insurance wording requires qualified owner review.</x:v>
      </x:c>
      <x:c r="E59" s="8" t="str">
        <x:v>kw-gr; kw-el-enrich; serp-GR</x:v>
      </x:c>
      <x:c r="F59" s="8" t="str">
        <x:v>PROPOSED</x:v>
      </x:c>
    </x:row>
    <x:row r="60" ht="48" customHeight="1">
      <x:c r="A60" s="9" t="str">
        <x:v>B03</x:v>
      </x:c>
      <x:c r="B60" s="11" t="str">
        <x:v>https://naxos-carrentals.com/el</x:v>
      </x:c>
      <x:c r="C60" s="9" t="str">
        <x:v>Images/video</x:v>
      </x:c>
      <x:c r="D60" s="9" t="str">
        <x:v>Actual fleet and Naxos photography. No stock vehicle used as proof of an unavailable model.</x:v>
      </x:c>
      <x:c r="E60" s="9" t="str">
        <x:v>kw-gr; kw-el-enrich; serp-GR</x:v>
      </x:c>
      <x:c r="F60" s="9" t="str">
        <x:v>PROPOSED</x:v>
      </x:c>
    </x:row>
    <x:row r="61" ht="48" customHeight="1">
      <x:c r="A61" s="8" t="str">
        <x:v>B03</x:v>
      </x:c>
      <x:c r="B61" s="10" t="str">
        <x:v>https://naxos-carrentals.com/el</x:v>
      </x:c>
      <x:c r="C61" s="8" t="str">
        <x:v>Structured data</x:v>
      </x:c>
      <x:c r="D61" s="8" t="str">
        <x:v>BreadcrumbList and accurate existing business identity. ItemList where a real visible list exists. FAQ markup only for visible Q&amp;A; no rich-result or AI guarantee.</x:v>
      </x:c>
      <x:c r="E61" s="8" t="str">
        <x:v>kw-gr; kw-el-enrich; serp-GR</x:v>
      </x:c>
      <x:c r="F61" s="8" t="str">
        <x:v>PROPOSED</x:v>
      </x:c>
    </x:row>
    <x:row r="62" ht="48" customHeight="1">
      <x:c r="A62" s="9" t="str">
        <x:v>B03</x:v>
      </x:c>
      <x:c r="B62" s="11" t="str">
        <x:v>https://naxos-carrentals.com/el</x:v>
      </x:c>
      <x:c r="C62" s="9" t="str">
        <x:v>CTA</x:v>
      </x:c>
      <x:c r="D62" s="9" t="str">
        <x:v>Check availability for dates; ask a specific pickup/policy question</x:v>
      </x:c>
      <x:c r="E62" s="9" t="str">
        <x:v>kw-gr; kw-el-enrich; serp-GR</x:v>
      </x:c>
      <x:c r="F62" s="9" t="str">
        <x:v>PROPOSED</x:v>
      </x:c>
    </x:row>
    <x:row r="63" ht="48" customHeight="1">
      <x:c r="A63" s="8" t="str">
        <x:v>B03</x:v>
      </x:c>
      <x:c r="B63" s="10" t="str">
        <x:v>https://naxos-carrentals.com/el</x:v>
      </x:c>
      <x:c r="C63" s="8" t="str">
        <x:v>Internal links in</x:v>
      </x:c>
      <x:c r="D63" s="8" t="str">
        <x:v>Homepage and relevant guide hub in Greek</x:v>
      </x:c>
      <x:c r="E63" s="8" t="str">
        <x:v>kw-gr; kw-el-enrich; serp-GR</x:v>
      </x:c>
      <x:c r="F63" s="8" t="str">
        <x:v>PROPOSED</x:v>
      </x:c>
    </x:row>
    <x:row r="64" ht="48" customHeight="1">
      <x:c r="A64" s="9" t="str">
        <x:v>B03</x:v>
      </x:c>
      <x:c r="B64" s="11" t="str">
        <x:v>https://naxos-carrentals.com/el</x:v>
      </x:c>
      <x:c r="C64" s="9" t="str">
        <x:v>Internal links out</x:v>
      </x:c>
      <x:c r="D64" s="9" t="str">
        <x:v>https://naxos-carrentals.com/el/fleet/cars
https://naxos-carrentals.com/el/insurance
https://naxos-carrentals.com/el/terms
https://naxos-carrentals.com/el/locations</x:v>
      </x:c>
      <x:c r="E64" s="9" t="str">
        <x:v>kw-gr; kw-el-enrich; serp-GR</x:v>
      </x:c>
      <x:c r="F64" s="9" t="str">
        <x:v>PROPOSED</x:v>
      </x:c>
    </x:row>
    <x:row r="65" ht="48" customHeight="1">
      <x:c r="A65" s="8" t="str">
        <x:v>B03</x:v>
      </x:c>
      <x:c r="B65" s="10" t="str">
        <x:v>https://naxos-carrentals.com/el</x:v>
      </x:c>
      <x:c r="C65" s="8" t="str">
        <x:v>Competitor / citation context</x:v>
      </x:c>
      <x:c r="D65" s="8" t="str">
        <x:v>Relevant local specialists and marketplace page formats in SERP Samples</x:v>
      </x:c>
      <x:c r="E65" s="8" t="str">
        <x:v>kw-gr; kw-el-enrich; serp-GR</x:v>
      </x:c>
      <x:c r="F65" s="8" t="str">
        <x:v>PROPOSED</x:v>
      </x:c>
    </x:row>
    <x:row r="66" ht="48" customHeight="1">
      <x:c r="A66" s="9" t="str">
        <x:v>B03</x:v>
      </x:c>
      <x:c r="B66" s="11" t="str">
        <x:v>https://naxos-carrentals.com/el</x:v>
      </x:c>
      <x:c r="C66" s="9" t="str">
        <x:v>Differentiation</x:v>
      </x:c>
      <x:c r="D66" s="9" t="str">
        <x:v>Consolidates spelling/diacritic variants without duplicate pages</x:v>
      </x:c>
      <x:c r="E66" s="9" t="str">
        <x:v>kw-gr; kw-el-enrich; serp-GR</x:v>
      </x:c>
      <x:c r="F66" s="9" t="str">
        <x:v>PROPOSED</x:v>
      </x:c>
    </x:row>
    <x:row r="67" ht="48" customHeight="1">
      <x:c r="A67" s="8" t="str">
        <x:v>B03</x:v>
      </x:c>
      <x:c r="B67" s="10" t="str">
        <x:v>https://naxos-carrentals.com/el</x:v>
      </x:c>
      <x:c r="C67" s="8" t="str">
        <x:v>Acceptance</x:v>
      </x:c>
      <x:c r="D67" s="8" t="str">
        <x:v>One clear H1; valid self-canonical and five-language hreflang; native review; no invented claims; current route200; mobile booking link; no duplicate owner page; visible text matches schema.</x:v>
      </x:c>
      <x:c r="E67" s="8" t="str">
        <x:v>kw-gr; kw-el-enrich; serp-GR</x:v>
      </x:c>
      <x:c r="F67" s="8" t="str">
        <x:v>PROPOSED</x:v>
      </x:c>
    </x:row>
    <x:row r="68" ht="48" customHeight="1">
      <x:c r="A68" s="9" t="str">
        <x:v>B04</x:v>
      </x:c>
      <x:c r="B68" s="11" t="str">
        <x:v>https://naxos-carrentals.com/en</x:v>
      </x:c>
      <x:c r="C68" s="9" t="str">
        <x:v>Cluster</x:v>
      </x:c>
      <x:c r="D68" s="9" t="str">
        <x:v>C-en-core</x:v>
      </x:c>
      <x:c r="E68" s="9" t="str">
        <x:v>kw-gb; kw-us; serp-GB; SRC-GSC-PAGES</x:v>
      </x:c>
      <x:c r="F68" s="9" t="str">
        <x:v>PROPOSED</x:v>
      </x:c>
    </x:row>
    <x:row r="69" ht="48" customHeight="1">
      <x:c r="A69" s="8" t="str">
        <x:v>B04</x:v>
      </x:c>
      <x:c r="B69" s="10" t="str">
        <x:v>https://naxos-carrentals.com/en</x:v>
      </x:c>
      <x:c r="C69" s="8" t="str">
        <x:v>Purpose and conversion</x:v>
      </x:c>
      <x:c r="D69" s="8" t="str">
        <x:v>Choose and book a car. Primary conversion: qualified booking-engine handoff, then confirmed booking when provider reporting is connected.</x:v>
      </x:c>
      <x:c r="E69" s="8" t="str">
        <x:v>kw-gb; kw-us; serp-GB; SRC-GSC-PAGES</x:v>
      </x:c>
      <x:c r="F69" s="8" t="str">
        <x:v>PROPOSED</x:v>
      </x:c>
    </x:row>
    <x:row r="70" ht="48" customHeight="1">
      <x:c r="A70" s="9" t="str">
        <x:v>B04</x:v>
      </x:c>
      <x:c r="B70" s="11" t="str">
        <x:v>https://naxos-carrentals.com/en</x:v>
      </x:c>
      <x:c r="C70" s="9" t="str">
        <x:v>Action</x:v>
      </x:c>
      <x:c r="D70" s="9" t="str">
        <x:v>OPTIMIZE existing route; proposed editorial brief. Local redesign implements parts, not every evidence asset.</x:v>
      </x:c>
      <x:c r="E70" s="9" t="str">
        <x:v>kw-gb; kw-us; serp-GB; SRC-GSC-PAGES</x:v>
      </x:c>
      <x:c r="F70" s="9" t="str">
        <x:v>PROPOSED</x:v>
      </x:c>
    </x:row>
    <x:row r="71" ht="48" customHeight="1">
      <x:c r="A71" s="8" t="str">
        <x:v>B04</x:v>
      </x:c>
      <x:c r="B71" s="10" t="str">
        <x:v>https://naxos-carrentals.com/en</x:v>
      </x:c>
      <x:c r="C71" s="8" t="str">
        <x:v>Market and language</x:v>
      </x:c>
      <x:c r="D71" s="8" t="str">
        <x:v>GB, US; English</x:v>
      </x:c>
      <x:c r="E71" s="8" t="str">
        <x:v>kw-gb; kw-us; serp-GB; SRC-GSC-PAGES</x:v>
      </x:c>
      <x:c r="F71" s="8" t="str">
        <x:v>PROPOSED</x:v>
      </x:c>
    </x:row>
    <x:row r="72" ht="48" customHeight="1">
      <x:c r="A72" s="9" t="str">
        <x:v>B04</x:v>
      </x:c>
      <x:c r="B72" s="11" t="str">
        <x:v>https://naxos-carrentals.com/en</x:v>
      </x:c>
      <x:c r="C72" s="9" t="str">
        <x:v>Primary keyword</x:v>
      </x:c>
      <x:c r="D72" s="9" t="str">
        <x:v>naxos car rental</x:v>
      </x:c>
      <x:c r="E72" s="9" t="str">
        <x:v>kw-gb; kw-us; serp-GB; SRC-GSC-PAGES</x:v>
      </x:c>
      <x:c r="F72" s="9" t="str">
        <x:v>PROPOSED</x:v>
      </x:c>
    </x:row>
    <x:row r="73" ht="48" customHeight="1">
      <x:c r="A73" s="8" t="str">
        <x:v>B04</x:v>
      </x:c>
      <x:c r="B73" s="10" t="str">
        <x:v>https://naxos-carrentals.com/en</x:v>
      </x:c>
      <x:c r="C73" s="8" t="str">
        <x:v>Intent and format</x:v>
      </x:c>
      <x:c r="D73" s="8" t="str">
        <x:v>Commercial decision page supported by visible evidence</x:v>
      </x:c>
      <x:c r="E73" s="8" t="str">
        <x:v>kw-gb; kw-us; serp-GB; SRC-GSC-PAGES</x:v>
      </x:c>
      <x:c r="F73" s="8" t="str">
        <x:v>PROPOSED</x:v>
      </x:c>
    </x:row>
    <x:row r="74" ht="48" customHeight="1">
      <x:c r="A74" s="9" t="str">
        <x:v>B04</x:v>
      </x:c>
      <x:c r="B74" s="11" t="str">
        <x:v>https://naxos-carrentals.com/en</x:v>
      </x:c>
      <x:c r="C74" s="9" t="str">
        <x:v>Title tag</x:v>
      </x:c>
      <x:c r="D74" s="9" t="str">
        <x:v>Car Rental Naxos | Local Cars, Easy Online Booking</x:v>
      </x:c>
      <x:c r="E74" s="9" t="str">
        <x:v>kw-gb; kw-us; serp-GB; SRC-GSC-PAGES</x:v>
      </x:c>
      <x:c r="F74" s="9" t="str">
        <x:v>PROPOSED</x:v>
      </x:c>
    </x:row>
    <x:row r="75" ht="48" customHeight="1">
      <x:c r="A75" s="8" t="str">
        <x:v>B04</x:v>
      </x:c>
      <x:c r="B75" s="10" t="str">
        <x:v>https://naxos-carrentals.com/en</x:v>
      </x:c>
      <x:c r="C75" s="8" t="str">
        <x:v>H1</x:v>
      </x:c>
      <x:c r="D75" s="8" t="str">
        <x:v>Your car for a different kind of Naxos</x:v>
      </x:c>
      <x:c r="E75" s="8" t="str">
        <x:v>kw-gb; kw-us; serp-GB; SRC-GSC-PAGES</x:v>
      </x:c>
      <x:c r="F75" s="8" t="str">
        <x:v>PROPOSED</x:v>
      </x:c>
    </x:row>
    <x:row r="76" ht="48" customHeight="1">
      <x:c r="A76" s="9" t="str">
        <x:v>B04</x:v>
      </x:c>
      <x:c r="B76" s="11" t="str">
        <x:v>https://naxos-carrentals.com/en</x:v>
      </x:c>
      <x:c r="C76" s="9" t="str">
        <x:v>Meta description</x:v>
      </x:c>
      <x:c r="D76" s="9" t="str">
        <x:v>Compare rental cars in Naxos, choose airport or port pickup and check availability for your dates with Fast Motor Rental Naxos.</x:v>
      </x:c>
      <x:c r="E76" s="9" t="str">
        <x:v>kw-gb; kw-us; serp-GB; SRC-GSC-PAGES</x:v>
      </x:c>
      <x:c r="F76" s="9" t="str">
        <x:v>PROPOSED</x:v>
      </x:c>
    </x:row>
    <x:row r="77" ht="48" customHeight="1">
      <x:c r="A77" s="8" t="str">
        <x:v>B04</x:v>
      </x:c>
      <x:c r="B77" s="10" t="str">
        <x:v>https://naxos-carrentals.com/en</x:v>
      </x:c>
      <x:c r="C77" s="8" t="str">
        <x:v>H2/H3 structure</x:v>
      </x:c>
      <x:c r="D77" s="8" t="str">
        <x:v>Choose your arrival point; Compare cars; Island routes; Meet the team; Before you book</x:v>
      </x:c>
      <x:c r="E77" s="8" t="str">
        <x:v>kw-gb; kw-us; serp-GB; SRC-GSC-PAGES</x:v>
      </x:c>
      <x:c r="F77" s="8" t="str">
        <x:v>PROPOSED</x:v>
      </x:c>
    </x:row>
    <x:row r="78" ht="48" customHeight="1">
      <x:c r="A78" s="9" t="str">
        <x:v>B04</x:v>
      </x:c>
      <x:c r="B78" s="11" t="str">
        <x:v>https://naxos-carrentals.com/en</x:v>
      </x:c>
      <x:c r="C78" s="9" t="str">
        <x:v>Questions and comparisons</x:v>
      </x:c>
      <x:c r="D78" s="9" t="str">
        <x:v>Transmission, luggage, meeting point, policy</x:v>
      </x:c>
      <x:c r="E78" s="9" t="str">
        <x:v>kw-gb; kw-us; serp-GB; SRC-GSC-PAGES</x:v>
      </x:c>
      <x:c r="F78" s="9" t="str">
        <x:v>PROPOSED</x:v>
      </x:c>
    </x:row>
    <x:row r="79" ht="48" customHeight="1">
      <x:c r="A79" s="8" t="str">
        <x:v>B04</x:v>
      </x:c>
      <x:c r="B79" s="10" t="str">
        <x:v>https://naxos-carrentals.com/en</x:v>
      </x:c>
      <x:c r="C79" s="8" t="str">
        <x:v>Original evidence</x:v>
      </x:c>
      <x:c r="D79" s="8" t="str">
        <x:v>Actual operator details, genuine imagery, current inventory and date-stamped local advice</x:v>
      </x:c>
      <x:c r="E79" s="8" t="str">
        <x:v>kw-gb; kw-us; serp-GB; SRC-GSC-PAGES</x:v>
      </x:c>
      <x:c r="F79" s="8" t="str">
        <x:v>PROPOSED</x:v>
      </x:c>
    </x:row>
    <x:row r="80" ht="48" customHeight="1">
      <x:c r="A80" s="9" t="str">
        <x:v>B04</x:v>
      </x:c>
      <x:c r="B80" s="11" t="str">
        <x:v>https://naxos-carrentals.com/en</x:v>
      </x:c>
      <x:c r="C80" s="9" t="str">
        <x:v>Claims needing verification</x:v>
      </x:c>
      <x:c r="D80" s="9" t="str">
        <x:v>Exact prices, inclusions, deposits, delivery promises, opening hours, reviews and provider availability. Legal/insurance wording requires qualified owner review.</x:v>
      </x:c>
      <x:c r="E80" s="9" t="str">
        <x:v>kw-gb; kw-us; serp-GB; SRC-GSC-PAGES</x:v>
      </x:c>
      <x:c r="F80" s="9" t="str">
        <x:v>PROPOSED</x:v>
      </x:c>
    </x:row>
    <x:row r="81" ht="48" customHeight="1">
      <x:c r="A81" s="8" t="str">
        <x:v>B04</x:v>
      </x:c>
      <x:c r="B81" s="10" t="str">
        <x:v>https://naxos-carrentals.com/en</x:v>
      </x:c>
      <x:c r="C81" s="8" t="str">
        <x:v>Images/video</x:v>
      </x:c>
      <x:c r="D81" s="8" t="str">
        <x:v>Actual fleet and Naxos photography. No stock vehicle used as proof of an unavailable model.</x:v>
      </x:c>
      <x:c r="E81" s="8" t="str">
        <x:v>kw-gb; kw-us; serp-GB; SRC-GSC-PAGES</x:v>
      </x:c>
      <x:c r="F81" s="8" t="str">
        <x:v>PROPOSED</x:v>
      </x:c>
    </x:row>
    <x:row r="82" ht="48" customHeight="1">
      <x:c r="A82" s="9" t="str">
        <x:v>B04</x:v>
      </x:c>
      <x:c r="B82" s="11" t="str">
        <x:v>https://naxos-carrentals.com/en</x:v>
      </x:c>
      <x:c r="C82" s="9" t="str">
        <x:v>Structured data</x:v>
      </x:c>
      <x:c r="D82" s="9" t="str">
        <x:v>BreadcrumbList and accurate existing business identity. ItemList where a real visible list exists. FAQ markup only for visible Q&amp;A; no rich-result or AI guarantee.</x:v>
      </x:c>
      <x:c r="E82" s="9" t="str">
        <x:v>kw-gb; kw-us; serp-GB; SRC-GSC-PAGES</x:v>
      </x:c>
      <x:c r="F82" s="9" t="str">
        <x:v>PROPOSED</x:v>
      </x:c>
    </x:row>
    <x:row r="83" ht="48" customHeight="1">
      <x:c r="A83" s="8" t="str">
        <x:v>B04</x:v>
      </x:c>
      <x:c r="B83" s="10" t="str">
        <x:v>https://naxos-carrentals.com/en</x:v>
      </x:c>
      <x:c r="C83" s="8" t="str">
        <x:v>CTA</x:v>
      </x:c>
      <x:c r="D83" s="8" t="str">
        <x:v>Check availability for dates; ask a specific pickup/policy question</x:v>
      </x:c>
      <x:c r="E83" s="8" t="str">
        <x:v>kw-gb; kw-us; serp-GB; SRC-GSC-PAGES</x:v>
      </x:c>
      <x:c r="F83" s="8" t="str">
        <x:v>PROPOSED</x:v>
      </x:c>
    </x:row>
    <x:row r="84" ht="48" customHeight="1">
      <x:c r="A84" s="9" t="str">
        <x:v>B04</x:v>
      </x:c>
      <x:c r="B84" s="11" t="str">
        <x:v>https://naxos-carrentals.com/en</x:v>
      </x:c>
      <x:c r="C84" s="9" t="str">
        <x:v>Internal links in</x:v>
      </x:c>
      <x:c r="D84" s="9" t="str">
        <x:v>Homepage and relevant guide hub in English</x:v>
      </x:c>
      <x:c r="E84" s="9" t="str">
        <x:v>kw-gb; kw-us; serp-GB; SRC-GSC-PAGES</x:v>
      </x:c>
      <x:c r="F84" s="9" t="str">
        <x:v>PROPOSED</x:v>
      </x:c>
    </x:row>
    <x:row r="85" ht="48" customHeight="1">
      <x:c r="A85" s="8" t="str">
        <x:v>B04</x:v>
      </x:c>
      <x:c r="B85" s="10" t="str">
        <x:v>https://naxos-carrentals.com/en</x:v>
      </x:c>
      <x:c r="C85" s="8" t="str">
        <x:v>Internal links out</x:v>
      </x:c>
      <x:c r="D85" s="8" t="str">
        <x:v>https://naxos-carrentals.com/en/fleet/cars
https://naxos-carrentals.com/en/insurance
https://naxos-carrentals.com/en/terms
https://naxos-carrentals.com/en/locations</x:v>
      </x:c>
      <x:c r="E85" s="8" t="str">
        <x:v>kw-gb; kw-us; serp-GB; SRC-GSC-PAGES</x:v>
      </x:c>
      <x:c r="F85" s="8" t="str">
        <x:v>PROPOSED</x:v>
      </x:c>
    </x:row>
    <x:row r="86" ht="48" customHeight="1">
      <x:c r="A86" s="9" t="str">
        <x:v>B04</x:v>
      </x:c>
      <x:c r="B86" s="11" t="str">
        <x:v>https://naxos-carrentals.com/en</x:v>
      </x:c>
      <x:c r="C86" s="9" t="str">
        <x:v>Competitor / citation context</x:v>
      </x:c>
      <x:c r="D86" s="9" t="str">
        <x:v>Relevant local specialists and marketplace page formats in SERP Samples</x:v>
      </x:c>
      <x:c r="E86" s="9" t="str">
        <x:v>kw-gb; kw-us; serp-GB; SRC-GSC-PAGES</x:v>
      </x:c>
      <x:c r="F86" s="9" t="str">
        <x:v>PROPOSED</x:v>
      </x:c>
    </x:row>
    <x:row r="87" ht="48" customHeight="1">
      <x:c r="A87" s="8" t="str">
        <x:v>B04</x:v>
      </x:c>
      <x:c r="B87" s="10" t="str">
        <x:v>https://naxos-carrentals.com/en</x:v>
      </x:c>
      <x:c r="C87" s="8" t="str">
        <x:v>Differentiation</x:v>
      </x:c>
      <x:c r="D87" s="8" t="str">
        <x:v>GB and US use one English owner, with international practical context</x:v>
      </x:c>
      <x:c r="E87" s="8" t="str">
        <x:v>kw-gb; kw-us; serp-GB; SRC-GSC-PAGES</x:v>
      </x:c>
      <x:c r="F87" s="8" t="str">
        <x:v>PROPOSED</x:v>
      </x:c>
    </x:row>
    <x:row r="88" ht="48" customHeight="1">
      <x:c r="A88" s="9" t="str">
        <x:v>B04</x:v>
      </x:c>
      <x:c r="B88" s="11" t="str">
        <x:v>https://naxos-carrentals.com/en</x:v>
      </x:c>
      <x:c r="C88" s="9" t="str">
        <x:v>Acceptance</x:v>
      </x:c>
      <x:c r="D88" s="9" t="str">
        <x:v>One clear H1; valid self-canonical and five-language hreflang; native review; no invented claims; current route200; mobile booking link; no duplicate owner page; visible text matches schema.</x:v>
      </x:c>
      <x:c r="E88" s="9" t="str">
        <x:v>kw-gb; kw-us; serp-GB; SRC-GSC-PAGES</x:v>
      </x:c>
      <x:c r="F88" s="9" t="str">
        <x:v>PROPOSED</x:v>
      </x:c>
    </x:row>
    <x:row r="89" ht="48" customHeight="1">
      <x:c r="A89" s="8" t="str">
        <x:v>B05</x:v>
      </x:c>
      <x:c r="B89" s="10" t="str">
        <x:v>https://naxos-carrentals.com/fr/locations/airport-pickup</x:v>
      </x:c>
      <x:c r="C89" s="8" t="str">
        <x:v>Cluster</x:v>
      </x:c>
      <x:c r="D89" s="8" t="str">
        <x:v>C-fr-airport</x:v>
      </x:c>
      <x:c r="E89" s="8" t="str">
        <x:v>kw-fr; discover-fr; SRC-LIVE</x:v>
      </x:c>
      <x:c r="F89" s="8" t="str">
        <x:v>PROPOSED</x:v>
      </x:c>
    </x:row>
    <x:row r="90" ht="48" customHeight="1">
      <x:c r="A90" s="9" t="str">
        <x:v>B05</x:v>
      </x:c>
      <x:c r="B90" s="11" t="str">
        <x:v>https://naxos-carrentals.com/fr/locations/airport-pickup</x:v>
      </x:c>
      <x:c r="C90" s="9" t="str">
        <x:v>Purpose and conversion</x:v>
      </x:c>
      <x:c r="D90" s="9" t="str">
        <x:v>Collect at Naxos airport. Primary conversion: qualified booking-engine handoff, then confirmed booking when provider reporting is connected.</x:v>
      </x:c>
      <x:c r="E90" s="9" t="str">
        <x:v>kw-fr; discover-fr; SRC-LIVE</x:v>
      </x:c>
      <x:c r="F90" s="9" t="str">
        <x:v>PROPOSED</x:v>
      </x:c>
    </x:row>
    <x:row r="91" ht="48" customHeight="1">
      <x:c r="A91" s="8" t="str">
        <x:v>B05</x:v>
      </x:c>
      <x:c r="B91" s="10" t="str">
        <x:v>https://naxos-carrentals.com/fr/locations/airport-pickup</x:v>
      </x:c>
      <x:c r="C91" s="8" t="str">
        <x:v>Action</x:v>
      </x:c>
      <x:c r="D91" s="8" t="str">
        <x:v>OPTIMIZE existing route; proposed editorial brief. Local redesign implements parts, not every evidence asset.</x:v>
      </x:c>
      <x:c r="E91" s="8" t="str">
        <x:v>kw-fr; discover-fr; SRC-LIVE</x:v>
      </x:c>
      <x:c r="F91" s="8" t="str">
        <x:v>PROPOSED</x:v>
      </x:c>
    </x:row>
    <x:row r="92" ht="48" customHeight="1">
      <x:c r="A92" s="9" t="str">
        <x:v>B05</x:v>
      </x:c>
      <x:c r="B92" s="11" t="str">
        <x:v>https://naxos-carrentals.com/fr/locations/airport-pickup</x:v>
      </x:c>
      <x:c r="C92" s="9" t="str">
        <x:v>Market and language</x:v>
      </x:c>
      <x:c r="D92" s="9" t="str">
        <x:v>FR; French</x:v>
      </x:c>
      <x:c r="E92" s="9" t="str">
        <x:v>kw-fr; discover-fr; SRC-LIVE</x:v>
      </x:c>
      <x:c r="F92" s="9" t="str">
        <x:v>PROPOSED</x:v>
      </x:c>
    </x:row>
    <x:row r="93" ht="48" customHeight="1">
      <x:c r="A93" s="8" t="str">
        <x:v>B05</x:v>
      </x:c>
      <x:c r="B93" s="10" t="str">
        <x:v>https://naxos-carrentals.com/fr/locations/airport-pickup</x:v>
      </x:c>
      <x:c r="C93" s="8" t="str">
        <x:v>Primary keyword</x:v>
      </x:c>
      <x:c r="D93" s="8" t="str">
        <x:v>location voiture naxos aéroport</x:v>
      </x:c>
      <x:c r="E93" s="8" t="str">
        <x:v>kw-fr; discover-fr; SRC-LIVE</x:v>
      </x:c>
      <x:c r="F93" s="8" t="str">
        <x:v>PROPOSED</x:v>
      </x:c>
    </x:row>
    <x:row r="94" ht="48" customHeight="1">
      <x:c r="A94" s="9" t="str">
        <x:v>B05</x:v>
      </x:c>
      <x:c r="B94" s="11" t="str">
        <x:v>https://naxos-carrentals.com/fr/locations/airport-pickup</x:v>
      </x:c>
      <x:c r="C94" s="9" t="str">
        <x:v>Intent and format</x:v>
      </x:c>
      <x:c r="D94" s="9" t="str">
        <x:v>Commercial decision page supported by visible evidence</x:v>
      </x:c>
      <x:c r="E94" s="9" t="str">
        <x:v>kw-fr; discover-fr; SRC-LIVE</x:v>
      </x:c>
      <x:c r="F94" s="9" t="str">
        <x:v>PROPOSED</x:v>
      </x:c>
    </x:row>
    <x:row r="95" ht="48" customHeight="1">
      <x:c r="A95" s="8" t="str">
        <x:v>B05</x:v>
      </x:c>
      <x:c r="B95" s="10" t="str">
        <x:v>https://naxos-carrentals.com/fr/locations/airport-pickup</x:v>
      </x:c>
      <x:c r="C95" s="8" t="str">
        <x:v>Title tag</x:v>
      </x:c>
      <x:c r="D95" s="8" t="str">
        <x:v>Location voiture aéroport de Naxos (JNX)</x:v>
      </x:c>
      <x:c r="E95" s="8" t="str">
        <x:v>kw-fr; discover-fr; SRC-LIVE</x:v>
      </x:c>
      <x:c r="F95" s="8" t="str">
        <x:v>PROPOSED</x:v>
      </x:c>
    </x:row>
    <x:row r="96" ht="48" customHeight="1">
      <x:c r="A96" s="9" t="str">
        <x:v>B05</x:v>
      </x:c>
      <x:c r="B96" s="11" t="str">
        <x:v>https://naxos-carrentals.com/fr/locations/airport-pickup</x:v>
      </x:c>
      <x:c r="C96" s="9" t="str">
        <x:v>H1</x:v>
      </x:c>
      <x:c r="D96" s="9" t="str">
        <x:v>Votre voiture à l’aéroport de Naxos</x:v>
      </x:c>
      <x:c r="E96" s="9" t="str">
        <x:v>kw-fr; discover-fr; SRC-LIVE</x:v>
      </x:c>
      <x:c r="F96" s="9" t="str">
        <x:v>PROPOSED</x:v>
      </x:c>
    </x:row>
    <x:row r="97" ht="48" customHeight="1">
      <x:c r="A97" s="8" t="str">
        <x:v>B05</x:v>
      </x:c>
      <x:c r="B97" s="10" t="str">
        <x:v>https://naxos-carrentals.com/fr/locations/airport-pickup</x:v>
      </x:c>
      <x:c r="C97" s="8" t="str">
        <x:v>Meta description</x:v>
      </x:c>
      <x:c r="D97" s="8" t="str">
        <x:v>Organisez votre retrait à l’aéroport de Naxos : vol, point de rencontre et retour. Comparez nos voitures et consultez les disponibilités.</x:v>
      </x:c>
      <x:c r="E97" s="8" t="str">
        <x:v>kw-fr; discover-fr; SRC-LIVE</x:v>
      </x:c>
      <x:c r="F97" s="8" t="str">
        <x:v>PROPOSED</x:v>
      </x:c>
    </x:row>
    <x:row r="98" ht="48" customHeight="1">
      <x:c r="A98" s="9" t="str">
        <x:v>B05</x:v>
      </x:c>
      <x:c r="B98" s="11" t="str">
        <x:v>https://naxos-carrentals.com/fr/locations/airport-pickup</x:v>
      </x:c>
      <x:c r="C98" s="9" t="str">
        <x:v>H2/H3 structure</x:v>
      </x:c>
      <x:c r="D98" s="9" t="str">
        <x:v>Réserver le bon véhicule; Communiquer votre vol; Rencontre à l’arrivée; Retour; Conditions</x:v>
      </x:c>
      <x:c r="E98" s="9" t="str">
        <x:v>kw-fr; discover-fr; SRC-LIVE</x:v>
      </x:c>
      <x:c r="F98" s="9" t="str">
        <x:v>PROPOSED</x:v>
      </x:c>
    </x:row>
    <x:row r="99" ht="48" customHeight="1">
      <x:c r="A99" s="8" t="str">
        <x:v>B05</x:v>
      </x:c>
      <x:c r="B99" s="10" t="str">
        <x:v>https://naxos-carrentals.com/fr/locations/airport-pickup</x:v>
      </x:c>
      <x:c r="C99" s="8" t="str">
        <x:v>Questions and comparisons</x:v>
      </x:c>
      <x:c r="D99" s="8" t="str">
        <x:v>Late flights, baggage, contact, meeting protocol</x:v>
      </x:c>
      <x:c r="E99" s="8" t="str">
        <x:v>kw-fr; discover-fr; SRC-LIVE</x:v>
      </x:c>
      <x:c r="F99" s="8" t="str">
        <x:v>PROPOSED</x:v>
      </x:c>
    </x:row>
    <x:row r="100" ht="48" customHeight="1">
      <x:c r="A100" s="9" t="str">
        <x:v>B05</x:v>
      </x:c>
      <x:c r="B100" s="11" t="str">
        <x:v>https://naxos-carrentals.com/fr/locations/airport-pickup</x:v>
      </x:c>
      <x:c r="C100" s="9" t="str">
        <x:v>Original evidence</x:v>
      </x:c>
      <x:c r="D100" s="9" t="str">
        <x:v>Owner-approved meeting-point map, real photographs, arrival/delay instructions and returns process</x:v>
      </x:c>
      <x:c r="E100" s="9" t="str">
        <x:v>kw-fr; discover-fr; SRC-LIVE</x:v>
      </x:c>
      <x:c r="F100" s="9" t="str">
        <x:v>PROPOSED</x:v>
      </x:c>
    </x:row>
    <x:row r="101" ht="48" customHeight="1">
      <x:c r="A101" s="8" t="str">
        <x:v>B05</x:v>
      </x:c>
      <x:c r="B101" s="10" t="str">
        <x:v>https://naxos-carrentals.com/fr/locations/airport-pickup</x:v>
      </x:c>
      <x:c r="C101" s="8" t="str">
        <x:v>Claims needing verification</x:v>
      </x:c>
      <x:c r="D101" s="8" t="str">
        <x:v>Exact prices, inclusions, deposits, delivery promises, opening hours, reviews and provider availability. Legal/insurance wording requires qualified owner review.</x:v>
      </x:c>
      <x:c r="E101" s="8" t="str">
        <x:v>kw-fr; discover-fr; SRC-LIVE</x:v>
      </x:c>
      <x:c r="F101" s="8" t="str">
        <x:v>PROPOSED</x:v>
      </x:c>
    </x:row>
    <x:row r="102" ht="48" customHeight="1">
      <x:c r="A102" s="9" t="str">
        <x:v>B05</x:v>
      </x:c>
      <x:c r="B102" s="11" t="str">
        <x:v>https://naxos-carrentals.com/fr/locations/airport-pickup</x:v>
      </x:c>
      <x:c r="C102" s="9" t="str">
        <x:v>Images/video</x:v>
      </x:c>
      <x:c r="D102" s="9" t="str">
        <x:v>Short real walk from arrivals/ferry exit to the agreed collection point, with accessible captions</x:v>
      </x:c>
      <x:c r="E102" s="9" t="str">
        <x:v>kw-fr; discover-fr; SRC-LIVE</x:v>
      </x:c>
      <x:c r="F102" s="9" t="str">
        <x:v>PROPOSED</x:v>
      </x:c>
    </x:row>
    <x:row r="103" ht="48" customHeight="1">
      <x:c r="A103" s="8" t="str">
        <x:v>B05</x:v>
      </x:c>
      <x:c r="B103" s="10" t="str">
        <x:v>https://naxos-carrentals.com/fr/locations/airport-pickup</x:v>
      </x:c>
      <x:c r="C103" s="8" t="str">
        <x:v>Structured data</x:v>
      </x:c>
      <x:c r="D103" s="8" t="str">
        <x:v>BreadcrumbList and accurate existing business identity. ItemList where a real visible list exists. FAQ markup only for visible Q&amp;A; no rich-result or AI guarantee.</x:v>
      </x:c>
      <x:c r="E103" s="8" t="str">
        <x:v>kw-fr; discover-fr; SRC-LIVE</x:v>
      </x:c>
      <x:c r="F103" s="8" t="str">
        <x:v>PROPOSED</x:v>
      </x:c>
    </x:row>
    <x:row r="104" ht="48" customHeight="1">
      <x:c r="A104" s="9" t="str">
        <x:v>B05</x:v>
      </x:c>
      <x:c r="B104" s="11" t="str">
        <x:v>https://naxos-carrentals.com/fr/locations/airport-pickup</x:v>
      </x:c>
      <x:c r="C104" s="9" t="str">
        <x:v>CTA</x:v>
      </x:c>
      <x:c r="D104" s="9" t="str">
        <x:v>Check availability for dates; ask a specific pickup/policy question</x:v>
      </x:c>
      <x:c r="E104" s="9" t="str">
        <x:v>kw-fr; discover-fr; SRC-LIVE</x:v>
      </x:c>
      <x:c r="F104" s="9" t="str">
        <x:v>PROPOSED</x:v>
      </x:c>
    </x:row>
    <x:row r="105" ht="48" customHeight="1">
      <x:c r="A105" s="8" t="str">
        <x:v>B05</x:v>
      </x:c>
      <x:c r="B105" s="10" t="str">
        <x:v>https://naxos-carrentals.com/fr/locations/airport-pickup</x:v>
      </x:c>
      <x:c r="C105" s="8" t="str">
        <x:v>Internal links in</x:v>
      </x:c>
      <x:c r="D105" s="8" t="str">
        <x:v>Homepage and relevant guide hub in French</x:v>
      </x:c>
      <x:c r="E105" s="8" t="str">
        <x:v>kw-fr; discover-fr; SRC-LIVE</x:v>
      </x:c>
      <x:c r="F105" s="8" t="str">
        <x:v>PROPOSED</x:v>
      </x:c>
    </x:row>
    <x:row r="106" ht="48" customHeight="1">
      <x:c r="A106" s="9" t="str">
        <x:v>B05</x:v>
      </x:c>
      <x:c r="B106" s="11" t="str">
        <x:v>https://naxos-carrentals.com/fr/locations/airport-pickup</x:v>
      </x:c>
      <x:c r="C106" s="9" t="str">
        <x:v>Internal links out</x:v>
      </x:c>
      <x:c r="D106" s="9" t="str">
        <x:v>https://naxos-carrentals.com/fr/fleet/cars
https://naxos-carrentals.com/fr/insurance
https://naxos-carrentals.com/fr/terms
https://naxos-carrentals.com/fr/locations</x:v>
      </x:c>
      <x:c r="E106" s="9" t="str">
        <x:v>kw-fr; discover-fr; SRC-LIVE</x:v>
      </x:c>
      <x:c r="F106" s="9" t="str">
        <x:v>PROPOSED</x:v>
      </x:c>
    </x:row>
    <x:row r="107" ht="48" customHeight="1">
      <x:c r="A107" s="8" t="str">
        <x:v>B05</x:v>
      </x:c>
      <x:c r="B107" s="10" t="str">
        <x:v>https://naxos-carrentals.com/fr/locations/airport-pickup</x:v>
      </x:c>
      <x:c r="C107" s="8" t="str">
        <x:v>Competitor / citation context</x:v>
      </x:c>
      <x:c r="D107" s="8" t="str">
        <x:v>FR port sample: Matha, Enjoy, Naction, KAYAK, Europcar, Routard</x:v>
      </x:c>
      <x:c r="E107" s="8" t="str">
        <x:v>kw-fr; discover-fr; SRC-LIVE</x:v>
      </x:c>
      <x:c r="F107" s="8" t="str">
        <x:v>PROPOSED</x:v>
      </x:c>
    </x:row>
    <x:row r="108" ht="48" customHeight="1">
      <x:c r="A108" s="9" t="str">
        <x:v>B05</x:v>
      </x:c>
      <x:c r="B108" s="11" t="str">
        <x:v>https://naxos-carrentals.com/fr/locations/airport-pickup</x:v>
      </x:c>
      <x:c r="C108" s="9" t="str">
        <x:v>Differentiation</x:v>
      </x:c>
      <x:c r="D108" s="9" t="str">
        <x:v>Airport arrival requires a different operational process from ferry pickup</x:v>
      </x:c>
      <x:c r="E108" s="9" t="str">
        <x:v>kw-fr; discover-fr; SRC-LIVE</x:v>
      </x:c>
      <x:c r="F108" s="9" t="str">
        <x:v>PROPOSED</x:v>
      </x:c>
    </x:row>
    <x:row r="109" ht="48" customHeight="1">
      <x:c r="A109" s="8" t="str">
        <x:v>B05</x:v>
      </x:c>
      <x:c r="B109" s="10" t="str">
        <x:v>https://naxos-carrentals.com/fr/locations/airport-pickup</x:v>
      </x:c>
      <x:c r="C109" s="8" t="str">
        <x:v>Acceptance</x:v>
      </x:c>
      <x:c r="D109" s="8" t="str">
        <x:v>One clear H1; valid self-canonical and five-language hreflang; native review; no invented claims; current route200; mobile booking link; no duplicate owner page; visible text matches schema.</x:v>
      </x:c>
      <x:c r="E109" s="8" t="str">
        <x:v>kw-fr; discover-fr; SRC-LIVE</x:v>
      </x:c>
      <x:c r="F109" s="8" t="str">
        <x:v>PROPOSED</x:v>
      </x:c>
    </x:row>
    <x:row r="110" ht="48" customHeight="1">
      <x:c r="A110" s="9" t="str">
        <x:v>B06</x:v>
      </x:c>
      <x:c r="B110" s="11" t="str">
        <x:v>https://naxos-carrentals.com/it/locations/port-pickup</x:v>
      </x:c>
      <x:c r="C110" s="9" t="str">
        <x:v>Cluster</x:v>
      </x:c>
      <x:c r="D110" s="9" t="str">
        <x:v>C-it-port</x:v>
      </x:c>
      <x:c r="E110" s="9" t="str">
        <x:v>kw-it; discover-it</x:v>
      </x:c>
      <x:c r="F110" s="9" t="str">
        <x:v>PROPOSED</x:v>
      </x:c>
    </x:row>
    <x:row r="111" ht="48" customHeight="1">
      <x:c r="A111" s="8" t="str">
        <x:v>B06</x:v>
      </x:c>
      <x:c r="B111" s="10" t="str">
        <x:v>https://naxos-carrentals.com/it/locations/port-pickup</x:v>
      </x:c>
      <x:c r="C111" s="8" t="str">
        <x:v>Purpose and conversion</x:v>
      </x:c>
      <x:c r="D111" s="8" t="str">
        <x:v>Collect after arriving by ferry. Primary conversion: qualified booking-engine handoff, then confirmed booking when provider reporting is connected.</x:v>
      </x:c>
      <x:c r="E111" s="8" t="str">
        <x:v>kw-it; discover-it</x:v>
      </x:c>
      <x:c r="F111" s="8" t="str">
        <x:v>PROPOSED</x:v>
      </x:c>
    </x:row>
    <x:row r="112" ht="48" customHeight="1">
      <x:c r="A112" s="9" t="str">
        <x:v>B06</x:v>
      </x:c>
      <x:c r="B112" s="11" t="str">
        <x:v>https://naxos-carrentals.com/it/locations/port-pickup</x:v>
      </x:c>
      <x:c r="C112" s="9" t="str">
        <x:v>Action</x:v>
      </x:c>
      <x:c r="D112" s="9" t="str">
        <x:v>OPTIMIZE existing route; proposed editorial brief. Local redesign implements parts, not every evidence asset.</x:v>
      </x:c>
      <x:c r="E112" s="9" t="str">
        <x:v>kw-it; discover-it</x:v>
      </x:c>
      <x:c r="F112" s="9" t="str">
        <x:v>PROPOSED</x:v>
      </x:c>
    </x:row>
    <x:row r="113" ht="48" customHeight="1">
      <x:c r="A113" s="8" t="str">
        <x:v>B06</x:v>
      </x:c>
      <x:c r="B113" s="10" t="str">
        <x:v>https://naxos-carrentals.com/it/locations/port-pickup</x:v>
      </x:c>
      <x:c r="C113" s="8" t="str">
        <x:v>Market and language</x:v>
      </x:c>
      <x:c r="D113" s="8" t="str">
        <x:v>IT; Italian</x:v>
      </x:c>
      <x:c r="E113" s="8" t="str">
        <x:v>kw-it; discover-it</x:v>
      </x:c>
      <x:c r="F113" s="8" t="str">
        <x:v>PROPOSED</x:v>
      </x:c>
    </x:row>
    <x:row r="114" ht="48" customHeight="1">
      <x:c r="A114" s="9" t="str">
        <x:v>B06</x:v>
      </x:c>
      <x:c r="B114" s="11" t="str">
        <x:v>https://naxos-carrentals.com/it/locations/port-pickup</x:v>
      </x:c>
      <x:c r="C114" s="9" t="str">
        <x:v>Primary keyword</x:v>
      </x:c>
      <x:c r="D114" s="9" t="str">
        <x:v>noleggio auto naxos porto</x:v>
      </x:c>
      <x:c r="E114" s="9" t="str">
        <x:v>kw-it; discover-it</x:v>
      </x:c>
      <x:c r="F114" s="9" t="str">
        <x:v>PROPOSED</x:v>
      </x:c>
    </x:row>
    <x:row r="115" ht="48" customHeight="1">
      <x:c r="A115" s="8" t="str">
        <x:v>B06</x:v>
      </x:c>
      <x:c r="B115" s="10" t="str">
        <x:v>https://naxos-carrentals.com/it/locations/port-pickup</x:v>
      </x:c>
      <x:c r="C115" s="8" t="str">
        <x:v>Intent and format</x:v>
      </x:c>
      <x:c r="D115" s="8" t="str">
        <x:v>Commercial decision page supported by visible evidence</x:v>
      </x:c>
      <x:c r="E115" s="8" t="str">
        <x:v>kw-it; discover-it</x:v>
      </x:c>
      <x:c r="F115" s="8" t="str">
        <x:v>PROPOSED</x:v>
      </x:c>
    </x:row>
    <x:row r="116" ht="48" customHeight="1">
      <x:c r="A116" s="9" t="str">
        <x:v>B06</x:v>
      </x:c>
      <x:c r="B116" s="11" t="str">
        <x:v>https://naxos-carrentals.com/it/locations/port-pickup</x:v>
      </x:c>
      <x:c r="C116" s="9" t="str">
        <x:v>Title tag</x:v>
      </x:c>
      <x:c r="D116" s="9" t="str">
        <x:v>Noleggio auto al porto di Naxos</x:v>
      </x:c>
      <x:c r="E116" s="9" t="str">
        <x:v>kw-it; discover-it</x:v>
      </x:c>
      <x:c r="F116" s="9" t="str">
        <x:v>PROPOSED</x:v>
      </x:c>
    </x:row>
    <x:row r="117" ht="48" customHeight="1">
      <x:c r="A117" s="8" t="str">
        <x:v>B06</x:v>
      </x:c>
      <x:c r="B117" s="10" t="str">
        <x:v>https://naxos-carrentals.com/it/locations/port-pickup</x:v>
      </x:c>
      <x:c r="C117" s="8" t="str">
        <x:v>H1</x:v>
      </x:c>
      <x:c r="D117" s="8" t="str">
        <x:v>La tua auto all’arrivo al porto di Naxos</x:v>
      </x:c>
      <x:c r="E117" s="8" t="str">
        <x:v>kw-it; discover-it</x:v>
      </x:c>
      <x:c r="F117" s="8" t="str">
        <x:v>PROPOSED</x:v>
      </x:c>
    </x:row>
    <x:row r="118" ht="48" customHeight="1">
      <x:c r="A118" s="9" t="str">
        <x:v>B06</x:v>
      </x:c>
      <x:c r="B118" s="11" t="str">
        <x:v>https://naxos-carrentals.com/it/locations/port-pickup</x:v>
      </x:c>
      <x:c r="C118" s="9" t="str">
        <x:v>Meta description</x:v>
      </x:c>
      <x:c r="D118" s="9" t="str">
        <x:v>Organizza il ritiro dopo il traghetto. Consulta il punto d’incontro, confronta le auto e verifica la disponibilità per le tue date.</x:v>
      </x:c>
      <x:c r="E118" s="9" t="str">
        <x:v>kw-it; discover-it</x:v>
      </x:c>
      <x:c r="F118" s="9" t="str">
        <x:v>PROPOSED</x:v>
      </x:c>
    </x:row>
    <x:row r="119" ht="48" customHeight="1">
      <x:c r="A119" s="8" t="str">
        <x:v>B06</x:v>
      </x:c>
      <x:c r="B119" s="10" t="str">
        <x:v>https://naxos-carrentals.com/it/locations/port-pickup</x:v>
      </x:c>
      <x:c r="C119" s="8" t="str">
        <x:v>H2/H3 structure</x:v>
      </x:c>
      <x:c r="D119" s="8" t="str">
        <x:v>Prima del traghetto; Punto di incontro; Ritardi; Riconsegna; Auto e bagagli</x:v>
      </x:c>
      <x:c r="E119" s="8" t="str">
        <x:v>kw-it; discover-it</x:v>
      </x:c>
      <x:c r="F119" s="8" t="str">
        <x:v>PROPOSED</x:v>
      </x:c>
    </x:row>
    <x:row r="120" ht="48" customHeight="1">
      <x:c r="A120" s="9" t="str">
        <x:v>B06</x:v>
      </x:c>
      <x:c r="B120" s="11" t="str">
        <x:v>https://naxos-carrentals.com/it/locations/port-pickup</x:v>
      </x:c>
      <x:c r="C120" s="9" t="str">
        <x:v>Questions and comparisons</x:v>
      </x:c>
      <x:c r="D120" s="9" t="str">
        <x:v>Ferry ETA, late arrival and return location</x:v>
      </x:c>
      <x:c r="E120" s="9" t="str">
        <x:v>kw-it; discover-it</x:v>
      </x:c>
      <x:c r="F120" s="9" t="str">
        <x:v>PROPOSED</x:v>
      </x:c>
    </x:row>
    <x:row r="121" ht="48" customHeight="1">
      <x:c r="A121" s="8" t="str">
        <x:v>B06</x:v>
      </x:c>
      <x:c r="B121" s="10" t="str">
        <x:v>https://naxos-carrentals.com/it/locations/port-pickup</x:v>
      </x:c>
      <x:c r="C121" s="8" t="str">
        <x:v>Original evidence</x:v>
      </x:c>
      <x:c r="D121" s="8" t="str">
        <x:v>Owner-approved meeting-point map, real photographs, arrival/delay instructions and returns process</x:v>
      </x:c>
      <x:c r="E121" s="8" t="str">
        <x:v>kw-it; discover-it</x:v>
      </x:c>
      <x:c r="F121" s="8" t="str">
        <x:v>PROPOSED</x:v>
      </x:c>
    </x:row>
    <x:row r="122" ht="48" customHeight="1">
      <x:c r="A122" s="9" t="str">
        <x:v>B06</x:v>
      </x:c>
      <x:c r="B122" s="11" t="str">
        <x:v>https://naxos-carrentals.com/it/locations/port-pickup</x:v>
      </x:c>
      <x:c r="C122" s="9" t="str">
        <x:v>Claims needing verification</x:v>
      </x:c>
      <x:c r="D122" s="9" t="str">
        <x:v>Exact prices, inclusions, deposits, delivery promises, opening hours, reviews and provider availability. Legal/insurance wording requires qualified owner review.</x:v>
      </x:c>
      <x:c r="E122" s="9" t="str">
        <x:v>kw-it; discover-it</x:v>
      </x:c>
      <x:c r="F122" s="9" t="str">
        <x:v>PROPOSED</x:v>
      </x:c>
    </x:row>
    <x:row r="123" ht="48" customHeight="1">
      <x:c r="A123" s="8" t="str">
        <x:v>B06</x:v>
      </x:c>
      <x:c r="B123" s="10" t="str">
        <x:v>https://naxos-carrentals.com/it/locations/port-pickup</x:v>
      </x:c>
      <x:c r="C123" s="8" t="str">
        <x:v>Images/video</x:v>
      </x:c>
      <x:c r="D123" s="8" t="str">
        <x:v>Short real walk from arrivals/ferry exit to the agreed collection point, with accessible captions</x:v>
      </x:c>
      <x:c r="E123" s="8" t="str">
        <x:v>kw-it; discover-it</x:v>
      </x:c>
      <x:c r="F123" s="8" t="str">
        <x:v>PROPOSED</x:v>
      </x:c>
    </x:row>
    <x:row r="124" ht="48" customHeight="1">
      <x:c r="A124" s="9" t="str">
        <x:v>B06</x:v>
      </x:c>
      <x:c r="B124" s="11" t="str">
        <x:v>https://naxos-carrentals.com/it/locations/port-pickup</x:v>
      </x:c>
      <x:c r="C124" s="9" t="str">
        <x:v>Structured data</x:v>
      </x:c>
      <x:c r="D124" s="9" t="str">
        <x:v>BreadcrumbList and accurate existing business identity. ItemList where a real visible list exists. FAQ markup only for visible Q&amp;A; no rich-result or AI guarantee.</x:v>
      </x:c>
      <x:c r="E124" s="9" t="str">
        <x:v>kw-it; discover-it</x:v>
      </x:c>
      <x:c r="F124" s="9" t="str">
        <x:v>PROPOSED</x:v>
      </x:c>
    </x:row>
    <x:row r="125" ht="48" customHeight="1">
      <x:c r="A125" s="8" t="str">
        <x:v>B06</x:v>
      </x:c>
      <x:c r="B125" s="10" t="str">
        <x:v>https://naxos-carrentals.com/it/locations/port-pickup</x:v>
      </x:c>
      <x:c r="C125" s="8" t="str">
        <x:v>CTA</x:v>
      </x:c>
      <x:c r="D125" s="8" t="str">
        <x:v>Check availability for dates; ask a specific pickup/policy question</x:v>
      </x:c>
      <x:c r="E125" s="8" t="str">
        <x:v>kw-it; discover-it</x:v>
      </x:c>
      <x:c r="F125" s="8" t="str">
        <x:v>PROPOSED</x:v>
      </x:c>
    </x:row>
    <x:row r="126" ht="48" customHeight="1">
      <x:c r="A126" s="9" t="str">
        <x:v>B06</x:v>
      </x:c>
      <x:c r="B126" s="11" t="str">
        <x:v>https://naxos-carrentals.com/it/locations/port-pickup</x:v>
      </x:c>
      <x:c r="C126" s="9" t="str">
        <x:v>Internal links in</x:v>
      </x:c>
      <x:c r="D126" s="9" t="str">
        <x:v>Homepage and relevant guide hub in Italian</x:v>
      </x:c>
      <x:c r="E126" s="9" t="str">
        <x:v>kw-it; discover-it</x:v>
      </x:c>
      <x:c r="F126" s="9" t="str">
        <x:v>PROPOSED</x:v>
      </x:c>
    </x:row>
    <x:row r="127" ht="48" customHeight="1">
      <x:c r="A127" s="8" t="str">
        <x:v>B06</x:v>
      </x:c>
      <x:c r="B127" s="10" t="str">
        <x:v>https://naxos-carrentals.com/it/locations/port-pickup</x:v>
      </x:c>
      <x:c r="C127" s="8" t="str">
        <x:v>Internal links out</x:v>
      </x:c>
      <x:c r="D127" s="8" t="str">
        <x:v>https://naxos-carrentals.com/it/fleet/cars
https://naxos-carrentals.com/it/insurance
https://naxos-carrentals.com/it/terms
https://naxos-carrentals.com/it/locations</x:v>
      </x:c>
      <x:c r="E127" s="8" t="str">
        <x:v>kw-it; discover-it</x:v>
      </x:c>
      <x:c r="F127" s="8" t="str">
        <x:v>PROPOSED</x:v>
      </x:c>
    </x:row>
    <x:row r="128" ht="48" customHeight="1">
      <x:c r="A128" s="9" t="str">
        <x:v>B06</x:v>
      </x:c>
      <x:c r="B128" s="11" t="str">
        <x:v>https://naxos-carrentals.com/it/locations/port-pickup</x:v>
      </x:c>
      <x:c r="C128" s="9" t="str">
        <x:v>Competitor / citation context</x:v>
      </x:c>
      <x:c r="D128" s="9" t="str">
        <x:v>Relevant local specialists and marketplace page formats in SERP Samples</x:v>
      </x:c>
      <x:c r="E128" s="9" t="str">
        <x:v>kw-it; discover-it</x:v>
      </x:c>
      <x:c r="F128" s="9" t="str">
        <x:v>PROPOSED</x:v>
      </x:c>
    </x:row>
    <x:row r="129" ht="48" customHeight="1">
      <x:c r="A129" s="8" t="str">
        <x:v>B06</x:v>
      </x:c>
      <x:c r="B129" s="10" t="str">
        <x:v>https://naxos-carrentals.com/it/locations/port-pickup</x:v>
      </x:c>
      <x:c r="C129" s="8" t="str">
        <x:v>Differentiation</x:v>
      </x:c>
      <x:c r="D129" s="8" t="str">
        <x:v>Italian demand150/month and an existing dedicated route</x:v>
      </x:c>
      <x:c r="E129" s="8" t="str">
        <x:v>kw-it; discover-it</x:v>
      </x:c>
      <x:c r="F129" s="8" t="str">
        <x:v>PROPOSED</x:v>
      </x:c>
    </x:row>
    <x:row r="130" ht="48" customHeight="1">
      <x:c r="A130" s="9" t="str">
        <x:v>B06</x:v>
      </x:c>
      <x:c r="B130" s="11" t="str">
        <x:v>https://naxos-carrentals.com/it/locations/port-pickup</x:v>
      </x:c>
      <x:c r="C130" s="9" t="str">
        <x:v>Acceptance</x:v>
      </x:c>
      <x:c r="D130" s="9" t="str">
        <x:v>One clear H1; valid self-canonical and five-language hreflang; native review; no invented claims; current route200; mobile booking link; no duplicate owner page; visible text matches schema.</x:v>
      </x:c>
      <x:c r="E130" s="9" t="str">
        <x:v>kw-it; discover-it</x:v>
      </x:c>
      <x:c r="F130" s="9" t="str">
        <x:v>PROPOSED</x:v>
      </x:c>
    </x:row>
    <x:row r="131" ht="48" customHeight="1">
      <x:c r="A131" s="8" t="str">
        <x:v>B07</x:v>
      </x:c>
      <x:c r="B131" s="10" t="str">
        <x:v>https://naxos-carrentals.com/de</x:v>
      </x:c>
      <x:c r="C131" s="8" t="str">
        <x:v>Cluster</x:v>
      </x:c>
      <x:c r="D131" s="8" t="str">
        <x:v>C-de-core</x:v>
      </x:c>
      <x:c r="E131" s="8" t="str">
        <x:v>kw-de; serp-DE</x:v>
      </x:c>
      <x:c r="F131" s="8" t="str">
        <x:v>PROPOSED</x:v>
      </x:c>
    </x:row>
    <x:row r="132" ht="48" customHeight="1">
      <x:c r="A132" s="9" t="str">
        <x:v>B07</x:v>
      </x:c>
      <x:c r="B132" s="11" t="str">
        <x:v>https://naxos-carrentals.com/de</x:v>
      </x:c>
      <x:c r="C132" s="9" t="str">
        <x:v>Purpose and conversion</x:v>
      </x:c>
      <x:c r="D132" s="9" t="str">
        <x:v>Choose and book a car. Primary conversion: qualified booking-engine handoff, then confirmed booking when provider reporting is connected.</x:v>
      </x:c>
      <x:c r="E132" s="9" t="str">
        <x:v>kw-de; serp-DE</x:v>
      </x:c>
      <x:c r="F132" s="9" t="str">
        <x:v>PROPOSED</x:v>
      </x:c>
    </x:row>
    <x:row r="133" ht="48" customHeight="1">
      <x:c r="A133" s="8" t="str">
        <x:v>B07</x:v>
      </x:c>
      <x:c r="B133" s="10" t="str">
        <x:v>https://naxos-carrentals.com/de</x:v>
      </x:c>
      <x:c r="C133" s="8" t="str">
        <x:v>Action</x:v>
      </x:c>
      <x:c r="D133" s="8" t="str">
        <x:v>OPTIMIZE existing route; proposed editorial brief. Local redesign implements parts, not every evidence asset.</x:v>
      </x:c>
      <x:c r="E133" s="8" t="str">
        <x:v>kw-de; serp-DE</x:v>
      </x:c>
      <x:c r="F133" s="8" t="str">
        <x:v>PROPOSED</x:v>
      </x:c>
    </x:row>
    <x:row r="134" ht="48" customHeight="1">
      <x:c r="A134" s="9" t="str">
        <x:v>B07</x:v>
      </x:c>
      <x:c r="B134" s="11" t="str">
        <x:v>https://naxos-carrentals.com/de</x:v>
      </x:c>
      <x:c r="C134" s="9" t="str">
        <x:v>Market and language</x:v>
      </x:c>
      <x:c r="D134" s="9" t="str">
        <x:v>DE; German</x:v>
      </x:c>
      <x:c r="E134" s="9" t="str">
        <x:v>kw-de; serp-DE</x:v>
      </x:c>
      <x:c r="F134" s="9" t="str">
        <x:v>PROPOSED</x:v>
      </x:c>
    </x:row>
    <x:row r="135" ht="48" customHeight="1">
      <x:c r="A135" s="8" t="str">
        <x:v>B07</x:v>
      </x:c>
      <x:c r="B135" s="10" t="str">
        <x:v>https://naxos-carrentals.com/de</x:v>
      </x:c>
      <x:c r="C135" s="8" t="str">
        <x:v>Primary keyword</x:v>
      </x:c>
      <x:c r="D135" s="8" t="str">
        <x:v>mietwagen naxos</x:v>
      </x:c>
      <x:c r="E135" s="8" t="str">
        <x:v>kw-de; serp-DE</x:v>
      </x:c>
      <x:c r="F135" s="8" t="str">
        <x:v>PROPOSED</x:v>
      </x:c>
    </x:row>
    <x:row r="136" ht="48" customHeight="1">
      <x:c r="A136" s="9" t="str">
        <x:v>B07</x:v>
      </x:c>
      <x:c r="B136" s="11" t="str">
        <x:v>https://naxos-carrentals.com/de</x:v>
      </x:c>
      <x:c r="C136" s="9" t="str">
        <x:v>Intent and format</x:v>
      </x:c>
      <x:c r="D136" s="9" t="str">
        <x:v>Commercial decision page supported by visible evidence</x:v>
      </x:c>
      <x:c r="E136" s="9" t="str">
        <x:v>kw-de; serp-DE</x:v>
      </x:c>
      <x:c r="F136" s="9" t="str">
        <x:v>PROPOSED</x:v>
      </x:c>
    </x:row>
    <x:row r="137" ht="48" customHeight="1">
      <x:c r="A137" s="8" t="str">
        <x:v>B07</x:v>
      </x:c>
      <x:c r="B137" s="10" t="str">
        <x:v>https://naxos-carrentals.com/de</x:v>
      </x:c>
      <x:c r="C137" s="8" t="str">
        <x:v>Title tag</x:v>
      </x:c>
      <x:c r="D137" s="8" t="str">
        <x:v>Mietwagen Naxos | Fast Motor Rental</x:v>
      </x:c>
      <x:c r="E137" s="8" t="str">
        <x:v>kw-de; serp-DE</x:v>
      </x:c>
      <x:c r="F137" s="8" t="str">
        <x:v>PROPOSED</x:v>
      </x:c>
    </x:row>
    <x:row r="138" ht="48" customHeight="1">
      <x:c r="A138" s="9" t="str">
        <x:v>B07</x:v>
      </x:c>
      <x:c r="B138" s="11" t="str">
        <x:v>https://naxos-carrentals.com/de</x:v>
      </x:c>
      <x:c r="C138" s="9" t="str">
        <x:v>H1</x:v>
      </x:c>
      <x:c r="D138" s="9" t="str">
        <x:v>Dein Mietwagen auf Naxos</x:v>
      </x:c>
      <x:c r="E138" s="9" t="str">
        <x:v>kw-de; serp-DE</x:v>
      </x:c>
      <x:c r="F138" s="9" t="str">
        <x:v>PROPOSED</x:v>
      </x:c>
    </x:row>
    <x:row r="139" ht="48" customHeight="1">
      <x:c r="A139" s="8" t="str">
        <x:v>B07</x:v>
      </x:c>
      <x:c r="B139" s="10" t="str">
        <x:v>https://naxos-carrentals.com/de</x:v>
      </x:c>
      <x:c r="C139" s="8" t="str">
        <x:v>Meta description</x:v>
      </x:c>
      <x:c r="D139" s="8" t="str">
        <x:v>Vergleiche Autos, Getriebe und Gepäckraum. Plane die Abholung am Hafen oder Flughafen und prüfe die Verfügbarkeit für deine Reisedaten.</x:v>
      </x:c>
      <x:c r="E139" s="8" t="str">
        <x:v>kw-de; serp-DE</x:v>
      </x:c>
      <x:c r="F139" s="8" t="str">
        <x:v>PROPOSED</x:v>
      </x:c>
    </x:row>
    <x:row r="140" ht="48" customHeight="1">
      <x:c r="A140" s="9" t="str">
        <x:v>B07</x:v>
      </x:c>
      <x:c r="B140" s="11" t="str">
        <x:v>https://naxos-carrentals.com/de</x:v>
      </x:c>
      <x:c r="C140" s="9" t="str">
        <x:v>H2/H3 structure</x:v>
      </x:c>
      <x:c r="D140" s="9" t="str">
        <x:v>Abholung planen; Passendes Auto; Kosten und Bedingungen; Lokales Team; Reisetipps</x:v>
      </x:c>
      <x:c r="E140" s="9" t="str">
        <x:v>kw-de; serp-DE</x:v>
      </x:c>
      <x:c r="F140" s="9" t="str">
        <x:v>PROPOSED</x:v>
      </x:c>
    </x:row>
    <x:row r="141" ht="48" customHeight="1">
      <x:c r="A141" s="8" t="str">
        <x:v>B07</x:v>
      </x:c>
      <x:c r="B141" s="10" t="str">
        <x:v>https://naxos-carrentals.com/de</x:v>
      </x:c>
      <x:c r="C141" s="8" t="str">
        <x:v>Questions and comparisons</x:v>
      </x:c>
      <x:c r="D141" s="8" t="str">
        <x:v>Cover, excess, real car class and collection</x:v>
      </x:c>
      <x:c r="E141" s="8" t="str">
        <x:v>kw-de; serp-DE</x:v>
      </x:c>
      <x:c r="F141" s="8" t="str">
        <x:v>PROPOSED</x:v>
      </x:c>
    </x:row>
    <x:row r="142" ht="48" customHeight="1">
      <x:c r="A142" s="9" t="str">
        <x:v>B07</x:v>
      </x:c>
      <x:c r="B142" s="11" t="str">
        <x:v>https://naxos-carrentals.com/de</x:v>
      </x:c>
      <x:c r="C142" s="9" t="str">
        <x:v>Original evidence</x:v>
      </x:c>
      <x:c r="D142" s="9" t="str">
        <x:v>Actual operator details, genuine imagery, current inventory and date-stamped local advice</x:v>
      </x:c>
      <x:c r="E142" s="9" t="str">
        <x:v>kw-de; serp-DE</x:v>
      </x:c>
      <x:c r="F142" s="9" t="str">
        <x:v>PROPOSED</x:v>
      </x:c>
    </x:row>
    <x:row r="143" ht="48" customHeight="1">
      <x:c r="A143" s="8" t="str">
        <x:v>B07</x:v>
      </x:c>
      <x:c r="B143" s="10" t="str">
        <x:v>https://naxos-carrentals.com/de</x:v>
      </x:c>
      <x:c r="C143" s="8" t="str">
        <x:v>Claims needing verification</x:v>
      </x:c>
      <x:c r="D143" s="8" t="str">
        <x:v>Exact prices, inclusions, deposits, delivery promises, opening hours, reviews and provider availability. Legal/insurance wording requires qualified owner review.</x:v>
      </x:c>
      <x:c r="E143" s="8" t="str">
        <x:v>kw-de; serp-DE</x:v>
      </x:c>
      <x:c r="F143" s="8" t="str">
        <x:v>PROPOSED</x:v>
      </x:c>
    </x:row>
    <x:row r="144" ht="48" customHeight="1">
      <x:c r="A144" s="9" t="str">
        <x:v>B07</x:v>
      </x:c>
      <x:c r="B144" s="11" t="str">
        <x:v>https://naxos-carrentals.com/de</x:v>
      </x:c>
      <x:c r="C144" s="9" t="str">
        <x:v>Images/video</x:v>
      </x:c>
      <x:c r="D144" s="9" t="str">
        <x:v>Actual fleet and Naxos photography. No stock vehicle used as proof of an unavailable model.</x:v>
      </x:c>
      <x:c r="E144" s="9" t="str">
        <x:v>kw-de; serp-DE</x:v>
      </x:c>
      <x:c r="F144" s="9" t="str">
        <x:v>PROPOSED</x:v>
      </x:c>
    </x:row>
    <x:row r="145" ht="48" customHeight="1">
      <x:c r="A145" s="8" t="str">
        <x:v>B07</x:v>
      </x:c>
      <x:c r="B145" s="10" t="str">
        <x:v>https://naxos-carrentals.com/de</x:v>
      </x:c>
      <x:c r="C145" s="8" t="str">
        <x:v>Structured data</x:v>
      </x:c>
      <x:c r="D145" s="8" t="str">
        <x:v>BreadcrumbList and accurate existing business identity. ItemList where a real visible list exists. FAQ markup only for visible Q&amp;A; no rich-result or AI guarantee.</x:v>
      </x:c>
      <x:c r="E145" s="8" t="str">
        <x:v>kw-de; serp-DE</x:v>
      </x:c>
      <x:c r="F145" s="8" t="str">
        <x:v>PROPOSED</x:v>
      </x:c>
    </x:row>
    <x:row r="146" ht="48" customHeight="1">
      <x:c r="A146" s="9" t="str">
        <x:v>B07</x:v>
      </x:c>
      <x:c r="B146" s="11" t="str">
        <x:v>https://naxos-carrentals.com/de</x:v>
      </x:c>
      <x:c r="C146" s="9" t="str">
        <x:v>CTA</x:v>
      </x:c>
      <x:c r="D146" s="9" t="str">
        <x:v>Check availability for dates; ask a specific pickup/policy question</x:v>
      </x:c>
      <x:c r="E146" s="9" t="str">
        <x:v>kw-de; serp-DE</x:v>
      </x:c>
      <x:c r="F146" s="9" t="str">
        <x:v>PROPOSED</x:v>
      </x:c>
    </x:row>
    <x:row r="147" ht="48" customHeight="1">
      <x:c r="A147" s="8" t="str">
        <x:v>B07</x:v>
      </x:c>
      <x:c r="B147" s="10" t="str">
        <x:v>https://naxos-carrentals.com/de</x:v>
      </x:c>
      <x:c r="C147" s="8" t="str">
        <x:v>Internal links in</x:v>
      </x:c>
      <x:c r="D147" s="8" t="str">
        <x:v>Homepage and relevant guide hub in German</x:v>
      </x:c>
      <x:c r="E147" s="8" t="str">
        <x:v>kw-de; serp-DE</x:v>
      </x:c>
      <x:c r="F147" s="8" t="str">
        <x:v>PROPOSED</x:v>
      </x:c>
    </x:row>
    <x:row r="148" ht="48" customHeight="1">
      <x:c r="A148" s="9" t="str">
        <x:v>B07</x:v>
      </x:c>
      <x:c r="B148" s="11" t="str">
        <x:v>https://naxos-carrentals.com/de</x:v>
      </x:c>
      <x:c r="C148" s="9" t="str">
        <x:v>Internal links out</x:v>
      </x:c>
      <x:c r="D148" s="9" t="str">
        <x:v>https://naxos-carrentals.com/de/fleet/cars
https://naxos-carrentals.com/de/insurance
https://naxos-carrentals.com/de/terms
https://naxos-carrentals.com/de/locations</x:v>
      </x:c>
      <x:c r="E148" s="9" t="str">
        <x:v>kw-de; serp-DE</x:v>
      </x:c>
      <x:c r="F148" s="9" t="str">
        <x:v>PROPOSED</x:v>
      </x:c>
    </x:row>
    <x:row r="149" ht="48" customHeight="1">
      <x:c r="A149" s="8" t="str">
        <x:v>B07</x:v>
      </x:c>
      <x:c r="B149" s="10" t="str">
        <x:v>https://naxos-carrentals.com/de</x:v>
      </x:c>
      <x:c r="C149" s="8" t="str">
        <x:v>Competitor / citation context</x:v>
      </x:c>
      <x:c r="D149" s="8" t="str">
        <x:v>DE sample: Sunny Cars, CHECK24, Europcar and Hertz</x:v>
      </x:c>
      <x:c r="E149" s="8" t="str">
        <x:v>kw-de; serp-DE</x:v>
      </x:c>
      <x:c r="F149" s="8" t="str">
        <x:v>PROPOSED</x:v>
      </x:c>
    </x:row>
    <x:row r="150" ht="48" customHeight="1">
      <x:c r="A150" s="9" t="str">
        <x:v>B07</x:v>
      </x:c>
      <x:c r="B150" s="11" t="str">
        <x:v>https://naxos-carrentals.com/de</x:v>
      </x:c>
      <x:c r="C150" s="9" t="str">
        <x:v>Differentiation</x:v>
      </x:c>
      <x:c r="D150" s="9" t="str">
        <x:v>Clear direct-operator alternative in a SERP dominated by intermediaries</x:v>
      </x:c>
      <x:c r="E150" s="9" t="str">
        <x:v>kw-de; serp-DE</x:v>
      </x:c>
      <x:c r="F150" s="9" t="str">
        <x:v>PROPOSED</x:v>
      </x:c>
    </x:row>
    <x:row r="151" ht="48" customHeight="1">
      <x:c r="A151" s="8" t="str">
        <x:v>B07</x:v>
      </x:c>
      <x:c r="B151" s="10" t="str">
        <x:v>https://naxos-carrentals.com/de</x:v>
      </x:c>
      <x:c r="C151" s="8" t="str">
        <x:v>Acceptance</x:v>
      </x:c>
      <x:c r="D151" s="8" t="str">
        <x:v>One clear H1; valid self-canonical and five-language hreflang; native review; no invented claims; current route200; mobile booking link; no duplicate owner page; visible text matches schema.</x:v>
      </x:c>
      <x:c r="E151" s="8" t="str">
        <x:v>kw-de; serp-DE</x:v>
      </x:c>
      <x:c r="F151" s="8" t="str">
        <x:v>PROPOSED</x:v>
      </x:c>
    </x:row>
    <x:row r="152" ht="48" customHeight="1">
      <x:c r="A152" s="9" t="str">
        <x:v>B08</x:v>
      </x:c>
      <x:c r="B152" s="11" t="str">
        <x:v>https://naxos-carrentals.com/en/fleet/collections/automatic</x:v>
      </x:c>
      <x:c r="C152" s="9" t="str">
        <x:v>Cluster</x:v>
      </x:c>
      <x:c r="D152" s="9" t="str">
        <x:v>C-en-automatic</x:v>
      </x:c>
      <x:c r="E152" s="9" t="str">
        <x:v>kw-gb; kw-us; SRC-REPO</x:v>
      </x:c>
      <x:c r="F152" s="9" t="str">
        <x:v>PROPOSED</x:v>
      </x:c>
    </x:row>
    <x:row r="153" ht="48" customHeight="1">
      <x:c r="A153" s="8" t="str">
        <x:v>B08</x:v>
      </x:c>
      <x:c r="B153" s="10" t="str">
        <x:v>https://naxos-carrentals.com/en/fleet/collections/automatic</x:v>
      </x:c>
      <x:c r="C153" s="8" t="str">
        <x:v>Purpose and conversion</x:v>
      </x:c>
      <x:c r="D153" s="8" t="str">
        <x:v>Choose an automatic car. Primary conversion: qualified booking-engine handoff, then confirmed booking when provider reporting is connected.</x:v>
      </x:c>
      <x:c r="E153" s="8" t="str">
        <x:v>kw-gb; kw-us; SRC-REPO</x:v>
      </x:c>
      <x:c r="F153" s="8" t="str">
        <x:v>PROPOSED</x:v>
      </x:c>
    </x:row>
    <x:row r="154" ht="48" customHeight="1">
      <x:c r="A154" s="9" t="str">
        <x:v>B08</x:v>
      </x:c>
      <x:c r="B154" s="11" t="str">
        <x:v>https://naxos-carrentals.com/en/fleet/collections/automatic</x:v>
      </x:c>
      <x:c r="C154" s="9" t="str">
        <x:v>Action</x:v>
      </x:c>
      <x:c r="D154" s="9" t="str">
        <x:v>OPTIMIZE existing route; proposed editorial brief. Local redesign implements parts, not every evidence asset.</x:v>
      </x:c>
      <x:c r="E154" s="9" t="str">
        <x:v>kw-gb; kw-us; SRC-REPO</x:v>
      </x:c>
      <x:c r="F154" s="9" t="str">
        <x:v>PROPOSED</x:v>
      </x:c>
    </x:row>
    <x:row r="155" ht="48" customHeight="1">
      <x:c r="A155" s="8" t="str">
        <x:v>B08</x:v>
      </x:c>
      <x:c r="B155" s="10" t="str">
        <x:v>https://naxos-carrentals.com/en/fleet/collections/automatic</x:v>
      </x:c>
      <x:c r="C155" s="8" t="str">
        <x:v>Market and language</x:v>
      </x:c>
      <x:c r="D155" s="8" t="str">
        <x:v>GB, US; English</x:v>
      </x:c>
      <x:c r="E155" s="8" t="str">
        <x:v>kw-gb; kw-us; SRC-REPO</x:v>
      </x:c>
      <x:c r="F155" s="8" t="str">
        <x:v>PROPOSED</x:v>
      </x:c>
    </x:row>
    <x:row r="156" ht="48" customHeight="1">
      <x:c r="A156" s="9" t="str">
        <x:v>B08</x:v>
      </x:c>
      <x:c r="B156" s="11" t="str">
        <x:v>https://naxos-carrentals.com/en/fleet/collections/automatic</x:v>
      </x:c>
      <x:c r="C156" s="9" t="str">
        <x:v>Primary keyword</x:v>
      </x:c>
      <x:c r="D156" s="9" t="str">
        <x:v>automatic car hire naxos</x:v>
      </x:c>
      <x:c r="E156" s="9" t="str">
        <x:v>kw-gb; kw-us; SRC-REPO</x:v>
      </x:c>
      <x:c r="F156" s="9" t="str">
        <x:v>PROPOSED</x:v>
      </x:c>
    </x:row>
    <x:row r="157" ht="48" customHeight="1">
      <x:c r="A157" s="8" t="str">
        <x:v>B08</x:v>
      </x:c>
      <x:c r="B157" s="10" t="str">
        <x:v>https://naxos-carrentals.com/en/fleet/collections/automatic</x:v>
      </x:c>
      <x:c r="C157" s="8" t="str">
        <x:v>Intent and format</x:v>
      </x:c>
      <x:c r="D157" s="8" t="str">
        <x:v>Commercial decision page supported by visible evidence</x:v>
      </x:c>
      <x:c r="E157" s="8" t="str">
        <x:v>kw-gb; kw-us; SRC-REPO</x:v>
      </x:c>
      <x:c r="F157" s="8" t="str">
        <x:v>PROPOSED</x:v>
      </x:c>
    </x:row>
    <x:row r="158" ht="48" customHeight="1">
      <x:c r="A158" s="9" t="str">
        <x:v>B08</x:v>
      </x:c>
      <x:c r="B158" s="11" t="str">
        <x:v>https://naxos-carrentals.com/en/fleet/collections/automatic</x:v>
      </x:c>
      <x:c r="C158" s="9" t="str">
        <x:v>Title tag</x:v>
      </x:c>
      <x:c r="D158" s="9" t="str">
        <x:v>Automatic Car Rental Naxos | Compare Our Cars</x:v>
      </x:c>
      <x:c r="E158" s="9" t="str">
        <x:v>kw-gb; kw-us; SRC-REPO</x:v>
      </x:c>
      <x:c r="F158" s="9" t="str">
        <x:v>PROPOSED</x:v>
      </x:c>
    </x:row>
    <x:row r="159" ht="48" customHeight="1">
      <x:c r="A159" s="8" t="str">
        <x:v>B08</x:v>
      </x:c>
      <x:c r="B159" s="10" t="str">
        <x:v>https://naxos-carrentals.com/en/fleet/collections/automatic</x:v>
      </x:c>
      <x:c r="C159" s="8" t="str">
        <x:v>H1</x:v>
      </x:c>
      <x:c r="D159" s="8" t="str">
        <x:v>Find your automatic car in Naxos</x:v>
      </x:c>
      <x:c r="E159" s="8" t="str">
        <x:v>kw-gb; kw-us; SRC-REPO</x:v>
      </x:c>
      <x:c r="F159" s="8" t="str">
        <x:v>PROPOSED</x:v>
      </x:c>
    </x:row>
    <x:row r="160" ht="48" customHeight="1">
      <x:c r="A160" s="9" t="str">
        <x:v>B08</x:v>
      </x:c>
      <x:c r="B160" s="11" t="str">
        <x:v>https://naxos-carrentals.com/en/fleet/collections/automatic</x:v>
      </x:c>
      <x:c r="C160" s="9" t="str">
        <x:v>Meta description</x:v>
      </x:c>
      <x:c r="D160" s="9" t="str">
        <x:v>Compare automatic cars by seats and luggage capacity. Check availability for your Naxos dates and confirm your pickup point.</x:v>
      </x:c>
      <x:c r="E160" s="9" t="str">
        <x:v>kw-gb; kw-us; SRC-REPO</x:v>
      </x:c>
      <x:c r="F160" s="9" t="str">
        <x:v>PROPOSED</x:v>
      </x:c>
    </x:row>
    <x:row r="161" ht="48" customHeight="1">
      <x:c r="A161" s="8" t="str">
        <x:v>B08</x:v>
      </x:c>
      <x:c r="B161" s="10" t="str">
        <x:v>https://naxos-carrentals.com/en/fleet/collections/automatic</x:v>
      </x:c>
      <x:c r="C161" s="8" t="str">
        <x:v>H2/H3 structure</x:v>
      </x:c>
      <x:c r="D161" s="8" t="str">
        <x:v>Available groups; Seats and luggage; Automatic versus manual; Confirm your booking</x:v>
      </x:c>
      <x:c r="E161" s="8" t="str">
        <x:v>kw-gb; kw-us; SRC-REPO</x:v>
      </x:c>
      <x:c r="F161" s="8" t="str">
        <x:v>PROPOSED</x:v>
      </x:c>
    </x:row>
    <x:row r="162" ht="48" customHeight="1">
      <x:c r="A162" s="9" t="str">
        <x:v>B08</x:v>
      </x:c>
      <x:c r="B162" s="11" t="str">
        <x:v>https://naxos-carrentals.com/en/fleet/collections/automatic</x:v>
      </x:c>
      <x:c r="C162" s="9" t="str">
        <x:v>Questions and comparisons</x:v>
      </x:c>
      <x:c r="D162" s="9" t="str">
        <x:v>Is the exact model guaranteed? Are all SUVs automatic?</x:v>
      </x:c>
      <x:c r="E162" s="9" t="str">
        <x:v>kw-gb; kw-us; SRC-REPO</x:v>
      </x:c>
      <x:c r="F162" s="9" t="str">
        <x:v>PROPOSED</x:v>
      </x:c>
    </x:row>
    <x:row r="163" ht="48" customHeight="1">
      <x:c r="A163" s="8" t="str">
        <x:v>B08</x:v>
      </x:c>
      <x:c r="B163" s="10" t="str">
        <x:v>https://naxos-carrentals.com/en/fleet/collections/automatic</x:v>
      </x:c>
      <x:c r="C163" s="8" t="str">
        <x:v>Original evidence</x:v>
      </x:c>
      <x:c r="D163" s="8" t="str">
        <x:v>Current bookable groups, actual transmission and luggage measurements/photos</x:v>
      </x:c>
      <x:c r="E163" s="8" t="str">
        <x:v>kw-gb; kw-us; SRC-REPO</x:v>
      </x:c>
      <x:c r="F163" s="8" t="str">
        <x:v>PROPOSED</x:v>
      </x:c>
    </x:row>
    <x:row r="164" ht="48" customHeight="1">
      <x:c r="A164" s="9" t="str">
        <x:v>B08</x:v>
      </x:c>
      <x:c r="B164" s="11" t="str">
        <x:v>https://naxos-carrentals.com/en/fleet/collections/automatic</x:v>
      </x:c>
      <x:c r="C164" s="9" t="str">
        <x:v>Claims needing verification</x:v>
      </x:c>
      <x:c r="D164" s="9" t="str">
        <x:v>Exact prices, inclusions, deposits, delivery promises, opening hours, reviews and provider availability. Legal/insurance wording requires qualified owner review.</x:v>
      </x:c>
      <x:c r="E164" s="9" t="str">
        <x:v>kw-gb; kw-us; SRC-REPO</x:v>
      </x:c>
      <x:c r="F164" s="9" t="str">
        <x:v>PROPOSED</x:v>
      </x:c>
    </x:row>
    <x:row r="165" ht="48" customHeight="1">
      <x:c r="A165" s="8" t="str">
        <x:v>B08</x:v>
      </x:c>
      <x:c r="B165" s="10" t="str">
        <x:v>https://naxos-carrentals.com/en/fleet/collections/automatic</x:v>
      </x:c>
      <x:c r="C165" s="8" t="str">
        <x:v>Images/video</x:v>
      </x:c>
      <x:c r="D165" s="8" t="str">
        <x:v>Actual fleet and Naxos photography. No stock vehicle used as proof of an unavailable model.</x:v>
      </x:c>
      <x:c r="E165" s="8" t="str">
        <x:v>kw-gb; kw-us; SRC-REPO</x:v>
      </x:c>
      <x:c r="F165" s="8" t="str">
        <x:v>PROPOSED</x:v>
      </x:c>
    </x:row>
    <x:row r="166" ht="48" customHeight="1">
      <x:c r="A166" s="9" t="str">
        <x:v>B08</x:v>
      </x:c>
      <x:c r="B166" s="11" t="str">
        <x:v>https://naxos-carrentals.com/en/fleet/collections/automatic</x:v>
      </x:c>
      <x:c r="C166" s="9" t="str">
        <x:v>Structured data</x:v>
      </x:c>
      <x:c r="D166" s="9" t="str">
        <x:v>BreadcrumbList and accurate existing business identity. ItemList where a real visible list exists. FAQ markup only for visible Q&amp;A; no rich-result or AI guarantee.</x:v>
      </x:c>
      <x:c r="E166" s="9" t="str">
        <x:v>kw-gb; kw-us; SRC-REPO</x:v>
      </x:c>
      <x:c r="F166" s="9" t="str">
        <x:v>PROPOSED</x:v>
      </x:c>
    </x:row>
    <x:row r="167" ht="48" customHeight="1">
      <x:c r="A167" s="8" t="str">
        <x:v>B08</x:v>
      </x:c>
      <x:c r="B167" s="10" t="str">
        <x:v>https://naxos-carrentals.com/en/fleet/collections/automatic</x:v>
      </x:c>
      <x:c r="C167" s="8" t="str">
        <x:v>CTA</x:v>
      </x:c>
      <x:c r="D167" s="8" t="str">
        <x:v>Check availability for dates; ask a specific pickup/policy question</x:v>
      </x:c>
      <x:c r="E167" s="8" t="str">
        <x:v>kw-gb; kw-us; SRC-REPO</x:v>
      </x:c>
      <x:c r="F167" s="8" t="str">
        <x:v>PROPOSED</x:v>
      </x:c>
    </x:row>
    <x:row r="168" ht="48" customHeight="1">
      <x:c r="A168" s="9" t="str">
        <x:v>B08</x:v>
      </x:c>
      <x:c r="B168" s="11" t="str">
        <x:v>https://naxos-carrentals.com/en/fleet/collections/automatic</x:v>
      </x:c>
      <x:c r="C168" s="9" t="str">
        <x:v>Internal links in</x:v>
      </x:c>
      <x:c r="D168" s="9" t="str">
        <x:v>Homepage and relevant guide hub in English</x:v>
      </x:c>
      <x:c r="E168" s="9" t="str">
        <x:v>kw-gb; kw-us; SRC-REPO</x:v>
      </x:c>
      <x:c r="F168" s="9" t="str">
        <x:v>PROPOSED</x:v>
      </x:c>
    </x:row>
    <x:row r="169" ht="48" customHeight="1">
      <x:c r="A169" s="8" t="str">
        <x:v>B08</x:v>
      </x:c>
      <x:c r="B169" s="10" t="str">
        <x:v>https://naxos-carrentals.com/en/fleet/collections/automatic</x:v>
      </x:c>
      <x:c r="C169" s="8" t="str">
        <x:v>Internal links out</x:v>
      </x:c>
      <x:c r="D169" s="8" t="str">
        <x:v>https://naxos-carrentals.com/en/fleet/cars
https://naxos-carrentals.com/en/insurance
https://naxos-carrentals.com/en/terms
https://naxos-carrentals.com/en/locations</x:v>
      </x:c>
      <x:c r="E169" s="8" t="str">
        <x:v>kw-gb; kw-us; SRC-REPO</x:v>
      </x:c>
      <x:c r="F169" s="8" t="str">
        <x:v>PROPOSED</x:v>
      </x:c>
    </x:row>
    <x:row r="170" ht="48" customHeight="1">
      <x:c r="A170" s="9" t="str">
        <x:v>B08</x:v>
      </x:c>
      <x:c r="B170" s="11" t="str">
        <x:v>https://naxos-carrentals.com/en/fleet/collections/automatic</x:v>
      </x:c>
      <x:c r="C170" s="9" t="str">
        <x:v>Competitor / citation context</x:v>
      </x:c>
      <x:c r="D170" s="9" t="str">
        <x:v>Relevant local specialists and marketplace page formats in SERP Samples</x:v>
      </x:c>
      <x:c r="E170" s="9" t="str">
        <x:v>kw-gb; kw-us; SRC-REPO</x:v>
      </x:c>
      <x:c r="F170" s="9" t="str">
        <x:v>PROPOSED</x:v>
      </x:c>
    </x:row>
    <x:row r="171" ht="48" customHeight="1">
      <x:c r="A171" s="8" t="str">
        <x:v>B08</x:v>
      </x:c>
      <x:c r="B171" s="10" t="str">
        <x:v>https://naxos-carrentals.com/en/fleet/collections/automatic</x:v>
      </x:c>
      <x:c r="C171" s="8" t="str">
        <x:v>Differentiation</x:v>
      </x:c>
      <x:c r="D171" s="8" t="str">
        <x:v>Zero returned phrase volume does not remove a real inventory selection need</x:v>
      </x:c>
      <x:c r="E171" s="8" t="str">
        <x:v>kw-gb; kw-us; SRC-REPO</x:v>
      </x:c>
      <x:c r="F171" s="8" t="str">
        <x:v>PROPOSED</x:v>
      </x:c>
    </x:row>
    <x:row r="172" ht="48" customHeight="1">
      <x:c r="A172" s="9" t="str">
        <x:v>B08</x:v>
      </x:c>
      <x:c r="B172" s="11" t="str">
        <x:v>https://naxos-carrentals.com/en/fleet/collections/automatic</x:v>
      </x:c>
      <x:c r="C172" s="9" t="str">
        <x:v>Acceptance</x:v>
      </x:c>
      <x:c r="D172" s="9" t="str">
        <x:v>One clear H1; valid self-canonical and five-language hreflang; native review; no invented claims; current route200; mobile booking link; no duplicate owner page; visible text matches schema.</x:v>
      </x:c>
      <x:c r="E172" s="9" t="str">
        <x:v>kw-gb; kw-us; SRC-REPO</x:v>
      </x:c>
      <x:c r="F172" s="9" t="str">
        <x:v>PROPOSED</x:v>
      </x:c>
    </x:row>
    <x:row r="173" ht="48" customHeight="1">
      <x:c r="A173" s="8" t="str">
        <x:v>B09</x:v>
      </x:c>
      <x:c r="B173" s="10" t="str">
        <x:v>https://naxos-carrentals.com/en/guides/do-you-need-a-car-in-naxos</x:v>
      </x:c>
      <x:c r="C173" s="8" t="str">
        <x:v>Cluster</x:v>
      </x:c>
      <x:c r="D173" s="8" t="str">
        <x:v>C-en-need-car</x:v>
      </x:c>
      <x:c r="E173" s="8" t="str">
        <x:v>kw-gb; kw-us; serp-GB</x:v>
      </x:c>
      <x:c r="F173" s="8" t="str">
        <x:v>PROPOSED</x:v>
      </x:c>
    </x:row>
    <x:row r="174" ht="48" customHeight="1">
      <x:c r="A174" s="9" t="str">
        <x:v>B09</x:v>
      </x:c>
      <x:c r="B174" s="11" t="str">
        <x:v>https://naxos-carrentals.com/en/guides/do-you-need-a-car-in-naxos</x:v>
      </x:c>
      <x:c r="C174" s="9" t="str">
        <x:v>Purpose and conversion</x:v>
      </x:c>
      <x:c r="D174" s="9" t="str">
        <x:v>Decide whether to rent a car. Primary conversion: qualified booking-engine handoff, then confirmed booking when provider reporting is connected.</x:v>
      </x:c>
      <x:c r="E174" s="9" t="str">
        <x:v>kw-gb; kw-us; serp-GB</x:v>
      </x:c>
      <x:c r="F174" s="9" t="str">
        <x:v>PROPOSED</x:v>
      </x:c>
    </x:row>
    <x:row r="175" ht="48" customHeight="1">
      <x:c r="A175" s="8" t="str">
        <x:v>B09</x:v>
      </x:c>
      <x:c r="B175" s="10" t="str">
        <x:v>https://naxos-carrentals.com/en/guides/do-you-need-a-car-in-naxos</x:v>
      </x:c>
      <x:c r="C175" s="8" t="str">
        <x:v>Action</x:v>
      </x:c>
      <x:c r="D175" s="8" t="str">
        <x:v>OPTIMIZE existing route; proposed editorial brief. Local redesign implements parts, not every evidence asset.</x:v>
      </x:c>
      <x:c r="E175" s="8" t="str">
        <x:v>kw-gb; kw-us; serp-GB</x:v>
      </x:c>
      <x:c r="F175" s="8" t="str">
        <x:v>PROPOSED</x:v>
      </x:c>
    </x:row>
    <x:row r="176" ht="48" customHeight="1">
      <x:c r="A176" s="9" t="str">
        <x:v>B09</x:v>
      </x:c>
      <x:c r="B176" s="11" t="str">
        <x:v>https://naxos-carrentals.com/en/guides/do-you-need-a-car-in-naxos</x:v>
      </x:c>
      <x:c r="C176" s="9" t="str">
        <x:v>Market and language</x:v>
      </x:c>
      <x:c r="D176" s="9" t="str">
        <x:v>GB, US; English</x:v>
      </x:c>
      <x:c r="E176" s="9" t="str">
        <x:v>kw-gb; kw-us; serp-GB</x:v>
      </x:c>
      <x:c r="F176" s="9" t="str">
        <x:v>PROPOSED</x:v>
      </x:c>
    </x:row>
    <x:row r="177" ht="48" customHeight="1">
      <x:c r="A177" s="8" t="str">
        <x:v>B09</x:v>
      </x:c>
      <x:c r="B177" s="10" t="str">
        <x:v>https://naxos-carrentals.com/en/guides/do-you-need-a-car-in-naxos</x:v>
      </x:c>
      <x:c r="C177" s="8" t="str">
        <x:v>Primary keyword</x:v>
      </x:c>
      <x:c r="D177" s="8" t="str">
        <x:v>do you need a car in naxos</x:v>
      </x:c>
      <x:c r="E177" s="8" t="str">
        <x:v>kw-gb; kw-us; serp-GB</x:v>
      </x:c>
      <x:c r="F177" s="8" t="str">
        <x:v>PROPOSED</x:v>
      </x:c>
    </x:row>
    <x:row r="178" ht="48" customHeight="1">
      <x:c r="A178" s="9" t="str">
        <x:v>B09</x:v>
      </x:c>
      <x:c r="B178" s="11" t="str">
        <x:v>https://naxos-carrentals.com/en/guides/do-you-need-a-car-in-naxos</x:v>
      </x:c>
      <x:c r="C178" s="9" t="str">
        <x:v>Intent and format</x:v>
      </x:c>
      <x:c r="D178" s="9" t="str">
        <x:v>Planning decision guide</x:v>
      </x:c>
      <x:c r="E178" s="9" t="str">
        <x:v>kw-gb; kw-us; serp-GB</x:v>
      </x:c>
      <x:c r="F178" s="9" t="str">
        <x:v>PROPOSED</x:v>
      </x:c>
    </x:row>
    <x:row r="179" ht="48" customHeight="1">
      <x:c r="A179" s="8" t="str">
        <x:v>B09</x:v>
      </x:c>
      <x:c r="B179" s="10" t="str">
        <x:v>https://naxos-carrentals.com/en/guides/do-you-need-a-car-in-naxos</x:v>
      </x:c>
      <x:c r="C179" s="8" t="str">
        <x:v>Title tag</x:v>
      </x:c>
      <x:c r="D179" s="8" t="str">
        <x:v>Do You Need a Car in Naxos? Plan by Itinerary</x:v>
      </x:c>
      <x:c r="E179" s="8" t="str">
        <x:v>kw-gb; kw-us; serp-GB</x:v>
      </x:c>
      <x:c r="F179" s="8" t="str">
        <x:v>PROPOSED</x:v>
      </x:c>
    </x:row>
    <x:row r="180" ht="48" customHeight="1">
      <x:c r="A180" s="9" t="str">
        <x:v>B09</x:v>
      </x:c>
      <x:c r="B180" s="11" t="str">
        <x:v>https://naxos-carrentals.com/en/guides/do-you-need-a-car-in-naxos</x:v>
      </x:c>
      <x:c r="C180" s="9" t="str">
        <x:v>H1</x:v>
      </x:c>
      <x:c r="D180" s="9" t="str">
        <x:v>Do you need a car for your Naxos trip?</x:v>
      </x:c>
      <x:c r="E180" s="9" t="str">
        <x:v>kw-gb; kw-us; serp-GB</x:v>
      </x:c>
      <x:c r="F180" s="9" t="str">
        <x:v>PROPOSED</x:v>
      </x:c>
    </x:row>
    <x:row r="181" ht="48" customHeight="1">
      <x:c r="A181" s="8" t="str">
        <x:v>B09</x:v>
      </x:c>
      <x:c r="B181" s="10" t="str">
        <x:v>https://naxos-carrentals.com/en/guides/do-you-need-a-car-in-naxos</x:v>
      </x:c>
      <x:c r="C181" s="8" t="str">
        <x:v>Meta description</x:v>
      </x:c>
      <x:c r="D181" s="8" t="str">
        <x:v>Compare a stay in Chora, beach days and village trips. Use practical transport choices to decide when renting a car makes sense.</x:v>
      </x:c>
      <x:c r="E181" s="8" t="str">
        <x:v>kw-gb; kw-us; serp-GB</x:v>
      </x:c>
      <x:c r="F181" s="8" t="str">
        <x:v>PROPOSED</x:v>
      </x:c>
    </x:row>
    <x:row r="182" ht="48" customHeight="1">
      <x:c r="A182" s="9" t="str">
        <x:v>B09</x:v>
      </x:c>
      <x:c r="B182" s="11" t="str">
        <x:v>https://naxos-carrentals.com/en/guides/do-you-need-a-car-in-naxos</x:v>
      </x:c>
      <x:c r="C182" s="9" t="str">
        <x:v>H2/H3 structure</x:v>
      </x:c>
      <x:c r="D182" s="9" t="str">
        <x:v>Start with your base; Trips that suit a car; When buses may work; Example itinerary; Choose the right car</x:v>
      </x:c>
      <x:c r="E182" s="9" t="str">
        <x:v>kw-gb; kw-us; serp-GB</x:v>
      </x:c>
      <x:c r="F182" s="9" t="str">
        <x:v>PROPOSED</x:v>
      </x:c>
    </x:row>
    <x:row r="183" ht="48" customHeight="1">
      <x:c r="A183" s="8" t="str">
        <x:v>B09</x:v>
      </x:c>
      <x:c r="B183" s="10" t="str">
        <x:v>https://naxos-carrentals.com/en/guides/do-you-need-a-car-in-naxos</x:v>
      </x:c>
      <x:c r="C183" s="8" t="str">
        <x:v>Questions and comparisons</x:v>
      </x:c>
      <x:c r="D183" s="8" t="str">
        <x:v>Worth renting, how tourists get around, trip duration</x:v>
      </x:c>
      <x:c r="E183" s="8" t="str">
        <x:v>kw-gb; kw-us; serp-GB</x:v>
      </x:c>
      <x:c r="F183" s="8" t="str">
        <x:v>PROPOSED</x:v>
      </x:c>
    </x:row>
    <x:row r="184" ht="48" customHeight="1">
      <x:c r="A184" s="9" t="str">
        <x:v>B09</x:v>
      </x:c>
      <x:c r="B184" s="11" t="str">
        <x:v>https://naxos-carrentals.com/en/guides/do-you-need-a-car-in-naxos</x:v>
      </x:c>
      <x:c r="C184" s="9" t="str">
        <x:v>Original evidence</x:v>
      </x:c>
      <x:c r="D184" s="9" t="str">
        <x:v>Actual operator details, genuine imagery, current inventory and date-stamped local advice</x:v>
      </x:c>
      <x:c r="E184" s="9" t="str">
        <x:v>kw-gb; kw-us; serp-GB</x:v>
      </x:c>
      <x:c r="F184" s="9" t="str">
        <x:v>PROPOSED</x:v>
      </x:c>
    </x:row>
    <x:row r="185" ht="48" customHeight="1">
      <x:c r="A185" s="8" t="str">
        <x:v>B09</x:v>
      </x:c>
      <x:c r="B185" s="10" t="str">
        <x:v>https://naxos-carrentals.com/en/guides/do-you-need-a-car-in-naxos</x:v>
      </x:c>
      <x:c r="C185" s="8" t="str">
        <x:v>Claims needing verification</x:v>
      </x:c>
      <x:c r="D185" s="8" t="str">
        <x:v>Exact prices, inclusions, deposits, delivery promises, opening hours, reviews and provider availability. Legal/insurance wording requires qualified owner review.</x:v>
      </x:c>
      <x:c r="E185" s="8" t="str">
        <x:v>kw-gb; kw-us; serp-GB</x:v>
      </x:c>
      <x:c r="F185" s="8" t="str">
        <x:v>PROPOSED</x:v>
      </x:c>
    </x:row>
    <x:row r="186" ht="48" customHeight="1">
      <x:c r="A186" s="9" t="str">
        <x:v>B09</x:v>
      </x:c>
      <x:c r="B186" s="11" t="str">
        <x:v>https://naxos-carrentals.com/en/guides/do-you-need-a-car-in-naxos</x:v>
      </x:c>
      <x:c r="C186" s="9" t="str">
        <x:v>Images/video</x:v>
      </x:c>
      <x:c r="D186" s="9" t="str">
        <x:v>Actual fleet and Naxos photography. No stock vehicle used as proof of an unavailable model.</x:v>
      </x:c>
      <x:c r="E186" s="9" t="str">
        <x:v>kw-gb; kw-us; serp-GB</x:v>
      </x:c>
      <x:c r="F186" s="9" t="str">
        <x:v>PROPOSED</x:v>
      </x:c>
    </x:row>
    <x:row r="187" ht="48" customHeight="1">
      <x:c r="A187" s="8" t="str">
        <x:v>B09</x:v>
      </x:c>
      <x:c r="B187" s="10" t="str">
        <x:v>https://naxos-carrentals.com/en/guides/do-you-need-a-car-in-naxos</x:v>
      </x:c>
      <x:c r="C187" s="8" t="str">
        <x:v>Structured data</x:v>
      </x:c>
      <x:c r="D187" s="8" t="str">
        <x:v>BreadcrumbList and accurate existing business identity. ItemList where a real visible list exists. FAQ markup only for visible Q&amp;A; no rich-result or AI guarantee.</x:v>
      </x:c>
      <x:c r="E187" s="8" t="str">
        <x:v>kw-gb; kw-us; serp-GB</x:v>
      </x:c>
      <x:c r="F187" s="8" t="str">
        <x:v>PROPOSED</x:v>
      </x:c>
    </x:row>
    <x:row r="188" ht="48" customHeight="1">
      <x:c r="A188" s="9" t="str">
        <x:v>B09</x:v>
      </x:c>
      <x:c r="B188" s="11" t="str">
        <x:v>https://naxos-carrentals.com/en/guides/do-you-need-a-car-in-naxos</x:v>
      </x:c>
      <x:c r="C188" s="9" t="str">
        <x:v>CTA</x:v>
      </x:c>
      <x:c r="D188" s="9" t="str">
        <x:v>Choose a suitable car or continue transport planning</x:v>
      </x:c>
      <x:c r="E188" s="9" t="str">
        <x:v>kw-gb; kw-us; serp-GB</x:v>
      </x:c>
      <x:c r="F188" s="9" t="str">
        <x:v>PROPOSED</x:v>
      </x:c>
    </x:row>
    <x:row r="189" ht="48" customHeight="1">
      <x:c r="A189" s="8" t="str">
        <x:v>B09</x:v>
      </x:c>
      <x:c r="B189" s="10" t="str">
        <x:v>https://naxos-carrentals.com/en/guides/do-you-need-a-car-in-naxos</x:v>
      </x:c>
      <x:c r="C189" s="8" t="str">
        <x:v>Internal links in</x:v>
      </x:c>
      <x:c r="D189" s="8" t="str">
        <x:v>Homepage and relevant guide hub in English</x:v>
      </x:c>
      <x:c r="E189" s="8" t="str">
        <x:v>kw-gb; kw-us; serp-GB</x:v>
      </x:c>
      <x:c r="F189" s="8" t="str">
        <x:v>PROPOSED</x:v>
      </x:c>
    </x:row>
    <x:row r="190" ht="48" customHeight="1">
      <x:c r="A190" s="9" t="str">
        <x:v>B09</x:v>
      </x:c>
      <x:c r="B190" s="11" t="str">
        <x:v>https://naxos-carrentals.com/en/guides/do-you-need-a-car-in-naxos</x:v>
      </x:c>
      <x:c r="C190" s="9" t="str">
        <x:v>Internal links out</x:v>
      </x:c>
      <x:c r="D190" s="9" t="str">
        <x:v>https://naxos-carrentals.com/en/fleet/cars
https://naxos-carrentals.com/en/insurance
https://naxos-carrentals.com/en/terms
https://naxos-carrentals.com/en/locations</x:v>
      </x:c>
      <x:c r="E190" s="9" t="str">
        <x:v>kw-gb; kw-us; serp-GB</x:v>
      </x:c>
      <x:c r="F190" s="9" t="str">
        <x:v>PROPOSED</x:v>
      </x:c>
    </x:row>
    <x:row r="191" ht="48" customHeight="1">
      <x:c r="A191" s="8" t="str">
        <x:v>B09</x:v>
      </x:c>
      <x:c r="B191" s="10" t="str">
        <x:v>https://naxos-carrentals.com/en/guides/do-you-need-a-car-in-naxos</x:v>
      </x:c>
      <x:c r="C191" s="8" t="str">
        <x:v>Competitor / citation context</x:v>
      </x:c>
      <x:c r="D191" s="8" t="str">
        <x:v>Relevant local specialists and marketplace page formats in SERP Samples</x:v>
      </x:c>
      <x:c r="E191" s="8" t="str">
        <x:v>kw-gb; kw-us; serp-GB</x:v>
      </x:c>
      <x:c r="F191" s="8" t="str">
        <x:v>PROPOSED</x:v>
      </x:c>
    </x:row>
    <x:row r="192" ht="48" customHeight="1">
      <x:c r="A192" s="9" t="str">
        <x:v>B09</x:v>
      </x:c>
      <x:c r="B192" s="11" t="str">
        <x:v>https://naxos-carrentals.com/en/guides/do-you-need-a-car-in-naxos</x:v>
      </x:c>
      <x:c r="C192" s="9" t="str">
        <x:v>Differentiation</x:v>
      </x:c>
      <x:c r="D192" s="9" t="str">
        <x:v>Answer a real PAA decision even if the conclusion is that a visitor can use buses</x:v>
      </x:c>
      <x:c r="E192" s="9" t="str">
        <x:v>kw-gb; kw-us; serp-GB</x:v>
      </x:c>
      <x:c r="F192" s="9" t="str">
        <x:v>PROPOSED</x:v>
      </x:c>
    </x:row>
    <x:row r="193" ht="48" customHeight="1">
      <x:c r="A193" s="8" t="str">
        <x:v>B09</x:v>
      </x:c>
      <x:c r="B193" s="10" t="str">
        <x:v>https://naxos-carrentals.com/en/guides/do-you-need-a-car-in-naxos</x:v>
      </x:c>
      <x:c r="C193" s="8" t="str">
        <x:v>Acceptance</x:v>
      </x:c>
      <x:c r="D193" s="8" t="str">
        <x:v>One clear H1; valid self-canonical and five-language hreflang; native review; no invented claims; current route200; mobile booking link; no duplicate owner page; visible text matches schema.</x:v>
      </x:c>
      <x:c r="E193" s="8" t="str">
        <x:v>kw-gb; kw-us; serp-GB</x:v>
      </x:c>
      <x:c r="F193" s="8" t="str">
        <x:v>PROPOSED</x:v>
      </x:c>
    </x:row>
    <x:row r="194" ht="48" customHeight="1">
      <x:c r="A194" s="9" t="str">
        <x:v>B10</x:v>
      </x:c>
      <x:c r="B194" s="11" t="str">
        <x:v>https://naxos-carrentals.com/de/insurance</x:v>
      </x:c>
      <x:c r="C194" s="9" t="str">
        <x:v>Cluster</x:v>
      </x:c>
      <x:c r="D194" s="9" t="str">
        <x:v>C-de-insurance</x:v>
      </x:c>
      <x:c r="E194" s="9" t="str">
        <x:v>serp-DE; SRC-REPO</x:v>
      </x:c>
      <x:c r="F194" s="9" t="str">
        <x:v>PROPOSED</x:v>
      </x:c>
    </x:row>
    <x:row r="195" ht="48" customHeight="1">
      <x:c r="A195" s="8" t="str">
        <x:v>B10</x:v>
      </x:c>
      <x:c r="B195" s="10" t="str">
        <x:v>https://naxos-carrentals.com/de/insurance</x:v>
      </x:c>
      <x:c r="C195" s="8" t="str">
        <x:v>Purpose and conversion</x:v>
      </x:c>
      <x:c r="D195" s="8" t="str">
        <x:v>Understand cover and excess. Primary conversion: qualified booking-engine handoff, then confirmed booking when provider reporting is connected.</x:v>
      </x:c>
      <x:c r="E195" s="8" t="str">
        <x:v>serp-DE; SRC-REPO</x:v>
      </x:c>
      <x:c r="F195" s="8" t="str">
        <x:v>PROPOSED</x:v>
      </x:c>
    </x:row>
    <x:row r="196" ht="48" customHeight="1">
      <x:c r="A196" s="9" t="str">
        <x:v>B10</x:v>
      </x:c>
      <x:c r="B196" s="11" t="str">
        <x:v>https://naxos-carrentals.com/de/insurance</x:v>
      </x:c>
      <x:c r="C196" s="9" t="str">
        <x:v>Action</x:v>
      </x:c>
      <x:c r="D196" s="9" t="str">
        <x:v>OPTIMIZE existing route; proposed editorial brief. Local redesign implements parts, not every evidence asset.</x:v>
      </x:c>
      <x:c r="E196" s="9" t="str">
        <x:v>serp-DE; SRC-REPO</x:v>
      </x:c>
      <x:c r="F196" s="9" t="str">
        <x:v>PROPOSED</x:v>
      </x:c>
    </x:row>
    <x:row r="197" ht="48" customHeight="1">
      <x:c r="A197" s="8" t="str">
        <x:v>B10</x:v>
      </x:c>
      <x:c r="B197" s="10" t="str">
        <x:v>https://naxos-carrentals.com/de/insurance</x:v>
      </x:c>
      <x:c r="C197" s="8" t="str">
        <x:v>Market and language</x:v>
      </x:c>
      <x:c r="D197" s="8" t="str">
        <x:v>DE; German</x:v>
      </x:c>
      <x:c r="E197" s="8" t="str">
        <x:v>serp-DE; SRC-REPO</x:v>
      </x:c>
      <x:c r="F197" s="8" t="str">
        <x:v>PROPOSED</x:v>
      </x:c>
    </x:row>
    <x:row r="198" ht="48" customHeight="1">
      <x:c r="A198" s="9" t="str">
        <x:v>B10</x:v>
      </x:c>
      <x:c r="B198" s="11" t="str">
        <x:v>https://naxos-carrentals.com/de/insurance</x:v>
      </x:c>
      <x:c r="C198" s="9" t="str">
        <x:v>Primary keyword</x:v>
      </x:c>
      <x:c r="D198" s="9" t="str">
        <x:v>Mietwagenversicherung Naxos (proposed)</x:v>
      </x:c>
      <x:c r="E198" s="9" t="str">
        <x:v>serp-DE; SRC-REPO</x:v>
      </x:c>
      <x:c r="F198" s="9" t="str">
        <x:v>PROPOSED</x:v>
      </x:c>
    </x:row>
    <x:row r="199" ht="48" customHeight="1">
      <x:c r="A199" s="8" t="str">
        <x:v>B10</x:v>
      </x:c>
      <x:c r="B199" s="10" t="str">
        <x:v>https://naxos-carrentals.com/de/insurance</x:v>
      </x:c>
      <x:c r="C199" s="8" t="str">
        <x:v>Intent and format</x:v>
      </x:c>
      <x:c r="D199" s="8" t="str">
        <x:v>Commercial decision page supported by visible evidence</x:v>
      </x:c>
      <x:c r="E199" s="8" t="str">
        <x:v>serp-DE; SRC-REPO</x:v>
      </x:c>
      <x:c r="F199" s="8" t="str">
        <x:v>PROPOSED</x:v>
      </x:c>
    </x:row>
    <x:row r="200" ht="48" customHeight="1">
      <x:c r="A200" s="9" t="str">
        <x:v>B10</x:v>
      </x:c>
      <x:c r="B200" s="11" t="str">
        <x:v>https://naxos-carrentals.com/de/insurance</x:v>
      </x:c>
      <x:c r="C200" s="9" t="str">
        <x:v>Title tag</x:v>
      </x:c>
      <x:c r="D200" s="9" t="str">
        <x:v>Mietwagenversicherung auf Naxos | Leistungen und Regeln</x:v>
      </x:c>
      <x:c r="E200" s="9" t="str">
        <x:v>serp-DE; SRC-REPO</x:v>
      </x:c>
      <x:c r="F200" s="9" t="str">
        <x:v>PROPOSED</x:v>
      </x:c>
    </x:row>
    <x:row r="201" ht="48" customHeight="1">
      <x:c r="A201" s="8" t="str">
        <x:v>B10</x:v>
      </x:c>
      <x:c r="B201" s="10" t="str">
        <x:v>https://naxos-carrentals.com/de/insurance</x:v>
      </x:c>
      <x:c r="C201" s="8" t="str">
        <x:v>H1</x:v>
      </x:c>
      <x:c r="D201" s="8" t="str">
        <x:v>Versicherung und Selbstbeteiligung verstehen</x:v>
      </x:c>
      <x:c r="E201" s="8" t="str">
        <x:v>serp-DE; SRC-REPO</x:v>
      </x:c>
      <x:c r="F201" s="8" t="str">
        <x:v>PROPOSED</x:v>
      </x:c>
    </x:row>
    <x:row r="202" ht="48" customHeight="1">
      <x:c r="A202" s="9" t="str">
        <x:v>B10</x:v>
      </x:c>
      <x:c r="B202" s="11" t="str">
        <x:v>https://naxos-carrentals.com/de/insurance</x:v>
      </x:c>
      <x:c r="C202" s="9" t="str">
        <x:v>Meta description</x:v>
      </x:c>
      <x:c r="D202" s="9" t="str">
        <x:v>Prüfe Leistungen, Selbstbeteiligung und Ausschlüsse vor der Buchung. Kläre offene Fragen direkt mit unserem Team.</x:v>
      </x:c>
      <x:c r="E202" s="9" t="str">
        <x:v>serp-DE; SRC-REPO</x:v>
      </x:c>
      <x:c r="F202" s="9" t="str">
        <x:v>PROPOSED</x:v>
      </x:c>
    </x:row>
    <x:row r="203" ht="48" customHeight="1">
      <x:c r="A203" s="8" t="str">
        <x:v>B10</x:v>
      </x:c>
      <x:c r="B203" s="10" t="str">
        <x:v>https://naxos-carrentals.com/de/insurance</x:v>
      </x:c>
      <x:c r="C203" s="8" t="str">
        <x:v>H2/H3 structure</x:v>
      </x:c>
      <x:c r="D203" s="8" t="str">
        <x:v>Begriffe; Deckung und Selbstbeteiligung; Ausschlüsse; Schaden melden; Vor der Buchung</x:v>
      </x:c>
      <x:c r="E203" s="8" t="str">
        <x:v>serp-DE; SRC-REPO</x:v>
      </x:c>
      <x:c r="F203" s="8" t="str">
        <x:v>PROPOSED</x:v>
      </x:c>
    </x:row>
    <x:row r="204" ht="48" customHeight="1">
      <x:c r="A204" s="9" t="str">
        <x:v>B10</x:v>
      </x:c>
      <x:c r="B204" s="11" t="str">
        <x:v>https://naxos-carrentals.com/de/insurance</x:v>
      </x:c>
      <x:c r="C204" s="9" t="str">
        <x:v>Questions and comparisons</x:v>
      </x:c>
      <x:c r="D204" s="9" t="str">
        <x:v>Excess, tires, glass, roads, additional drivers</x:v>
      </x:c>
      <x:c r="E204" s="9" t="str">
        <x:v>serp-DE; SRC-REPO</x:v>
      </x:c>
      <x:c r="F204" s="9" t="str">
        <x:v>PROPOSED</x:v>
      </x:c>
    </x:row>
    <x:row r="205" ht="48" customHeight="1">
      <x:c r="A205" s="8" t="str">
        <x:v>B10</x:v>
      </x:c>
      <x:c r="B205" s="10" t="str">
        <x:v>https://naxos-carrentals.com/de/insurance</x:v>
      </x:c>
      <x:c r="C205" s="8" t="str">
        <x:v>Original evidence</x:v>
      </x:c>
      <x:c r="D205" s="8" t="str">
        <x:v>Current approved insurance policy, itemized coverage/excess/exclusions and effective date</x:v>
      </x:c>
      <x:c r="E205" s="8" t="str">
        <x:v>serp-DE; SRC-REPO</x:v>
      </x:c>
      <x:c r="F205" s="8" t="str">
        <x:v>PROPOSED</x:v>
      </x:c>
    </x:row>
    <x:row r="206" ht="48" customHeight="1">
      <x:c r="A206" s="9" t="str">
        <x:v>B10</x:v>
      </x:c>
      <x:c r="B206" s="11" t="str">
        <x:v>https://naxos-carrentals.com/de/insurance</x:v>
      </x:c>
      <x:c r="C206" s="9" t="str">
        <x:v>Claims needing verification</x:v>
      </x:c>
      <x:c r="D206" s="9" t="str">
        <x:v>Exact prices, inclusions, deposits, delivery promises, opening hours, reviews and provider availability. Legal/insurance wording requires qualified owner review.</x:v>
      </x:c>
      <x:c r="E206" s="9" t="str">
        <x:v>serp-DE; SRC-REPO</x:v>
      </x:c>
      <x:c r="F206" s="9" t="str">
        <x:v>PROPOSED</x:v>
      </x:c>
    </x:row>
    <x:row r="207" ht="48" customHeight="1">
      <x:c r="A207" s="8" t="str">
        <x:v>B10</x:v>
      </x:c>
      <x:c r="B207" s="10" t="str">
        <x:v>https://naxos-carrentals.com/de/insurance</x:v>
      </x:c>
      <x:c r="C207" s="8" t="str">
        <x:v>Images/video</x:v>
      </x:c>
      <x:c r="D207" s="8" t="str">
        <x:v>Actual fleet and Naxos photography. No stock vehicle used as proof of an unavailable model.</x:v>
      </x:c>
      <x:c r="E207" s="8" t="str">
        <x:v>serp-DE; SRC-REPO</x:v>
      </x:c>
      <x:c r="F207" s="8" t="str">
        <x:v>PROPOSED</x:v>
      </x:c>
    </x:row>
    <x:row r="208" ht="48" customHeight="1">
      <x:c r="A208" s="9" t="str">
        <x:v>B10</x:v>
      </x:c>
      <x:c r="B208" s="11" t="str">
        <x:v>https://naxos-carrentals.com/de/insurance</x:v>
      </x:c>
      <x:c r="C208" s="9" t="str">
        <x:v>Structured data</x:v>
      </x:c>
      <x:c r="D208" s="9" t="str">
        <x:v>BreadcrumbList and accurate existing business identity. ItemList where a real visible list exists. FAQ markup only for visible Q&amp;A; no rich-result or AI guarantee.</x:v>
      </x:c>
      <x:c r="E208" s="9" t="str">
        <x:v>serp-DE; SRC-REPO</x:v>
      </x:c>
      <x:c r="F208" s="9" t="str">
        <x:v>PROPOSED</x:v>
      </x:c>
    </x:row>
    <x:row r="209" ht="48" customHeight="1">
      <x:c r="A209" s="8" t="str">
        <x:v>B10</x:v>
      </x:c>
      <x:c r="B209" s="10" t="str">
        <x:v>https://naxos-carrentals.com/de/insurance</x:v>
      </x:c>
      <x:c r="C209" s="8" t="str">
        <x:v>CTA</x:v>
      </x:c>
      <x:c r="D209" s="8" t="str">
        <x:v>Check availability for dates; ask a specific pickup/policy question</x:v>
      </x:c>
      <x:c r="E209" s="8" t="str">
        <x:v>serp-DE; SRC-REPO</x:v>
      </x:c>
      <x:c r="F209" s="8" t="str">
        <x:v>PROPOSED</x:v>
      </x:c>
    </x:row>
    <x:row r="210" ht="48" customHeight="1">
      <x:c r="A210" s="9" t="str">
        <x:v>B10</x:v>
      </x:c>
      <x:c r="B210" s="11" t="str">
        <x:v>https://naxos-carrentals.com/de/insurance</x:v>
      </x:c>
      <x:c r="C210" s="9" t="str">
        <x:v>Internal links in</x:v>
      </x:c>
      <x:c r="D210" s="9" t="str">
        <x:v>Homepage and relevant guide hub in German</x:v>
      </x:c>
      <x:c r="E210" s="9" t="str">
        <x:v>serp-DE; SRC-REPO</x:v>
      </x:c>
      <x:c r="F210" s="9" t="str">
        <x:v>PROPOSED</x:v>
      </x:c>
    </x:row>
    <x:row r="211" ht="48" customHeight="1">
      <x:c r="A211" s="8" t="str">
        <x:v>B10</x:v>
      </x:c>
      <x:c r="B211" s="10" t="str">
        <x:v>https://naxos-carrentals.com/de/insurance</x:v>
      </x:c>
      <x:c r="C211" s="8" t="str">
        <x:v>Internal links out</x:v>
      </x:c>
      <x:c r="D211" s="8" t="str">
        <x:v>https://naxos-carrentals.com/de/fleet/cars
https://naxos-carrentals.com/de/insurance
https://naxos-carrentals.com/de/terms
https://naxos-carrentals.com/de/locations</x:v>
      </x:c>
      <x:c r="E211" s="8" t="str">
        <x:v>serp-DE; SRC-REPO</x:v>
      </x:c>
      <x:c r="F211" s="8" t="str">
        <x:v>PROPOSED</x:v>
      </x:c>
    </x:row>
    <x:row r="212" ht="48" customHeight="1">
      <x:c r="A212" s="9" t="str">
        <x:v>B10</x:v>
      </x:c>
      <x:c r="B212" s="11" t="str">
        <x:v>https://naxos-carrentals.com/de/insurance</x:v>
      </x:c>
      <x:c r="C212" s="9" t="str">
        <x:v>Competitor / citation context</x:v>
      </x:c>
      <x:c r="D212" s="9" t="str">
        <x:v>German AIO sources include Sunny Cars, CHECK24 and Hertz</x:v>
      </x:c>
      <x:c r="E212" s="9" t="str">
        <x:v>serp-DE; SRC-REPO</x:v>
      </x:c>
      <x:c r="F212" s="9" t="str">
        <x:v>PROPOSED</x:v>
      </x:c>
    </x:row>
    <x:row r="213" ht="48" customHeight="1">
      <x:c r="A213" s="8" t="str">
        <x:v>B10</x:v>
      </x:c>
      <x:c r="B213" s="10" t="str">
        <x:v>https://naxos-carrentals.com/de/insurance</x:v>
      </x:c>
      <x:c r="C213" s="8" t="str">
        <x:v>Differentiation</x:v>
      </x:c>
      <x:c r="D213" s="8" t="str">
        <x:v>Policy table can be a useful owned reference; phrase demand not validated</x:v>
      </x:c>
      <x:c r="E213" s="8" t="str">
        <x:v>serp-DE; SRC-REPO</x:v>
      </x:c>
      <x:c r="F213" s="8" t="str">
        <x:v>PROPOSED</x:v>
      </x:c>
    </x:row>
    <x:row r="214" ht="48" customHeight="1">
      <x:c r="A214" s="9" t="str">
        <x:v>B10</x:v>
      </x:c>
      <x:c r="B214" s="11" t="str">
        <x:v>https://naxos-carrentals.com/de/insurance</x:v>
      </x:c>
      <x:c r="C214" s="9" t="str">
        <x:v>Acceptance</x:v>
      </x:c>
      <x:c r="D214" s="9" t="str">
        <x:v>One clear H1; valid self-canonical and five-language hreflang; native review; no invented claims; current route200; mobile booking link; no duplicate owner page; visible text matches schema.</x:v>
      </x:c>
      <x:c r="E214" s="9" t="str">
        <x:v>serp-DE; SRC-REPO</x:v>
      </x:c>
      <x:c r="F214" s="9" t="str">
        <x:v>PROPOSED</x:v>
      </x:c>
    </x:row>
  </x:sheetData>
  <x:mergeCells>
    <x:mergeCell ref="A1:E1"/>
    <x:mergeCell ref="A2:F2"/>
  </x:mergeCells>
  <x:conditionalFormatting sqref="F5:F214">
    <x:cfRule type="containsText" dxfId="15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9179281ff7334fe0"/>
  </x:tableParts>
</x:worksheet>
</file>

<file path=xl/worksheets/sheet15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67" hidden="0" customWidth="1"/>
    <x:col min="3" max="3" width="67" hidden="0" customWidth="1"/>
    <x:col min="4" max="4" width="38" hidden="0" customWidth="1"/>
    <x:col min="5" max="5" width="58" hidden="0" customWidth="1"/>
    <x:col min="6" max="6" width="46" hidden="0" customWidth="1"/>
    <x:col min="7" max="7" width="32" hidden="0" customWidth="1"/>
    <x:col min="8" max="8" width="32" hidden="0" customWidth="1"/>
    <x:col min="9" max="9" width="48" hidden="0" customWidth="1"/>
    <x:col min="10" max="10" width="22" hidden="0" customWidth="1"/>
  </x:cols>
  <x:sheetData>
    <x:row r="1" ht="34" customHeight="1">
      <x:c r="A1" s="4" t="str">
        <x:v>Internal Links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4" customHeight="1">
      <x:c r="A2" s="5" t="str">
        <x:v>All source/destination paths exist in the generated local route inventory. This plan does not imply every proposed link is already on production.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42" customHeight="1">
      <x:c r="A4" s="7" t="str">
        <x:v>Link ID</x:v>
      </x:c>
      <x:c r="B4" s="7" t="str">
        <x:v>Source URL</x:v>
      </x:c>
      <x:c r="C4" s="7" t="str">
        <x:v>Destination URL</x:v>
      </x:c>
      <x:c r="D4" s="7" t="str">
        <x:v>Context</x:v>
      </x:c>
      <x:c r="E4" s="7" t="str">
        <x:v>Natural anchor concept</x:v>
      </x:c>
      <x:c r="F4" s="7" t="str">
        <x:v>Action / state</x:v>
      </x:c>
      <x:c r="G4" s="7" t="str">
        <x:v>Source exists?</x:v>
      </x:c>
      <x:c r="H4" s="7" t="str">
        <x:v>Destination exists?</x:v>
      </x:c>
      <x:c r="I4" s="7" t="str">
        <x:v>Evidence</x:v>
      </x:c>
      <x:c r="J4" s="7" t="str">
        <x:v>Evidence status</x:v>
      </x:c>
    </x:row>
    <x:row r="5" ht="48" customHeight="1">
      <x:c r="A5" s="8" t="str">
        <x:v>L1</x:v>
      </x:c>
      <x:c r="B5" s="10" t="str">
        <x:v>https://naxos-carrentals.com/en</x:v>
      </x:c>
      <x:c r="C5" s="10" t="str">
        <x:v>https://naxos-carrentals.com/en/locations/port-pickup</x:v>
      </x:c>
      <x:c r="D5" s="8" t="str">
        <x:v>Arrival section</x:v>
      </x:c>
      <x:c r="E5" s="8" t="str">
        <x:v>Port pickup details — localize naturally</x:v>
      </x:c>
      <x:c r="F5" s="8" t="str">
        <x:v>Implemented in local redesign</x:v>
      </x:c>
      <x:c r="G5" s="8" t="str">
        <x:v>EXISTING local route</x:v>
      </x:c>
      <x:c r="H5" s="8" t="str">
        <x:v>EXISTING local route</x:v>
      </x:c>
      <x:c r="I5" s="8" t="str">
        <x:v>SRC-REPO; local validate:site</x:v>
      </x:c>
      <x:c r="J5" s="8" t="str">
        <x:v>PROPOSED</x:v>
      </x:c>
    </x:row>
    <x:row r="6" ht="48" customHeight="1">
      <x:c r="A6" s="9" t="str">
        <x:v>L2</x:v>
      </x:c>
      <x:c r="B6" s="11" t="str">
        <x:v>https://naxos-carrentals.com/en</x:v>
      </x:c>
      <x:c r="C6" s="11" t="str">
        <x:v>https://naxos-carrentals.com/en/locations/airport-pickup</x:v>
      </x:c>
      <x:c r="D6" s="9" t="str">
        <x:v>Arrival section</x:v>
      </x:c>
      <x:c r="E6" s="9" t="str">
        <x:v>Airport pickup details — localize naturally</x:v>
      </x:c>
      <x:c r="F6" s="9" t="str">
        <x:v>Implemented in local redesign</x:v>
      </x:c>
      <x:c r="G6" s="9" t="str">
        <x:v>EXISTING local route</x:v>
      </x:c>
      <x:c r="H6" s="9" t="str">
        <x:v>EXISTING local route</x:v>
      </x:c>
      <x:c r="I6" s="9" t="str">
        <x:v>SRC-REPO; local validate:site</x:v>
      </x:c>
      <x:c r="J6" s="9" t="str">
        <x:v>PROPOSED</x:v>
      </x:c>
    </x:row>
    <x:row r="7" ht="48" customHeight="1">
      <x:c r="A7" s="8" t="str">
        <x:v>L3</x:v>
      </x:c>
      <x:c r="B7" s="10" t="str">
        <x:v>https://naxos-carrentals.com/en</x:v>
      </x:c>
      <x:c r="C7" s="10" t="str">
        <x:v>https://naxos-carrentals.com/en/fleet/collections/automatic</x:v>
      </x:c>
      <x:c r="D7" s="8" t="str">
        <x:v>Vehicle choice</x:v>
      </x:c>
      <x:c r="E7" s="8" t="str">
        <x:v>Automatic cars — localize naturally</x:v>
      </x:c>
      <x:c r="F7" s="8" t="str">
        <x:v>Implemented in local redesign</x:v>
      </x:c>
      <x:c r="G7" s="8" t="str">
        <x:v>EXISTING local route</x:v>
      </x:c>
      <x:c r="H7" s="8" t="str">
        <x:v>EXISTING local route</x:v>
      </x:c>
      <x:c r="I7" s="8" t="str">
        <x:v>SRC-REPO; local validate:site</x:v>
      </x:c>
      <x:c r="J7" s="8" t="str">
        <x:v>PROPOSED</x:v>
      </x:c>
    </x:row>
    <x:row r="8" ht="48" customHeight="1">
      <x:c r="A8" s="9" t="str">
        <x:v>L4</x:v>
      </x:c>
      <x:c r="B8" s="11" t="str">
        <x:v>https://naxos-carrentals.com/en/fleet/cars</x:v>
      </x:c>
      <x:c r="C8" s="11" t="str">
        <x:v>https://naxos-carrentals.com/en/insurance</x:v>
      </x:c>
      <x:c r="D8" s="9" t="str">
        <x:v>Before booking</x:v>
      </x:c>
      <x:c r="E8" s="9" t="str">
        <x:v>What the cover includes — localize naturally</x:v>
      </x:c>
      <x:c r="F8" s="9" t="str">
        <x:v>Add or verify in context</x:v>
      </x:c>
      <x:c r="G8" s="9" t="str">
        <x:v>EXISTING local route</x:v>
      </x:c>
      <x:c r="H8" s="9" t="str">
        <x:v>EXISTING local route</x:v>
      </x:c>
      <x:c r="I8" s="9" t="str">
        <x:v>SRC-REPO; local validate:site</x:v>
      </x:c>
      <x:c r="J8" s="9" t="str">
        <x:v>PROPOSED</x:v>
      </x:c>
    </x:row>
    <x:row r="9" ht="48" customHeight="1">
      <x:c r="A9" s="8" t="str">
        <x:v>L5</x:v>
      </x:c>
      <x:c r="B9" s="10" t="str">
        <x:v>https://naxos-carrentals.com/en/guides/do-you-need-a-car-in-naxos</x:v>
      </x:c>
      <x:c r="C9" s="10" t="str">
        <x:v>https://naxos-carrentals.com/en/fleet/cars</x:v>
      </x:c>
      <x:c r="D9" s="8" t="str">
        <x:v>When a car fits the itinerary</x:v>
      </x:c>
      <x:c r="E9" s="8" t="str">
        <x:v>Compare suitable cars — localize naturally</x:v>
      </x:c>
      <x:c r="F9" s="8" t="str">
        <x:v>Add or verify in context</x:v>
      </x:c>
      <x:c r="G9" s="8" t="str">
        <x:v>EXISTING local route</x:v>
      </x:c>
      <x:c r="H9" s="8" t="str">
        <x:v>EXISTING local route</x:v>
      </x:c>
      <x:c r="I9" s="8" t="str">
        <x:v>SRC-REPO; local validate:site</x:v>
      </x:c>
      <x:c r="J9" s="8" t="str">
        <x:v>PROPOSED</x:v>
      </x:c>
    </x:row>
    <x:row r="10" ht="48" customHeight="1">
      <x:c r="A10" s="9" t="str">
        <x:v>L6</x:v>
      </x:c>
      <x:c r="B10" s="11" t="str">
        <x:v>https://naxos-carrentals.com/en/locations/port-pickup</x:v>
      </x:c>
      <x:c r="C10" s="11" t="str">
        <x:v>https://naxos-carrentals.com/en/terms</x:v>
      </x:c>
      <x:c r="D10" s="9" t="str">
        <x:v>Before arrival</x:v>
      </x:c>
      <x:c r="E10" s="9" t="str">
        <x:v>Rental and payment conditions — localize naturally</x:v>
      </x:c>
      <x:c r="F10" s="9" t="str">
        <x:v>Add or verify in context</x:v>
      </x:c>
      <x:c r="G10" s="9" t="str">
        <x:v>EXISTING local route</x:v>
      </x:c>
      <x:c r="H10" s="9" t="str">
        <x:v>EXISTING local route</x:v>
      </x:c>
      <x:c r="I10" s="9" t="str">
        <x:v>SRC-REPO; local validate:site</x:v>
      </x:c>
      <x:c r="J10" s="9" t="str">
        <x:v>PROPOSED</x:v>
      </x:c>
    </x:row>
    <x:row r="11" ht="48" customHeight="1">
      <x:c r="A11" s="8" t="str">
        <x:v>L7</x:v>
      </x:c>
      <x:c r="B11" s="10" t="str">
        <x:v>https://naxos-carrentals.com/en/fleet/collections/family-7-seater</x:v>
      </x:c>
      <x:c r="C11" s="10" t="str">
        <x:v>https://naxos-carrentals.com/en/contact</x:v>
      </x:c>
      <x:c r="D11" s="8" t="str">
        <x:v>Confirm passengers and bags</x:v>
      </x:c>
      <x:c r="E11" s="8" t="str">
        <x:v>Ask about luggage fit — localize naturally</x:v>
      </x:c>
      <x:c r="F11" s="8" t="str">
        <x:v>Add or verify in context</x:v>
      </x:c>
      <x:c r="G11" s="8" t="str">
        <x:v>EXISTING local route</x:v>
      </x:c>
      <x:c r="H11" s="8" t="str">
        <x:v>EXISTING local route</x:v>
      </x:c>
      <x:c r="I11" s="8" t="str">
        <x:v>SRC-REPO; local validate:site</x:v>
      </x:c>
      <x:c r="J11" s="8" t="str">
        <x:v>PROPOSED</x:v>
      </x:c>
    </x:row>
    <x:row r="12" ht="48" customHeight="1">
      <x:c r="A12" s="9" t="str">
        <x:v>L8</x:v>
      </x:c>
      <x:c r="B12" s="11" t="str">
        <x:v>https://naxos-carrentals.com/en/insurance</x:v>
      </x:c>
      <x:c r="C12" s="11" t="str">
        <x:v>https://naxos-carrentals.com/en/book</x:v>
      </x:c>
      <x:c r="D12" s="9" t="str">
        <x:v>After policy review</x:v>
      </x:c>
      <x:c r="E12" s="9" t="str">
        <x:v>Check dates and availability — localize naturally</x:v>
      </x:c>
      <x:c r="F12" s="9" t="str">
        <x:v>Add or verify in context</x:v>
      </x:c>
      <x:c r="G12" s="9" t="str">
        <x:v>EXISTING local route</x:v>
      </x:c>
      <x:c r="H12" s="9" t="str">
        <x:v>EXISTING local route</x:v>
      </x:c>
      <x:c r="I12" s="9" t="str">
        <x:v>SRC-REPO; local validate:site</x:v>
      </x:c>
      <x:c r="J12" s="9" t="str">
        <x:v>PROPOSED</x:v>
      </x:c>
    </x:row>
    <x:row r="13" ht="48" customHeight="1">
      <x:c r="A13" s="8" t="str">
        <x:v>L9</x:v>
      </x:c>
      <x:c r="B13" s="10" t="str">
        <x:v>https://naxos-carrentals.com/el</x:v>
      </x:c>
      <x:c r="C13" s="10" t="str">
        <x:v>https://naxos-carrentals.com/el/locations/port-pickup</x:v>
      </x:c>
      <x:c r="D13" s="8" t="str">
        <x:v>Arrival section</x:v>
      </x:c>
      <x:c r="E13" s="8" t="str">
        <x:v>Port pickup details — localize naturally</x:v>
      </x:c>
      <x:c r="F13" s="8" t="str">
        <x:v>Implemented in local redesign</x:v>
      </x:c>
      <x:c r="G13" s="8" t="str">
        <x:v>EXISTING local route</x:v>
      </x:c>
      <x:c r="H13" s="8" t="str">
        <x:v>EXISTING local route</x:v>
      </x:c>
      <x:c r="I13" s="8" t="str">
        <x:v>SRC-REPO; local validate:site</x:v>
      </x:c>
      <x:c r="J13" s="8" t="str">
        <x:v>PROPOSED</x:v>
      </x:c>
    </x:row>
    <x:row r="14" ht="48" customHeight="1">
      <x:c r="A14" s="9" t="str">
        <x:v>L10</x:v>
      </x:c>
      <x:c r="B14" s="11" t="str">
        <x:v>https://naxos-carrentals.com/el</x:v>
      </x:c>
      <x:c r="C14" s="11" t="str">
        <x:v>https://naxos-carrentals.com/el/locations/airport-pickup</x:v>
      </x:c>
      <x:c r="D14" s="9" t="str">
        <x:v>Arrival section</x:v>
      </x:c>
      <x:c r="E14" s="9" t="str">
        <x:v>Airport pickup details — localize naturally</x:v>
      </x:c>
      <x:c r="F14" s="9" t="str">
        <x:v>Implemented in local redesign</x:v>
      </x:c>
      <x:c r="G14" s="9" t="str">
        <x:v>EXISTING local route</x:v>
      </x:c>
      <x:c r="H14" s="9" t="str">
        <x:v>EXISTING local route</x:v>
      </x:c>
      <x:c r="I14" s="9" t="str">
        <x:v>SRC-REPO; local validate:site</x:v>
      </x:c>
      <x:c r="J14" s="9" t="str">
        <x:v>PROPOSED</x:v>
      </x:c>
    </x:row>
    <x:row r="15" ht="48" customHeight="1">
      <x:c r="A15" s="8" t="str">
        <x:v>L11</x:v>
      </x:c>
      <x:c r="B15" s="10" t="str">
        <x:v>https://naxos-carrentals.com/el</x:v>
      </x:c>
      <x:c r="C15" s="10" t="str">
        <x:v>https://naxos-carrentals.com/el/fleet/collections/automatic</x:v>
      </x:c>
      <x:c r="D15" s="8" t="str">
        <x:v>Vehicle choice</x:v>
      </x:c>
      <x:c r="E15" s="8" t="str">
        <x:v>Automatic cars — localize naturally</x:v>
      </x:c>
      <x:c r="F15" s="8" t="str">
        <x:v>Implemented in local redesign</x:v>
      </x:c>
      <x:c r="G15" s="8" t="str">
        <x:v>EXISTING local route</x:v>
      </x:c>
      <x:c r="H15" s="8" t="str">
        <x:v>EXISTING local route</x:v>
      </x:c>
      <x:c r="I15" s="8" t="str">
        <x:v>SRC-REPO; local validate:site</x:v>
      </x:c>
      <x:c r="J15" s="8" t="str">
        <x:v>PROPOSED</x:v>
      </x:c>
    </x:row>
    <x:row r="16" ht="48" customHeight="1">
      <x:c r="A16" s="9" t="str">
        <x:v>L12</x:v>
      </x:c>
      <x:c r="B16" s="11" t="str">
        <x:v>https://naxos-carrentals.com/el/fleet/cars</x:v>
      </x:c>
      <x:c r="C16" s="11" t="str">
        <x:v>https://naxos-carrentals.com/el/insurance</x:v>
      </x:c>
      <x:c r="D16" s="9" t="str">
        <x:v>Before booking</x:v>
      </x:c>
      <x:c r="E16" s="9" t="str">
        <x:v>What the cover includes — localize naturally</x:v>
      </x:c>
      <x:c r="F16" s="9" t="str">
        <x:v>Add or verify in context</x:v>
      </x:c>
      <x:c r="G16" s="9" t="str">
        <x:v>EXISTING local route</x:v>
      </x:c>
      <x:c r="H16" s="9" t="str">
        <x:v>EXISTING local route</x:v>
      </x:c>
      <x:c r="I16" s="9" t="str">
        <x:v>SRC-REPO; local validate:site</x:v>
      </x:c>
      <x:c r="J16" s="9" t="str">
        <x:v>PROPOSED</x:v>
      </x:c>
    </x:row>
    <x:row r="17" ht="48" customHeight="1">
      <x:c r="A17" s="8" t="str">
        <x:v>L13</x:v>
      </x:c>
      <x:c r="B17" s="10" t="str">
        <x:v>https://naxos-carrentals.com/el/guides/do-you-need-a-car-in-naxos</x:v>
      </x:c>
      <x:c r="C17" s="10" t="str">
        <x:v>https://naxos-carrentals.com/el/fleet/cars</x:v>
      </x:c>
      <x:c r="D17" s="8" t="str">
        <x:v>When a car fits the itinerary</x:v>
      </x:c>
      <x:c r="E17" s="8" t="str">
        <x:v>Compare suitable cars — localize naturally</x:v>
      </x:c>
      <x:c r="F17" s="8" t="str">
        <x:v>Add or verify in context</x:v>
      </x:c>
      <x:c r="G17" s="8" t="str">
        <x:v>EXISTING local route</x:v>
      </x:c>
      <x:c r="H17" s="8" t="str">
        <x:v>EXISTING local route</x:v>
      </x:c>
      <x:c r="I17" s="8" t="str">
        <x:v>SRC-REPO; local validate:site</x:v>
      </x:c>
      <x:c r="J17" s="8" t="str">
        <x:v>PROPOSED</x:v>
      </x:c>
    </x:row>
    <x:row r="18" ht="48" customHeight="1">
      <x:c r="A18" s="9" t="str">
        <x:v>L14</x:v>
      </x:c>
      <x:c r="B18" s="11" t="str">
        <x:v>https://naxos-carrentals.com/el/locations/port-pickup</x:v>
      </x:c>
      <x:c r="C18" s="11" t="str">
        <x:v>https://naxos-carrentals.com/el/terms</x:v>
      </x:c>
      <x:c r="D18" s="9" t="str">
        <x:v>Before arrival</x:v>
      </x:c>
      <x:c r="E18" s="9" t="str">
        <x:v>Rental and payment conditions — localize naturally</x:v>
      </x:c>
      <x:c r="F18" s="9" t="str">
        <x:v>Add or verify in context</x:v>
      </x:c>
      <x:c r="G18" s="9" t="str">
        <x:v>EXISTING local route</x:v>
      </x:c>
      <x:c r="H18" s="9" t="str">
        <x:v>EXISTING local route</x:v>
      </x:c>
      <x:c r="I18" s="9" t="str">
        <x:v>SRC-REPO; local validate:site</x:v>
      </x:c>
      <x:c r="J18" s="9" t="str">
        <x:v>PROPOSED</x:v>
      </x:c>
    </x:row>
    <x:row r="19" ht="48" customHeight="1">
      <x:c r="A19" s="8" t="str">
        <x:v>L15</x:v>
      </x:c>
      <x:c r="B19" s="10" t="str">
        <x:v>https://naxos-carrentals.com/el/fleet/collections/family-7-seater</x:v>
      </x:c>
      <x:c r="C19" s="10" t="str">
        <x:v>https://naxos-carrentals.com/el/contact</x:v>
      </x:c>
      <x:c r="D19" s="8" t="str">
        <x:v>Confirm passengers and bags</x:v>
      </x:c>
      <x:c r="E19" s="8" t="str">
        <x:v>Ask about luggage fit — localize naturally</x:v>
      </x:c>
      <x:c r="F19" s="8" t="str">
        <x:v>Add or verify in context</x:v>
      </x:c>
      <x:c r="G19" s="8" t="str">
        <x:v>EXISTING local route</x:v>
      </x:c>
      <x:c r="H19" s="8" t="str">
        <x:v>EXISTING local route</x:v>
      </x:c>
      <x:c r="I19" s="8" t="str">
        <x:v>SRC-REPO; local validate:site</x:v>
      </x:c>
      <x:c r="J19" s="8" t="str">
        <x:v>PROPOSED</x:v>
      </x:c>
    </x:row>
    <x:row r="20" ht="48" customHeight="1">
      <x:c r="A20" s="9" t="str">
        <x:v>L16</x:v>
      </x:c>
      <x:c r="B20" s="11" t="str">
        <x:v>https://naxos-carrentals.com/el/insurance</x:v>
      </x:c>
      <x:c r="C20" s="11" t="str">
        <x:v>https://naxos-carrentals.com/el/book</x:v>
      </x:c>
      <x:c r="D20" s="9" t="str">
        <x:v>After policy review</x:v>
      </x:c>
      <x:c r="E20" s="9" t="str">
        <x:v>Check dates and availability — localize naturally</x:v>
      </x:c>
      <x:c r="F20" s="9" t="str">
        <x:v>Add or verify in context</x:v>
      </x:c>
      <x:c r="G20" s="9" t="str">
        <x:v>EXISTING local route</x:v>
      </x:c>
      <x:c r="H20" s="9" t="str">
        <x:v>EXISTING local route</x:v>
      </x:c>
      <x:c r="I20" s="9" t="str">
        <x:v>SRC-REPO; local validate:site</x:v>
      </x:c>
      <x:c r="J20" s="9" t="str">
        <x:v>PROPOSED</x:v>
      </x:c>
    </x:row>
    <x:row r="21" ht="48" customHeight="1">
      <x:c r="A21" s="8" t="str">
        <x:v>L17</x:v>
      </x:c>
      <x:c r="B21" s="10" t="str">
        <x:v>https://naxos-carrentals.com/it</x:v>
      </x:c>
      <x:c r="C21" s="10" t="str">
        <x:v>https://naxos-carrentals.com/it/locations/port-pickup</x:v>
      </x:c>
      <x:c r="D21" s="8" t="str">
        <x:v>Arrival section</x:v>
      </x:c>
      <x:c r="E21" s="8" t="str">
        <x:v>Port pickup details — localize naturally</x:v>
      </x:c>
      <x:c r="F21" s="8" t="str">
        <x:v>Implemented in local redesign</x:v>
      </x:c>
      <x:c r="G21" s="8" t="str">
        <x:v>EXISTING local route</x:v>
      </x:c>
      <x:c r="H21" s="8" t="str">
        <x:v>EXISTING local route</x:v>
      </x:c>
      <x:c r="I21" s="8" t="str">
        <x:v>SRC-REPO; local validate:site</x:v>
      </x:c>
      <x:c r="J21" s="8" t="str">
        <x:v>PROPOSED</x:v>
      </x:c>
    </x:row>
    <x:row r="22" ht="48" customHeight="1">
      <x:c r="A22" s="9" t="str">
        <x:v>L18</x:v>
      </x:c>
      <x:c r="B22" s="11" t="str">
        <x:v>https://naxos-carrentals.com/it</x:v>
      </x:c>
      <x:c r="C22" s="11" t="str">
        <x:v>https://naxos-carrentals.com/it/locations/airport-pickup</x:v>
      </x:c>
      <x:c r="D22" s="9" t="str">
        <x:v>Arrival section</x:v>
      </x:c>
      <x:c r="E22" s="9" t="str">
        <x:v>Airport pickup details — localize naturally</x:v>
      </x:c>
      <x:c r="F22" s="9" t="str">
        <x:v>Implemented in local redesign</x:v>
      </x:c>
      <x:c r="G22" s="9" t="str">
        <x:v>EXISTING local route</x:v>
      </x:c>
      <x:c r="H22" s="9" t="str">
        <x:v>EXISTING local route</x:v>
      </x:c>
      <x:c r="I22" s="9" t="str">
        <x:v>SRC-REPO; local validate:site</x:v>
      </x:c>
      <x:c r="J22" s="9" t="str">
        <x:v>PROPOSED</x:v>
      </x:c>
    </x:row>
    <x:row r="23" ht="48" customHeight="1">
      <x:c r="A23" s="8" t="str">
        <x:v>L19</x:v>
      </x:c>
      <x:c r="B23" s="10" t="str">
        <x:v>https://naxos-carrentals.com/it</x:v>
      </x:c>
      <x:c r="C23" s="10" t="str">
        <x:v>https://naxos-carrentals.com/it/fleet/collections/automatic</x:v>
      </x:c>
      <x:c r="D23" s="8" t="str">
        <x:v>Vehicle choice</x:v>
      </x:c>
      <x:c r="E23" s="8" t="str">
        <x:v>Automatic cars — localize naturally</x:v>
      </x:c>
      <x:c r="F23" s="8" t="str">
        <x:v>Implemented in local redesign</x:v>
      </x:c>
      <x:c r="G23" s="8" t="str">
        <x:v>EXISTING local route</x:v>
      </x:c>
      <x:c r="H23" s="8" t="str">
        <x:v>EXISTING local route</x:v>
      </x:c>
      <x:c r="I23" s="8" t="str">
        <x:v>SRC-REPO; local validate:site</x:v>
      </x:c>
      <x:c r="J23" s="8" t="str">
        <x:v>PROPOSED</x:v>
      </x:c>
    </x:row>
    <x:row r="24" ht="48" customHeight="1">
      <x:c r="A24" s="9" t="str">
        <x:v>L20</x:v>
      </x:c>
      <x:c r="B24" s="11" t="str">
        <x:v>https://naxos-carrentals.com/it/fleet/cars</x:v>
      </x:c>
      <x:c r="C24" s="11" t="str">
        <x:v>https://naxos-carrentals.com/it/insurance</x:v>
      </x:c>
      <x:c r="D24" s="9" t="str">
        <x:v>Before booking</x:v>
      </x:c>
      <x:c r="E24" s="9" t="str">
        <x:v>What the cover includes — localize naturally</x:v>
      </x:c>
      <x:c r="F24" s="9" t="str">
        <x:v>Add or verify in context</x:v>
      </x:c>
      <x:c r="G24" s="9" t="str">
        <x:v>EXISTING local route</x:v>
      </x:c>
      <x:c r="H24" s="9" t="str">
        <x:v>EXISTING local route</x:v>
      </x:c>
      <x:c r="I24" s="9" t="str">
        <x:v>SRC-REPO; local validate:site</x:v>
      </x:c>
      <x:c r="J24" s="9" t="str">
        <x:v>PROPOSED</x:v>
      </x:c>
    </x:row>
    <x:row r="25" ht="48" customHeight="1">
      <x:c r="A25" s="8" t="str">
        <x:v>L21</x:v>
      </x:c>
      <x:c r="B25" s="10" t="str">
        <x:v>https://naxos-carrentals.com/it/guides/do-you-need-a-car-in-naxos</x:v>
      </x:c>
      <x:c r="C25" s="10" t="str">
        <x:v>https://naxos-carrentals.com/it/fleet/cars</x:v>
      </x:c>
      <x:c r="D25" s="8" t="str">
        <x:v>When a car fits the itinerary</x:v>
      </x:c>
      <x:c r="E25" s="8" t="str">
        <x:v>Compare suitable cars — localize naturally</x:v>
      </x:c>
      <x:c r="F25" s="8" t="str">
        <x:v>Add or verify in context</x:v>
      </x:c>
      <x:c r="G25" s="8" t="str">
        <x:v>EXISTING local route</x:v>
      </x:c>
      <x:c r="H25" s="8" t="str">
        <x:v>EXISTING local route</x:v>
      </x:c>
      <x:c r="I25" s="8" t="str">
        <x:v>SRC-REPO; local validate:site</x:v>
      </x:c>
      <x:c r="J25" s="8" t="str">
        <x:v>PROPOSED</x:v>
      </x:c>
    </x:row>
    <x:row r="26" ht="48" customHeight="1">
      <x:c r="A26" s="9" t="str">
        <x:v>L22</x:v>
      </x:c>
      <x:c r="B26" s="11" t="str">
        <x:v>https://naxos-carrentals.com/it/locations/port-pickup</x:v>
      </x:c>
      <x:c r="C26" s="11" t="str">
        <x:v>https://naxos-carrentals.com/it/terms</x:v>
      </x:c>
      <x:c r="D26" s="9" t="str">
        <x:v>Before arrival</x:v>
      </x:c>
      <x:c r="E26" s="9" t="str">
        <x:v>Rental and payment conditions — localize naturally</x:v>
      </x:c>
      <x:c r="F26" s="9" t="str">
        <x:v>Add or verify in context</x:v>
      </x:c>
      <x:c r="G26" s="9" t="str">
        <x:v>EXISTING local route</x:v>
      </x:c>
      <x:c r="H26" s="9" t="str">
        <x:v>EXISTING local route</x:v>
      </x:c>
      <x:c r="I26" s="9" t="str">
        <x:v>SRC-REPO; local validate:site</x:v>
      </x:c>
      <x:c r="J26" s="9" t="str">
        <x:v>PROPOSED</x:v>
      </x:c>
    </x:row>
    <x:row r="27" ht="48" customHeight="1">
      <x:c r="A27" s="8" t="str">
        <x:v>L23</x:v>
      </x:c>
      <x:c r="B27" s="10" t="str">
        <x:v>https://naxos-carrentals.com/it/fleet/collections/family-7-seater</x:v>
      </x:c>
      <x:c r="C27" s="10" t="str">
        <x:v>https://naxos-carrentals.com/it/contact</x:v>
      </x:c>
      <x:c r="D27" s="8" t="str">
        <x:v>Confirm passengers and bags</x:v>
      </x:c>
      <x:c r="E27" s="8" t="str">
        <x:v>Ask about luggage fit — localize naturally</x:v>
      </x:c>
      <x:c r="F27" s="8" t="str">
        <x:v>Add or verify in context</x:v>
      </x:c>
      <x:c r="G27" s="8" t="str">
        <x:v>EXISTING local route</x:v>
      </x:c>
      <x:c r="H27" s="8" t="str">
        <x:v>EXISTING local route</x:v>
      </x:c>
      <x:c r="I27" s="8" t="str">
        <x:v>SRC-REPO; local validate:site</x:v>
      </x:c>
      <x:c r="J27" s="8" t="str">
        <x:v>PROPOSED</x:v>
      </x:c>
    </x:row>
    <x:row r="28" ht="48" customHeight="1">
      <x:c r="A28" s="9" t="str">
        <x:v>L24</x:v>
      </x:c>
      <x:c r="B28" s="11" t="str">
        <x:v>https://naxos-carrentals.com/it/insurance</x:v>
      </x:c>
      <x:c r="C28" s="11" t="str">
        <x:v>https://naxos-carrentals.com/it/book</x:v>
      </x:c>
      <x:c r="D28" s="9" t="str">
        <x:v>After policy review</x:v>
      </x:c>
      <x:c r="E28" s="9" t="str">
        <x:v>Check dates and availability — localize naturally</x:v>
      </x:c>
      <x:c r="F28" s="9" t="str">
        <x:v>Add or verify in context</x:v>
      </x:c>
      <x:c r="G28" s="9" t="str">
        <x:v>EXISTING local route</x:v>
      </x:c>
      <x:c r="H28" s="9" t="str">
        <x:v>EXISTING local route</x:v>
      </x:c>
      <x:c r="I28" s="9" t="str">
        <x:v>SRC-REPO; local validate:site</x:v>
      </x:c>
      <x:c r="J28" s="9" t="str">
        <x:v>PROPOSED</x:v>
      </x:c>
    </x:row>
    <x:row r="29" ht="48" customHeight="1">
      <x:c r="A29" s="8" t="str">
        <x:v>L25</x:v>
      </x:c>
      <x:c r="B29" s="10" t="str">
        <x:v>https://naxos-carrentals.com/fr</x:v>
      </x:c>
      <x:c r="C29" s="10" t="str">
        <x:v>https://naxos-carrentals.com/fr/locations/port-pickup</x:v>
      </x:c>
      <x:c r="D29" s="8" t="str">
        <x:v>Arrival section</x:v>
      </x:c>
      <x:c r="E29" s="8" t="str">
        <x:v>Port pickup details — localize naturally</x:v>
      </x:c>
      <x:c r="F29" s="8" t="str">
        <x:v>Implemented in local redesign</x:v>
      </x:c>
      <x:c r="G29" s="8" t="str">
        <x:v>EXISTING local route</x:v>
      </x:c>
      <x:c r="H29" s="8" t="str">
        <x:v>EXISTING local route</x:v>
      </x:c>
      <x:c r="I29" s="8" t="str">
        <x:v>SRC-REPO; local validate:site</x:v>
      </x:c>
      <x:c r="J29" s="8" t="str">
        <x:v>PROPOSED</x:v>
      </x:c>
    </x:row>
    <x:row r="30" ht="48" customHeight="1">
      <x:c r="A30" s="9" t="str">
        <x:v>L26</x:v>
      </x:c>
      <x:c r="B30" s="11" t="str">
        <x:v>https://naxos-carrentals.com/fr</x:v>
      </x:c>
      <x:c r="C30" s="11" t="str">
        <x:v>https://naxos-carrentals.com/fr/locations/airport-pickup</x:v>
      </x:c>
      <x:c r="D30" s="9" t="str">
        <x:v>Arrival section</x:v>
      </x:c>
      <x:c r="E30" s="9" t="str">
        <x:v>Airport pickup details — localize naturally</x:v>
      </x:c>
      <x:c r="F30" s="9" t="str">
        <x:v>Implemented in local redesign</x:v>
      </x:c>
      <x:c r="G30" s="9" t="str">
        <x:v>EXISTING local route</x:v>
      </x:c>
      <x:c r="H30" s="9" t="str">
        <x:v>EXISTING local route</x:v>
      </x:c>
      <x:c r="I30" s="9" t="str">
        <x:v>SRC-REPO; local validate:site</x:v>
      </x:c>
      <x:c r="J30" s="9" t="str">
        <x:v>PROPOSED</x:v>
      </x:c>
    </x:row>
    <x:row r="31" ht="48" customHeight="1">
      <x:c r="A31" s="8" t="str">
        <x:v>L27</x:v>
      </x:c>
      <x:c r="B31" s="10" t="str">
        <x:v>https://naxos-carrentals.com/fr</x:v>
      </x:c>
      <x:c r="C31" s="10" t="str">
        <x:v>https://naxos-carrentals.com/fr/fleet/collections/automatic</x:v>
      </x:c>
      <x:c r="D31" s="8" t="str">
        <x:v>Vehicle choice</x:v>
      </x:c>
      <x:c r="E31" s="8" t="str">
        <x:v>Automatic cars — localize naturally</x:v>
      </x:c>
      <x:c r="F31" s="8" t="str">
        <x:v>Implemented in local redesign</x:v>
      </x:c>
      <x:c r="G31" s="8" t="str">
        <x:v>EXISTING local route</x:v>
      </x:c>
      <x:c r="H31" s="8" t="str">
        <x:v>EXISTING local route</x:v>
      </x:c>
      <x:c r="I31" s="8" t="str">
        <x:v>SRC-REPO; local validate:site</x:v>
      </x:c>
      <x:c r="J31" s="8" t="str">
        <x:v>PROPOSED</x:v>
      </x:c>
    </x:row>
    <x:row r="32" ht="48" customHeight="1">
      <x:c r="A32" s="9" t="str">
        <x:v>L28</x:v>
      </x:c>
      <x:c r="B32" s="11" t="str">
        <x:v>https://naxos-carrentals.com/fr/fleet/cars</x:v>
      </x:c>
      <x:c r="C32" s="11" t="str">
        <x:v>https://naxos-carrentals.com/fr/insurance</x:v>
      </x:c>
      <x:c r="D32" s="9" t="str">
        <x:v>Before booking</x:v>
      </x:c>
      <x:c r="E32" s="9" t="str">
        <x:v>What the cover includes — localize naturally</x:v>
      </x:c>
      <x:c r="F32" s="9" t="str">
        <x:v>Add or verify in context</x:v>
      </x:c>
      <x:c r="G32" s="9" t="str">
        <x:v>EXISTING local route</x:v>
      </x:c>
      <x:c r="H32" s="9" t="str">
        <x:v>EXISTING local route</x:v>
      </x:c>
      <x:c r="I32" s="9" t="str">
        <x:v>SRC-REPO; local validate:site</x:v>
      </x:c>
      <x:c r="J32" s="9" t="str">
        <x:v>PROPOSED</x:v>
      </x:c>
    </x:row>
    <x:row r="33" ht="48" customHeight="1">
      <x:c r="A33" s="8" t="str">
        <x:v>L29</x:v>
      </x:c>
      <x:c r="B33" s="10" t="str">
        <x:v>https://naxos-carrentals.com/fr/guides/do-you-need-a-car-in-naxos</x:v>
      </x:c>
      <x:c r="C33" s="10" t="str">
        <x:v>https://naxos-carrentals.com/fr/fleet/cars</x:v>
      </x:c>
      <x:c r="D33" s="8" t="str">
        <x:v>When a car fits the itinerary</x:v>
      </x:c>
      <x:c r="E33" s="8" t="str">
        <x:v>Compare suitable cars — localize naturally</x:v>
      </x:c>
      <x:c r="F33" s="8" t="str">
        <x:v>Add or verify in context</x:v>
      </x:c>
      <x:c r="G33" s="8" t="str">
        <x:v>EXISTING local route</x:v>
      </x:c>
      <x:c r="H33" s="8" t="str">
        <x:v>EXISTING local route</x:v>
      </x:c>
      <x:c r="I33" s="8" t="str">
        <x:v>SRC-REPO; local validate:site</x:v>
      </x:c>
      <x:c r="J33" s="8" t="str">
        <x:v>PROPOSED</x:v>
      </x:c>
    </x:row>
    <x:row r="34" ht="48" customHeight="1">
      <x:c r="A34" s="9" t="str">
        <x:v>L30</x:v>
      </x:c>
      <x:c r="B34" s="11" t="str">
        <x:v>https://naxos-carrentals.com/fr/locations/port-pickup</x:v>
      </x:c>
      <x:c r="C34" s="11" t="str">
        <x:v>https://naxos-carrentals.com/fr/terms</x:v>
      </x:c>
      <x:c r="D34" s="9" t="str">
        <x:v>Before arrival</x:v>
      </x:c>
      <x:c r="E34" s="9" t="str">
        <x:v>Rental and payment conditions — localize naturally</x:v>
      </x:c>
      <x:c r="F34" s="9" t="str">
        <x:v>Add or verify in context</x:v>
      </x:c>
      <x:c r="G34" s="9" t="str">
        <x:v>EXISTING local route</x:v>
      </x:c>
      <x:c r="H34" s="9" t="str">
        <x:v>EXISTING local route</x:v>
      </x:c>
      <x:c r="I34" s="9" t="str">
        <x:v>SRC-REPO; local validate:site</x:v>
      </x:c>
      <x:c r="J34" s="9" t="str">
        <x:v>PROPOSED</x:v>
      </x:c>
    </x:row>
    <x:row r="35" ht="48" customHeight="1">
      <x:c r="A35" s="8" t="str">
        <x:v>L31</x:v>
      </x:c>
      <x:c r="B35" s="10" t="str">
        <x:v>https://naxos-carrentals.com/fr/fleet/collections/family-7-seater</x:v>
      </x:c>
      <x:c r="C35" s="10" t="str">
        <x:v>https://naxos-carrentals.com/fr/contact</x:v>
      </x:c>
      <x:c r="D35" s="8" t="str">
        <x:v>Confirm passengers and bags</x:v>
      </x:c>
      <x:c r="E35" s="8" t="str">
        <x:v>Ask about luggage fit — localize naturally</x:v>
      </x:c>
      <x:c r="F35" s="8" t="str">
        <x:v>Add or verify in context</x:v>
      </x:c>
      <x:c r="G35" s="8" t="str">
        <x:v>EXISTING local route</x:v>
      </x:c>
      <x:c r="H35" s="8" t="str">
        <x:v>EXISTING local route</x:v>
      </x:c>
      <x:c r="I35" s="8" t="str">
        <x:v>SRC-REPO; local validate:site</x:v>
      </x:c>
      <x:c r="J35" s="8" t="str">
        <x:v>PROPOSED</x:v>
      </x:c>
    </x:row>
    <x:row r="36" ht="48" customHeight="1">
      <x:c r="A36" s="9" t="str">
        <x:v>L32</x:v>
      </x:c>
      <x:c r="B36" s="11" t="str">
        <x:v>https://naxos-carrentals.com/fr/insurance</x:v>
      </x:c>
      <x:c r="C36" s="11" t="str">
        <x:v>https://naxos-carrentals.com/fr/book</x:v>
      </x:c>
      <x:c r="D36" s="9" t="str">
        <x:v>After policy review</x:v>
      </x:c>
      <x:c r="E36" s="9" t="str">
        <x:v>Check dates and availability — localize naturally</x:v>
      </x:c>
      <x:c r="F36" s="9" t="str">
        <x:v>Add or verify in context</x:v>
      </x:c>
      <x:c r="G36" s="9" t="str">
        <x:v>EXISTING local route</x:v>
      </x:c>
      <x:c r="H36" s="9" t="str">
        <x:v>EXISTING local route</x:v>
      </x:c>
      <x:c r="I36" s="9" t="str">
        <x:v>SRC-REPO; local validate:site</x:v>
      </x:c>
      <x:c r="J36" s="9" t="str">
        <x:v>PROPOSED</x:v>
      </x:c>
    </x:row>
    <x:row r="37" ht="48" customHeight="1">
      <x:c r="A37" s="8" t="str">
        <x:v>L33</x:v>
      </x:c>
      <x:c r="B37" s="10" t="str">
        <x:v>https://naxos-carrentals.com/de</x:v>
      </x:c>
      <x:c r="C37" s="10" t="str">
        <x:v>https://naxos-carrentals.com/de/locations/port-pickup</x:v>
      </x:c>
      <x:c r="D37" s="8" t="str">
        <x:v>Arrival section</x:v>
      </x:c>
      <x:c r="E37" s="8" t="str">
        <x:v>Port pickup details — localize naturally</x:v>
      </x:c>
      <x:c r="F37" s="8" t="str">
        <x:v>Implemented in local redesign</x:v>
      </x:c>
      <x:c r="G37" s="8" t="str">
        <x:v>EXISTING local route</x:v>
      </x:c>
      <x:c r="H37" s="8" t="str">
        <x:v>EXISTING local route</x:v>
      </x:c>
      <x:c r="I37" s="8" t="str">
        <x:v>SRC-REPO; local validate:site</x:v>
      </x:c>
      <x:c r="J37" s="8" t="str">
        <x:v>PROPOSED</x:v>
      </x:c>
    </x:row>
    <x:row r="38" ht="48" customHeight="1">
      <x:c r="A38" s="9" t="str">
        <x:v>L34</x:v>
      </x:c>
      <x:c r="B38" s="11" t="str">
        <x:v>https://naxos-carrentals.com/de</x:v>
      </x:c>
      <x:c r="C38" s="11" t="str">
        <x:v>https://naxos-carrentals.com/de/locations/airport-pickup</x:v>
      </x:c>
      <x:c r="D38" s="9" t="str">
        <x:v>Arrival section</x:v>
      </x:c>
      <x:c r="E38" s="9" t="str">
        <x:v>Airport pickup details — localize naturally</x:v>
      </x:c>
      <x:c r="F38" s="9" t="str">
        <x:v>Implemented in local redesign</x:v>
      </x:c>
      <x:c r="G38" s="9" t="str">
        <x:v>EXISTING local route</x:v>
      </x:c>
      <x:c r="H38" s="9" t="str">
        <x:v>EXISTING local route</x:v>
      </x:c>
      <x:c r="I38" s="9" t="str">
        <x:v>SRC-REPO; local validate:site</x:v>
      </x:c>
      <x:c r="J38" s="9" t="str">
        <x:v>PROPOSED</x:v>
      </x:c>
    </x:row>
    <x:row r="39" ht="48" customHeight="1">
      <x:c r="A39" s="8" t="str">
        <x:v>L35</x:v>
      </x:c>
      <x:c r="B39" s="10" t="str">
        <x:v>https://naxos-carrentals.com/de</x:v>
      </x:c>
      <x:c r="C39" s="10" t="str">
        <x:v>https://naxos-carrentals.com/de/fleet/collections/automatic</x:v>
      </x:c>
      <x:c r="D39" s="8" t="str">
        <x:v>Vehicle choice</x:v>
      </x:c>
      <x:c r="E39" s="8" t="str">
        <x:v>Automatic cars — localize naturally</x:v>
      </x:c>
      <x:c r="F39" s="8" t="str">
        <x:v>Implemented in local redesign</x:v>
      </x:c>
      <x:c r="G39" s="8" t="str">
        <x:v>EXISTING local route</x:v>
      </x:c>
      <x:c r="H39" s="8" t="str">
        <x:v>EXISTING local route</x:v>
      </x:c>
      <x:c r="I39" s="8" t="str">
        <x:v>SRC-REPO; local validate:site</x:v>
      </x:c>
      <x:c r="J39" s="8" t="str">
        <x:v>PROPOSED</x:v>
      </x:c>
    </x:row>
    <x:row r="40" ht="48" customHeight="1">
      <x:c r="A40" s="9" t="str">
        <x:v>L36</x:v>
      </x:c>
      <x:c r="B40" s="11" t="str">
        <x:v>https://naxos-carrentals.com/de/fleet/cars</x:v>
      </x:c>
      <x:c r="C40" s="11" t="str">
        <x:v>https://naxos-carrentals.com/de/insurance</x:v>
      </x:c>
      <x:c r="D40" s="9" t="str">
        <x:v>Before booking</x:v>
      </x:c>
      <x:c r="E40" s="9" t="str">
        <x:v>What the cover includes — localize naturally</x:v>
      </x:c>
      <x:c r="F40" s="9" t="str">
        <x:v>Add or verify in context</x:v>
      </x:c>
      <x:c r="G40" s="9" t="str">
        <x:v>EXISTING local route</x:v>
      </x:c>
      <x:c r="H40" s="9" t="str">
        <x:v>EXISTING local route</x:v>
      </x:c>
      <x:c r="I40" s="9" t="str">
        <x:v>SRC-REPO; local validate:site</x:v>
      </x:c>
      <x:c r="J40" s="9" t="str">
        <x:v>PROPOSED</x:v>
      </x:c>
    </x:row>
    <x:row r="41" ht="48" customHeight="1">
      <x:c r="A41" s="8" t="str">
        <x:v>L37</x:v>
      </x:c>
      <x:c r="B41" s="10" t="str">
        <x:v>https://naxos-carrentals.com/de/guides/do-you-need-a-car-in-naxos</x:v>
      </x:c>
      <x:c r="C41" s="10" t="str">
        <x:v>https://naxos-carrentals.com/de/fleet/cars</x:v>
      </x:c>
      <x:c r="D41" s="8" t="str">
        <x:v>When a car fits the itinerary</x:v>
      </x:c>
      <x:c r="E41" s="8" t="str">
        <x:v>Compare suitable cars — localize naturally</x:v>
      </x:c>
      <x:c r="F41" s="8" t="str">
        <x:v>Add or verify in context</x:v>
      </x:c>
      <x:c r="G41" s="8" t="str">
        <x:v>EXISTING local route</x:v>
      </x:c>
      <x:c r="H41" s="8" t="str">
        <x:v>EXISTING local route</x:v>
      </x:c>
      <x:c r="I41" s="8" t="str">
        <x:v>SRC-REPO; local validate:site</x:v>
      </x:c>
      <x:c r="J41" s="8" t="str">
        <x:v>PROPOSED</x:v>
      </x:c>
    </x:row>
    <x:row r="42" ht="48" customHeight="1">
      <x:c r="A42" s="9" t="str">
        <x:v>L38</x:v>
      </x:c>
      <x:c r="B42" s="11" t="str">
        <x:v>https://naxos-carrentals.com/de/locations/port-pickup</x:v>
      </x:c>
      <x:c r="C42" s="11" t="str">
        <x:v>https://naxos-carrentals.com/de/terms</x:v>
      </x:c>
      <x:c r="D42" s="9" t="str">
        <x:v>Before arrival</x:v>
      </x:c>
      <x:c r="E42" s="9" t="str">
        <x:v>Rental and payment conditions — localize naturally</x:v>
      </x:c>
      <x:c r="F42" s="9" t="str">
        <x:v>Add or verify in context</x:v>
      </x:c>
      <x:c r="G42" s="9" t="str">
        <x:v>EXISTING local route</x:v>
      </x:c>
      <x:c r="H42" s="9" t="str">
        <x:v>EXISTING local route</x:v>
      </x:c>
      <x:c r="I42" s="9" t="str">
        <x:v>SRC-REPO; local validate:site</x:v>
      </x:c>
      <x:c r="J42" s="9" t="str">
        <x:v>PROPOSED</x:v>
      </x:c>
    </x:row>
    <x:row r="43" ht="48" customHeight="1">
      <x:c r="A43" s="8" t="str">
        <x:v>L39</x:v>
      </x:c>
      <x:c r="B43" s="10" t="str">
        <x:v>https://naxos-carrentals.com/de/fleet/collections/family-7-seater</x:v>
      </x:c>
      <x:c r="C43" s="10" t="str">
        <x:v>https://naxos-carrentals.com/de/contact</x:v>
      </x:c>
      <x:c r="D43" s="8" t="str">
        <x:v>Confirm passengers and bags</x:v>
      </x:c>
      <x:c r="E43" s="8" t="str">
        <x:v>Ask about luggage fit — localize naturally</x:v>
      </x:c>
      <x:c r="F43" s="8" t="str">
        <x:v>Add or verify in context</x:v>
      </x:c>
      <x:c r="G43" s="8" t="str">
        <x:v>EXISTING local route</x:v>
      </x:c>
      <x:c r="H43" s="8" t="str">
        <x:v>EXISTING local route</x:v>
      </x:c>
      <x:c r="I43" s="8" t="str">
        <x:v>SRC-REPO; local validate:site</x:v>
      </x:c>
      <x:c r="J43" s="8" t="str">
        <x:v>PROPOSED</x:v>
      </x:c>
    </x:row>
    <x:row r="44" ht="48" customHeight="1">
      <x:c r="A44" s="9" t="str">
        <x:v>L40</x:v>
      </x:c>
      <x:c r="B44" s="11" t="str">
        <x:v>https://naxos-carrentals.com/de/insurance</x:v>
      </x:c>
      <x:c r="C44" s="11" t="str">
        <x:v>https://naxos-carrentals.com/de/book</x:v>
      </x:c>
      <x:c r="D44" s="9" t="str">
        <x:v>After policy review</x:v>
      </x:c>
      <x:c r="E44" s="9" t="str">
        <x:v>Check dates and availability — localize naturally</x:v>
      </x:c>
      <x:c r="F44" s="9" t="str">
        <x:v>Add or verify in context</x:v>
      </x:c>
      <x:c r="G44" s="9" t="str">
        <x:v>EXISTING local route</x:v>
      </x:c>
      <x:c r="H44" s="9" t="str">
        <x:v>EXISTING local route</x:v>
      </x:c>
      <x:c r="I44" s="9" t="str">
        <x:v>SRC-REPO; local validate:site</x:v>
      </x:c>
      <x:c r="J44" s="9" t="str">
        <x:v>PROPOSED</x:v>
      </x:c>
    </x:row>
  </x:sheetData>
  <x:mergeCells>
    <x:mergeCell ref="A1:E1"/>
    <x:mergeCell ref="A2:F2"/>
  </x:mergeCells>
  <x:conditionalFormatting sqref="J5:J44">
    <x:cfRule type="containsText" dxfId="16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96ea7cb4a18342b9"/>
  </x:tableParts>
</x:worksheet>
</file>

<file path=xl/worksheets/sheet16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42" hidden="0" customWidth="1"/>
    <x:col min="3" max="3" width="16" hidden="0" customWidth="1"/>
    <x:col min="4" max="4" width="20" hidden="0" customWidth="1"/>
    <x:col min="5" max="5" width="26" hidden="0" customWidth="1"/>
    <x:col min="6" max="6" width="72" hidden="0" customWidth="1"/>
    <x:col min="7" max="7" width="21" hidden="0" customWidth="1"/>
    <x:col min="8" max="8" width="28" hidden="0" customWidth="1"/>
    <x:col min="9" max="9" width="24" hidden="0" customWidth="1"/>
    <x:col min="10" max="10" width="23" hidden="0" customWidth="1"/>
    <x:col min="11" max="11" width="79" hidden="0" customWidth="1"/>
    <x:col min="12" max="12" width="55" hidden="0" customWidth="1"/>
  </x:cols>
  <x:sheetData>
    <x:row r="1" ht="34" customHeight="1">
      <x:c r="A1" s="4" t="str">
        <x:v>Launch Rankings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4" customHeight="1">
      <x:c r="A2" s="5" t="str">
        <x:v>Baseline rank fields are empty where unavailable. Competitor positions are explicitly labeled. Add a separate Bing cohort when a supported source is available.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42" customHeight="1">
      <x:c r="A4" s="7" t="str">
        <x:v>Tracking ID</x:v>
      </x:c>
      <x:c r="B4" s="7" t="str">
        <x:v>Keyword</x:v>
      </x:c>
      <x:c r="C4" s="7" t="str">
        <x:v>Country</x:v>
      </x:c>
      <x:c r="D4" s="7" t="str">
        <x:v>Language</x:v>
      </x:c>
      <x:c r="E4" s="7" t="str">
        <x:v>Engine / source</x:v>
      </x:c>
      <x:c r="F4" s="7" t="str">
        <x:v>Target / observed URL</x:v>
      </x:c>
      <x:c r="G4" s="7" t="str">
        <x:v>Observed position</x:v>
      </x:c>
      <x:c r="H4" s="7" t="str">
        <x:v>Underlying update</x:v>
      </x:c>
      <x:c r="I4" s="7" t="str">
        <x:v>Report date</x:v>
      </x:c>
      <x:c r="J4" s="7" t="str">
        <x:v>Evidence status</x:v>
      </x:c>
      <x:c r="K4" s="7" t="str">
        <x:v>Definition</x:v>
      </x:c>
      <x:c r="L4" s="7" t="str">
        <x:v>Source IDs</x:v>
      </x:c>
    </x:row>
    <x:row r="5" ht="48" customHeight="1">
      <x:c r="A5" s="8" t="str">
        <x:v>R1</x:v>
      </x:c>
      <x:c r="B5" s="8" t="str">
        <x:v>location voiture naxos port</x:v>
      </x:c>
      <x:c r="C5" s="8" t="str">
        <x:v>FR</x:v>
      </x:c>
      <x:c r="D5" s="8" t="str">
        <x:v>French</x:v>
      </x:c>
      <x:c r="E5" s="8" t="str">
        <x:v>Google</x:v>
      </x:c>
      <x:c r="F5" s="10" t="str">
        <x:v>https://naxos-carrentals.com/fr/locations/port-pickup</x:v>
      </x:c>
      <x:c r="G5" s="8"/>
      <x:c r="H5" s="8"/>
      <x:c r="I5" s="8" t="str">
        <x:v>2026-09-24</x:v>
      </x:c>
      <x:c r="J5" s="8" t="str">
        <x:v>UNAVAILABLE</x:v>
      </x:c>
      <x:c r="K5" s="8" t="str">
        <x:v>Proposed fixed tracking cohort; target endpoint empty. Missing is not rank0.</x:v>
      </x:c>
      <x:c r="L5" s="8" t="str">
        <x:v>baseline-keywords; baseline-sept01; kw-fr</x:v>
      </x:c>
    </x:row>
    <x:row r="6" ht="48" customHeight="1">
      <x:c r="A6" s="9" t="str">
        <x:v>R2</x:v>
      </x:c>
      <x:c r="B6" s="9" t="str">
        <x:v>location voiture naxos</x:v>
      </x:c>
      <x:c r="C6" s="9" t="str">
        <x:v>FR</x:v>
      </x:c>
      <x:c r="D6" s="9" t="str">
        <x:v>French</x:v>
      </x:c>
      <x:c r="E6" s="9" t="str">
        <x:v>Google</x:v>
      </x:c>
      <x:c r="F6" s="11" t="str">
        <x:v>https://naxos-carrentals.com/fr</x:v>
      </x:c>
      <x:c r="G6" s="9"/>
      <x:c r="H6" s="9"/>
      <x:c r="I6" s="9" t="str">
        <x:v>2026-09-24</x:v>
      </x:c>
      <x:c r="J6" s="9" t="str">
        <x:v>UNAVAILABLE</x:v>
      </x:c>
      <x:c r="K6" s="9" t="str">
        <x:v>Proposed fixed tracking cohort; target endpoint empty. Missing is not rank0.</x:v>
      </x:c>
      <x:c r="L6" s="9" t="str">
        <x:v>baseline-keywords; baseline-sept01; kw-fr</x:v>
      </x:c>
    </x:row>
    <x:row r="7" ht="48" customHeight="1">
      <x:c r="A7" s="8" t="str">
        <x:v>R3</x:v>
      </x:c>
      <x:c r="B7" s="8" t="str">
        <x:v>location voiture naxos aéroport</x:v>
      </x:c>
      <x:c r="C7" s="8" t="str">
        <x:v>FR</x:v>
      </x:c>
      <x:c r="D7" s="8" t="str">
        <x:v>French</x:v>
      </x:c>
      <x:c r="E7" s="8" t="str">
        <x:v>Google</x:v>
      </x:c>
      <x:c r="F7" s="10" t="str">
        <x:v>https://naxos-carrentals.com/fr/locations/airport-pickup</x:v>
      </x:c>
      <x:c r="G7" s="8"/>
      <x:c r="H7" s="8"/>
      <x:c r="I7" s="8" t="str">
        <x:v>2026-09-24</x:v>
      </x:c>
      <x:c r="J7" s="8" t="str">
        <x:v>UNAVAILABLE</x:v>
      </x:c>
      <x:c r="K7" s="8" t="str">
        <x:v>Proposed fixed tracking cohort; target endpoint empty. Missing is not rank0.</x:v>
      </x:c>
      <x:c r="L7" s="8" t="str">
        <x:v>baseline-keywords; baseline-sept01; kw-fr</x:v>
      </x:c>
    </x:row>
    <x:row r="8" ht="48" customHeight="1">
      <x:c r="A8" s="9" t="str">
        <x:v>R4</x:v>
      </x:c>
      <x:c r="B8" s="9" t="str">
        <x:v>ενοικιαζόμενα αυτοκίνητα νάξος</x:v>
      </x:c>
      <x:c r="C8" s="9" t="str">
        <x:v>GR</x:v>
      </x:c>
      <x:c r="D8" s="9" t="str">
        <x:v>Greek</x:v>
      </x:c>
      <x:c r="E8" s="9" t="str">
        <x:v>Google</x:v>
      </x:c>
      <x:c r="F8" s="11" t="str">
        <x:v>https://naxos-carrentals.com/el</x:v>
      </x:c>
      <x:c r="G8" s="9"/>
      <x:c r="H8" s="9"/>
      <x:c r="I8" s="9" t="str">
        <x:v>2026-09-24</x:v>
      </x:c>
      <x:c r="J8" s="9" t="str">
        <x:v>UNAVAILABLE</x:v>
      </x:c>
      <x:c r="K8" s="9" t="str">
        <x:v>Proposed fixed tracking cohort; target endpoint empty. Missing is not rank0.</x:v>
      </x:c>
      <x:c r="L8" s="9" t="str">
        <x:v>baseline-keywords; baseline-sept01; kw-gr</x:v>
      </x:c>
    </x:row>
    <x:row r="9" ht="48" customHeight="1">
      <x:c r="A9" s="8" t="str">
        <x:v>R5</x:v>
      </x:c>
      <x:c r="B9" s="8" t="str">
        <x:v>noleggio auto naxos</x:v>
      </x:c>
      <x:c r="C9" s="8" t="str">
        <x:v>IT</x:v>
      </x:c>
      <x:c r="D9" s="8" t="str">
        <x:v>Italian</x:v>
      </x:c>
      <x:c r="E9" s="8" t="str">
        <x:v>Google</x:v>
      </x:c>
      <x:c r="F9" s="10" t="str">
        <x:v>https://naxos-carrentals.com/it</x:v>
      </x:c>
      <x:c r="G9" s="8"/>
      <x:c r="H9" s="8"/>
      <x:c r="I9" s="8" t="str">
        <x:v>2026-09-24</x:v>
      </x:c>
      <x:c r="J9" s="8" t="str">
        <x:v>UNAVAILABLE</x:v>
      </x:c>
      <x:c r="K9" s="8" t="str">
        <x:v>Proposed fixed tracking cohort; target endpoint empty. Missing is not rank0.</x:v>
      </x:c>
      <x:c r="L9" s="8" t="str">
        <x:v>baseline-keywords; baseline-sept01; kw-it</x:v>
      </x:c>
    </x:row>
    <x:row r="10" ht="48" customHeight="1">
      <x:c r="A10" s="9" t="str">
        <x:v>R6</x:v>
      </x:c>
      <x:c r="B10" s="9" t="str">
        <x:v>noleggio auto naxos porto</x:v>
      </x:c>
      <x:c r="C10" s="9" t="str">
        <x:v>IT</x:v>
      </x:c>
      <x:c r="D10" s="9" t="str">
        <x:v>Italian</x:v>
      </x:c>
      <x:c r="E10" s="9" t="str">
        <x:v>Google</x:v>
      </x:c>
      <x:c r="F10" s="11" t="str">
        <x:v>https://naxos-carrentals.com/it/locations/port-pickup</x:v>
      </x:c>
      <x:c r="G10" s="9"/>
      <x:c r="H10" s="9"/>
      <x:c r="I10" s="9" t="str">
        <x:v>2026-09-24</x:v>
      </x:c>
      <x:c r="J10" s="9" t="str">
        <x:v>UNAVAILABLE</x:v>
      </x:c>
      <x:c r="K10" s="9" t="str">
        <x:v>Proposed fixed tracking cohort; target endpoint empty. Missing is not rank0.</x:v>
      </x:c>
      <x:c r="L10" s="9" t="str">
        <x:v>baseline-keywords; baseline-sept01; kw-it</x:v>
      </x:c>
    </x:row>
    <x:row r="11" ht="48" customHeight="1">
      <x:c r="A11" s="8" t="str">
        <x:v>R7</x:v>
      </x:c>
      <x:c r="B11" s="8" t="str">
        <x:v>noleggio auto naxos aeroporto</x:v>
      </x:c>
      <x:c r="C11" s="8" t="str">
        <x:v>IT</x:v>
      </x:c>
      <x:c r="D11" s="8" t="str">
        <x:v>Italian</x:v>
      </x:c>
      <x:c r="E11" s="8" t="str">
        <x:v>Google</x:v>
      </x:c>
      <x:c r="F11" s="10" t="str">
        <x:v>https://naxos-carrentals.com/it/locations/airport-pickup</x:v>
      </x:c>
      <x:c r="G11" s="8"/>
      <x:c r="H11" s="8"/>
      <x:c r="I11" s="8" t="str">
        <x:v>2026-09-24</x:v>
      </x:c>
      <x:c r="J11" s="8" t="str">
        <x:v>UNAVAILABLE</x:v>
      </x:c>
      <x:c r="K11" s="8" t="str">
        <x:v>Proposed fixed tracking cohort; target endpoint empty. Missing is not rank0.</x:v>
      </x:c>
      <x:c r="L11" s="8" t="str">
        <x:v>baseline-keywords; baseline-sept01; kw-it</x:v>
      </x:c>
    </x:row>
    <x:row r="12" ht="48" customHeight="1">
      <x:c r="A12" s="9" t="str">
        <x:v>R8</x:v>
      </x:c>
      <x:c r="B12" s="9" t="str">
        <x:v>do you need a car in naxos</x:v>
      </x:c>
      <x:c r="C12" s="9" t="str">
        <x:v>GB</x:v>
      </x:c>
      <x:c r="D12" s="9" t="str">
        <x:v>English</x:v>
      </x:c>
      <x:c r="E12" s="9" t="str">
        <x:v>Google</x:v>
      </x:c>
      <x:c r="F12" s="11" t="str">
        <x:v>https://naxos-carrentals.com/en/guides/do-you-need-a-car-in-naxos</x:v>
      </x:c>
      <x:c r="G12" s="9"/>
      <x:c r="H12" s="9"/>
      <x:c r="I12" s="9" t="str">
        <x:v>2026-09-24</x:v>
      </x:c>
      <x:c r="J12" s="9" t="str">
        <x:v>UNAVAILABLE</x:v>
      </x:c>
      <x:c r="K12" s="9" t="str">
        <x:v>Proposed fixed tracking cohort; target endpoint empty. Missing is not rank0.</x:v>
      </x:c>
      <x:c r="L12" s="9" t="str">
        <x:v>baseline-keywords; baseline-sept01; kw-gb</x:v>
      </x:c>
    </x:row>
    <x:row r="13" ht="48" customHeight="1">
      <x:c r="A13" s="8" t="str">
        <x:v>R9</x:v>
      </x:c>
      <x:c r="B13" s="8" t="str">
        <x:v>naxos car rental</x:v>
      </x:c>
      <x:c r="C13" s="8" t="str">
        <x:v>GB</x:v>
      </x:c>
      <x:c r="D13" s="8" t="str">
        <x:v>English</x:v>
      </x:c>
      <x:c r="E13" s="8" t="str">
        <x:v>Google</x:v>
      </x:c>
      <x:c r="F13" s="10" t="str">
        <x:v>https://naxos-carrentals.com/en</x:v>
      </x:c>
      <x:c r="G13" s="8"/>
      <x:c r="H13" s="8"/>
      <x:c r="I13" s="8" t="str">
        <x:v>2026-09-24</x:v>
      </x:c>
      <x:c r="J13" s="8" t="str">
        <x:v>UNAVAILABLE</x:v>
      </x:c>
      <x:c r="K13" s="8" t="str">
        <x:v>Proposed fixed tracking cohort; target endpoint empty. Missing is not rank0.</x:v>
      </x:c>
      <x:c r="L13" s="8" t="str">
        <x:v>baseline-keywords; baseline-sept01; kw-gb</x:v>
      </x:c>
    </x:row>
    <x:row r="14" ht="48" customHeight="1">
      <x:c r="A14" s="9" t="str">
        <x:v>R10</x:v>
      </x:c>
      <x:c r="B14" s="9" t="str">
        <x:v>naxos port car rental</x:v>
      </x:c>
      <x:c r="C14" s="9" t="str">
        <x:v>GB</x:v>
      </x:c>
      <x:c r="D14" s="9" t="str">
        <x:v>English</x:v>
      </x:c>
      <x:c r="E14" s="9" t="str">
        <x:v>Google</x:v>
      </x:c>
      <x:c r="F14" s="11" t="str">
        <x:v>https://naxos-carrentals.com/en/locations/port-pickup</x:v>
      </x:c>
      <x:c r="G14" s="9"/>
      <x:c r="H14" s="9"/>
      <x:c r="I14" s="9" t="str">
        <x:v>2026-09-24</x:v>
      </x:c>
      <x:c r="J14" s="9" t="str">
        <x:v>UNAVAILABLE</x:v>
      </x:c>
      <x:c r="K14" s="9" t="str">
        <x:v>Proposed fixed tracking cohort; target endpoint empty. Missing is not rank0.</x:v>
      </x:c>
      <x:c r="L14" s="9" t="str">
        <x:v>baseline-keywords; baseline-sept01; kw-gb</x:v>
      </x:c>
    </x:row>
    <x:row r="15" ht="48" customHeight="1">
      <x:c r="A15" s="8" t="str">
        <x:v>R11</x:v>
      </x:c>
      <x:c r="B15" s="8" t="str">
        <x:v>auto mieten naxos</x:v>
      </x:c>
      <x:c r="C15" s="8" t="str">
        <x:v>DE</x:v>
      </x:c>
      <x:c r="D15" s="8" t="str">
        <x:v>German</x:v>
      </x:c>
      <x:c r="E15" s="8" t="str">
        <x:v>Google</x:v>
      </x:c>
      <x:c r="F15" s="10" t="str">
        <x:v>https://naxos-carrentals.com/de</x:v>
      </x:c>
      <x:c r="G15" s="8"/>
      <x:c r="H15" s="8"/>
      <x:c r="I15" s="8" t="str">
        <x:v>2026-09-24</x:v>
      </x:c>
      <x:c r="J15" s="8" t="str">
        <x:v>UNAVAILABLE</x:v>
      </x:c>
      <x:c r="K15" s="8" t="str">
        <x:v>Proposed fixed tracking cohort; target endpoint empty. Missing is not rank0.</x:v>
      </x:c>
      <x:c r="L15" s="8" t="str">
        <x:v>baseline-keywords; baseline-sept01; kw-de</x:v>
      </x:c>
    </x:row>
    <x:row r="16" ht="48" customHeight="1">
      <x:c r="A16" s="9" t="str">
        <x:v>R12</x:v>
      </x:c>
      <x:c r="B16" s="9" t="str">
        <x:v>mietwagen naxos hafen</x:v>
      </x:c>
      <x:c r="C16" s="9" t="str">
        <x:v>DE</x:v>
      </x:c>
      <x:c r="D16" s="9" t="str">
        <x:v>German</x:v>
      </x:c>
      <x:c r="E16" s="9" t="str">
        <x:v>Google</x:v>
      </x:c>
      <x:c r="F16" s="11" t="str">
        <x:v>https://naxos-carrentals.com/de/locations/port-pickup</x:v>
      </x:c>
      <x:c r="G16" s="9"/>
      <x:c r="H16" s="9"/>
      <x:c r="I16" s="9" t="str">
        <x:v>2026-09-24</x:v>
      </x:c>
      <x:c r="J16" s="9" t="str">
        <x:v>UNAVAILABLE</x:v>
      </x:c>
      <x:c r="K16" s="9" t="str">
        <x:v>Proposed fixed tracking cohort; target endpoint empty. Missing is not rank0.</x:v>
      </x:c>
      <x:c r="L16" s="9" t="str">
        <x:v>baseline-keywords; baseline-sept01; kw-de</x:v>
      </x:c>
    </x:row>
    <x:row r="17" ht="48" customHeight="1">
      <x:c r="A17" s="8" t="str">
        <x:v>R13</x:v>
      </x:c>
      <x:c r="B17" s="8" t="str">
        <x:v>mietwagen naxos flughafen</x:v>
      </x:c>
      <x:c r="C17" s="8" t="str">
        <x:v>DE</x:v>
      </x:c>
      <x:c r="D17" s="8" t="str">
        <x:v>German</x:v>
      </x:c>
      <x:c r="E17" s="8" t="str">
        <x:v>Google</x:v>
      </x:c>
      <x:c r="F17" s="10" t="str">
        <x:v>https://naxos-carrentals.com/de/locations/airport-pickup</x:v>
      </x:c>
      <x:c r="G17" s="8"/>
      <x:c r="H17" s="8"/>
      <x:c r="I17" s="8" t="str">
        <x:v>2026-09-24</x:v>
      </x:c>
      <x:c r="J17" s="8" t="str">
        <x:v>UNAVAILABLE</x:v>
      </x:c>
      <x:c r="K17" s="8" t="str">
        <x:v>Proposed fixed tracking cohort; target endpoint empty. Missing is not rank0.</x:v>
      </x:c>
      <x:c r="L17" s="8" t="str">
        <x:v>baseline-keywords; baseline-sept01; kw-de</x:v>
      </x:c>
    </x:row>
    <x:row r="18" ht="48" customHeight="1">
      <x:c r="A18" s="9" t="str">
        <x:v>R14</x:v>
      </x:c>
      <x:c r="B18" s="9" t="str">
        <x:v>πειραιας ναξος τιμη αυτοκινητο</x:v>
      </x:c>
      <x:c r="C18" s="9" t="str">
        <x:v>GR</x:v>
      </x:c>
      <x:c r="D18" s="9" t="str">
        <x:v>Greek</x:v>
      </x:c>
      <x:c r="E18" s="9" t="str">
        <x:v>Google</x:v>
      </x:c>
      <x:c r="F18" s="11" t="str">
        <x:v>https://naxos-carrentals.com/el/guides/do-you-need-a-car-in-naxos</x:v>
      </x:c>
      <x:c r="G18" s="9"/>
      <x:c r="H18" s="9"/>
      <x:c r="I18" s="9" t="str">
        <x:v>2026-09-24</x:v>
      </x:c>
      <x:c r="J18" s="9" t="str">
        <x:v>UNAVAILABLE</x:v>
      </x:c>
      <x:c r="K18" s="9" t="str">
        <x:v>Proposed fixed tracking cohort; target endpoint empty. Missing is not rank0.</x:v>
      </x:c>
      <x:c r="L18" s="9" t="str">
        <x:v>baseline-keywords; baseline-sept01; discover-el</x:v>
      </x:c>
    </x:row>
    <x:row r="19" ht="48" customHeight="1">
      <x:c r="A19" s="8" t="str">
        <x:v>R15</x:v>
      </x:c>
      <x:c r="B19" s="8" t="str">
        <x:v>car hire naxos island airport</x:v>
      </x:c>
      <x:c r="C19" s="8" t="str">
        <x:v>GB</x:v>
      </x:c>
      <x:c r="D19" s="8" t="str">
        <x:v>English</x:v>
      </x:c>
      <x:c r="E19" s="8" t="str">
        <x:v>Google</x:v>
      </x:c>
      <x:c r="F19" s="10" t="str">
        <x:v>https://naxos-carrentals.com/en/locations/airport-pickup</x:v>
      </x:c>
      <x:c r="G19" s="8"/>
      <x:c r="H19" s="8"/>
      <x:c r="I19" s="8" t="str">
        <x:v>2026-09-24</x:v>
      </x:c>
      <x:c r="J19" s="8" t="str">
        <x:v>UNAVAILABLE</x:v>
      </x:c>
      <x:c r="K19" s="8" t="str">
        <x:v>Proposed fixed tracking cohort; target endpoint empty. Missing is not rank0.</x:v>
      </x:c>
      <x:c r="L19" s="8" t="str">
        <x:v>baseline-keywords; baseline-sept01; discover-en</x:v>
      </x:c>
    </x:row>
    <x:row r="20" ht="48" customHeight="1">
      <x:c r="A20" s="9" t="str">
        <x:v>R16</x:v>
      </x:c>
      <x:c r="B20" s="9" t="str">
        <x:v>naxos car rental reviews</x:v>
      </x:c>
      <x:c r="C20" s="9" t="str">
        <x:v>GB</x:v>
      </x:c>
      <x:c r="D20" s="9" t="str">
        <x:v>English</x:v>
      </x:c>
      <x:c r="E20" s="9" t="str">
        <x:v>Google</x:v>
      </x:c>
      <x:c r="F20" s="11" t="str">
        <x:v>https://naxos-carrentals.com/en/reviews</x:v>
      </x:c>
      <x:c r="G20" s="9"/>
      <x:c r="H20" s="9"/>
      <x:c r="I20" s="9" t="str">
        <x:v>2026-09-24</x:v>
      </x:c>
      <x:c r="J20" s="9" t="str">
        <x:v>UNAVAILABLE</x:v>
      </x:c>
      <x:c r="K20" s="9" t="str">
        <x:v>Proposed fixed tracking cohort; target endpoint empty. Missing is not rank0.</x:v>
      </x:c>
      <x:c r="L20" s="9" t="str">
        <x:v>baseline-keywords; baseline-sept01; discover-en</x:v>
      </x:c>
    </x:row>
    <x:row r="21" ht="48" customHeight="1">
      <x:c r="A21" s="8" t="str">
        <x:v>R17</x:v>
      </x:c>
      <x:c r="B21" s="8" t="str">
        <x:v>faut il louer une voiture à naxos</x:v>
      </x:c>
      <x:c r="C21" s="8" t="str">
        <x:v>FR</x:v>
      </x:c>
      <x:c r="D21" s="8" t="str">
        <x:v>French</x:v>
      </x:c>
      <x:c r="E21" s="8" t="str">
        <x:v>Google</x:v>
      </x:c>
      <x:c r="F21" s="10" t="str">
        <x:v>https://naxos-carrentals.com/fr/guides/do-you-need-a-car-in-naxos</x:v>
      </x:c>
      <x:c r="G21" s="8"/>
      <x:c r="H21" s="8"/>
      <x:c r="I21" s="8" t="str">
        <x:v>2026-09-24</x:v>
      </x:c>
      <x:c r="J21" s="8" t="str">
        <x:v>UNAVAILABLE</x:v>
      </x:c>
      <x:c r="K21" s="8" t="str">
        <x:v>Proposed fixed tracking cohort; target endpoint empty. Missing is not rank0.</x:v>
      </x:c>
      <x:c r="L21" s="8" t="str">
        <x:v>baseline-keywords; baseline-sept01; discover-fr</x:v>
      </x:c>
    </x:row>
    <x:row r="22" ht="48" customHeight="1">
      <x:c r="A22" s="9" t="str">
        <x:v>R18</x:v>
      </x:c>
      <x:c r="B22" s="9" t="str">
        <x:v>noleggio auto naxos consigli</x:v>
      </x:c>
      <x:c r="C22" s="9" t="str">
        <x:v>IT</x:v>
      </x:c>
      <x:c r="D22" s="9" t="str">
        <x:v>Italian</x:v>
      </x:c>
      <x:c r="E22" s="9" t="str">
        <x:v>Google</x:v>
      </x:c>
      <x:c r="F22" s="11" t="str">
        <x:v>https://naxos-carrentals.com/it/reviews</x:v>
      </x:c>
      <x:c r="G22" s="9"/>
      <x:c r="H22" s="9"/>
      <x:c r="I22" s="9" t="str">
        <x:v>2026-09-24</x:v>
      </x:c>
      <x:c r="J22" s="9" t="str">
        <x:v>UNAVAILABLE</x:v>
      </x:c>
      <x:c r="K22" s="9" t="str">
        <x:v>Proposed fixed tracking cohort; target endpoint empty. Missing is not rank0.</x:v>
      </x:c>
      <x:c r="L22" s="9" t="str">
        <x:v>baseline-keywords; baseline-sept01; discover-it</x:v>
      </x:c>
    </x:row>
    <x:row r="23" ht="48" customHeight="1">
      <x:c r="A23" s="8" t="str">
        <x:v>R19</x:v>
      </x:c>
      <x:c r="B23" s="8" t="str">
        <x:v>naxos mietwagen erfahrungen</x:v>
      </x:c>
      <x:c r="C23" s="8" t="str">
        <x:v>DE</x:v>
      </x:c>
      <x:c r="D23" s="8" t="str">
        <x:v>German</x:v>
      </x:c>
      <x:c r="E23" s="8" t="str">
        <x:v>Google</x:v>
      </x:c>
      <x:c r="F23" s="10" t="str">
        <x:v>https://naxos-carrentals.com/de/reviews</x:v>
      </x:c>
      <x:c r="G23" s="8"/>
      <x:c r="H23" s="8"/>
      <x:c r="I23" s="8" t="str">
        <x:v>2026-09-24</x:v>
      </x:c>
      <x:c r="J23" s="8" t="str">
        <x:v>UNAVAILABLE</x:v>
      </x:c>
      <x:c r="K23" s="8" t="str">
        <x:v>Proposed fixed tracking cohort; target endpoint empty. Missing is not rank0.</x:v>
      </x:c>
      <x:c r="L23" s="8" t="str">
        <x:v>baseline-keywords; baseline-sept01; discover-de</x:v>
      </x:c>
    </x:row>
    <x:row r="24" ht="48" customHeight="1">
      <x:c r="A24" s="9" t="str">
        <x:v>R20</x:v>
      </x:c>
      <x:c r="B24" s="9" t="str">
        <x:v>naxos car rental port</x:v>
      </x:c>
      <x:c r="C24" s="9" t="str">
        <x:v>US</x:v>
      </x:c>
      <x:c r="D24" s="9" t="str">
        <x:v>English</x:v>
      </x:c>
      <x:c r="E24" s="9" t="str">
        <x:v>Google</x:v>
      </x:c>
      <x:c r="F24" s="11" t="str">
        <x:v>https://naxos-carrentals.com/en/locations/port-pickup</x:v>
      </x:c>
      <x:c r="G24" s="9"/>
      <x:c r="H24" s="9"/>
      <x:c r="I24" s="9" t="str">
        <x:v>2026-09-24</x:v>
      </x:c>
      <x:c r="J24" s="9" t="str">
        <x:v>UNAVAILABLE</x:v>
      </x:c>
      <x:c r="K24" s="9" t="str">
        <x:v>Proposed fixed tracking cohort; target endpoint empty. Missing is not rank0.</x:v>
      </x:c>
      <x:c r="L24" s="9" t="str">
        <x:v>baseline-keywords; baseline-sept01; kw-us</x:v>
      </x:c>
    </x:row>
    <x:row r="25" ht="48" customHeight="1">
      <x:c r="A25" s="8" t="str">
        <x:v>R21</x:v>
      </x:c>
      <x:c r="B25" s="8" t="str">
        <x:v>car rental naxos</x:v>
      </x:c>
      <x:c r="C25" s="8" t="str">
        <x:v>US</x:v>
      </x:c>
      <x:c r="D25" s="8" t="str">
        <x:v>English</x:v>
      </x:c>
      <x:c r="E25" s="8" t="str">
        <x:v>Google</x:v>
      </x:c>
      <x:c r="F25" s="10" t="str">
        <x:v>https://naxos-carrentals.com/en</x:v>
      </x:c>
      <x:c r="G25" s="8"/>
      <x:c r="H25" s="8"/>
      <x:c r="I25" s="8" t="str">
        <x:v>2026-09-24</x:v>
      </x:c>
      <x:c r="J25" s="8" t="str">
        <x:v>UNAVAILABLE</x:v>
      </x:c>
      <x:c r="K25" s="8" t="str">
        <x:v>Proposed fixed tracking cohort; target endpoint empty. Missing is not rank0.</x:v>
      </x:c>
      <x:c r="L25" s="8" t="str">
        <x:v>baseline-keywords; baseline-sept01; kw-us</x:v>
      </x:c>
    </x:row>
    <x:row r="26" ht="48" customHeight="1">
      <x:c r="A26" s="9" t="str">
        <x:v>R22</x:v>
      </x:c>
      <x:c r="B26" s="9" t="str">
        <x:v>naxos car rental airport</x:v>
      </x:c>
      <x:c r="C26" s="9" t="str">
        <x:v>US</x:v>
      </x:c>
      <x:c r="D26" s="9" t="str">
        <x:v>English</x:v>
      </x:c>
      <x:c r="E26" s="9" t="str">
        <x:v>Google</x:v>
      </x:c>
      <x:c r="F26" s="11" t="str">
        <x:v>https://naxos-carrentals.com/en/locations/airport-pickup</x:v>
      </x:c>
      <x:c r="G26" s="9"/>
      <x:c r="H26" s="9"/>
      <x:c r="I26" s="9" t="str">
        <x:v>2026-09-24</x:v>
      </x:c>
      <x:c r="J26" s="9" t="str">
        <x:v>UNAVAILABLE</x:v>
      </x:c>
      <x:c r="K26" s="9" t="str">
        <x:v>Proposed fixed tracking cohort; target endpoint empty. Missing is not rank0.</x:v>
      </x:c>
      <x:c r="L26" s="9" t="str">
        <x:v>baseline-keywords; baseline-sept01; kw-us</x:v>
      </x:c>
    </x:row>
    <x:row r="27" ht="48" customHeight="1">
      <x:c r="A27" s="8" t="str">
        <x:v>R23</x:v>
      </x:c>
      <x:c r="B27" s="8" t="str">
        <x:v>do you need a car in naxos</x:v>
      </x:c>
      <x:c r="C27" s="8" t="str">
        <x:v>US</x:v>
      </x:c>
      <x:c r="D27" s="8" t="str">
        <x:v>English</x:v>
      </x:c>
      <x:c r="E27" s="8" t="str">
        <x:v>Google</x:v>
      </x:c>
      <x:c r="F27" s="10" t="str">
        <x:v>https://naxos-carrentals.com/en/guides/do-you-need-a-car-in-naxos</x:v>
      </x:c>
      <x:c r="G27" s="8"/>
      <x:c r="H27" s="8"/>
      <x:c r="I27" s="8" t="str">
        <x:v>2026-09-24</x:v>
      </x:c>
      <x:c r="J27" s="8" t="str">
        <x:v>UNAVAILABLE</x:v>
      </x:c>
      <x:c r="K27" s="8" t="str">
        <x:v>Proposed fixed tracking cohort; target endpoint empty. Missing is not rank0.</x:v>
      </x:c>
      <x:c r="L27" s="8" t="str">
        <x:v>baseline-keywords; baseline-sept01; kw-us</x:v>
      </x:c>
    </x:row>
    <x:row r="28" ht="48" customHeight="1">
      <x:c r="A28" s="9" t="str">
        <x:v>R24</x:v>
      </x:c>
      <x:c r="B28" s="9" t="str">
        <x:v>autohuur naxos</x:v>
      </x:c>
      <x:c r="C28" s="9" t="str">
        <x:v>NL</x:v>
      </x:c>
      <x:c r="D28" s="9" t="str">
        <x:v>Dutch</x:v>
      </x:c>
      <x:c r="E28" s="9" t="str">
        <x:v>Google</x:v>
      </x:c>
      <x:c r="F28" s="11" t="str">
        <x:v>https://naxos-carrentals.com/nl</x:v>
      </x:c>
      <x:c r="G28" s="9"/>
      <x:c r="H28" s="9"/>
      <x:c r="I28" s="9" t="str">
        <x:v>2026-09-24</x:v>
      </x:c>
      <x:c r="J28" s="9" t="str">
        <x:v>UNAVAILABLE</x:v>
      </x:c>
      <x:c r="K28" s="9" t="str">
        <x:v>Proposed fixed tracking cohort; target endpoint empty. Missing is not rank0.</x:v>
      </x:c>
      <x:c r="L28" s="9" t="str">
        <x:v>baseline-keywords; baseline-sept01; kw-nl</x:v>
      </x:c>
    </x:row>
    <x:row r="29" ht="48" customHeight="1">
      <x:c r="A29" s="8" t="str">
        <x:v>R25</x:v>
      </x:c>
      <x:c r="B29" s="8" t="str">
        <x:v>alquiler coche naxos</x:v>
      </x:c>
      <x:c r="C29" s="8" t="str">
        <x:v>ES</x:v>
      </x:c>
      <x:c r="D29" s="8" t="str">
        <x:v>Spanish</x:v>
      </x:c>
      <x:c r="E29" s="8" t="str">
        <x:v>Google</x:v>
      </x:c>
      <x:c r="F29" s="10" t="str">
        <x:v>https://naxos-carrentals.com/es</x:v>
      </x:c>
      <x:c r="G29" s="8"/>
      <x:c r="H29" s="8"/>
      <x:c r="I29" s="8" t="str">
        <x:v>2026-09-24</x:v>
      </x:c>
      <x:c r="J29" s="8" t="str">
        <x:v>UNAVAILABLE</x:v>
      </x:c>
      <x:c r="K29" s="8" t="str">
        <x:v>Proposed fixed tracking cohort; target endpoint empty. Missing is not rank0.</x:v>
      </x:c>
      <x:c r="L29" s="8" t="str">
        <x:v>baseline-keywords; baseline-sept01; kw-es</x:v>
      </x:c>
    </x:row>
    <x:row r="30" ht="48" customHeight="1">
      <x:c r="A30" s="9" t="str">
        <x:v>RC26</x:v>
      </x:c>
      <x:c r="B30" s="9" t="str">
        <x:v>car rental naxos</x:v>
      </x:c>
      <x:c r="C30" s="9" t="str">
        <x:v>GB</x:v>
      </x:c>
      <x:c r="D30" s="9" t="str">
        <x:v>English</x:v>
      </x:c>
      <x:c r="E30" s="9" t="str">
        <x:v>Google / Ahrefs</x:v>
      </x:c>
      <x:c r="F30" s="11" t="str">
        <x:v>https://nactionrentacar.com/</x:v>
      </x:c>
      <x:c r="G30" s="9" t="n">
        <x:v>13</x:v>
      </x:c>
      <x:c r="H30" s="9" t="n">
        <x:v>46228.9587962963</x:v>
      </x:c>
      <x:c r="I30" s="9" t="str">
        <x:v>2026-09-01</x:v>
      </x:c>
      <x:c r="J30" s="9" t="str">
        <x:v>OBSERVED</x:v>
      </x:c>
      <x:c r="K30" s="9" t="str">
        <x:v>Competitor Naction snapshot, not target rank</x:v>
      </x:c>
      <x:c r="L30" s="9" t="str">
        <x:v>competitor-sept01</x:v>
      </x:c>
    </x:row>
    <x:row r="31" ht="48" customHeight="1">
      <x:c r="A31" s="8" t="str">
        <x:v>RC27</x:v>
      </x:c>
      <x:c r="B31" s="8" t="str">
        <x:v>car hire naxos port</x:v>
      </x:c>
      <x:c r="C31" s="8" t="str">
        <x:v>GB</x:v>
      </x:c>
      <x:c r="D31" s="8" t="str">
        <x:v>English</x:v>
      </x:c>
      <x:c r="E31" s="8" t="str">
        <x:v>Google / Ahrefs</x:v>
      </x:c>
      <x:c r="F31" s="10" t="str">
        <x:v>https://nactionrentacar.com/</x:v>
      </x:c>
      <x:c r="G31" s="8" t="n">
        <x:v>10</x:v>
      </x:c>
      <x:c r="H31" s="8" t="n">
        <x:v>46229.80289351852</x:v>
      </x:c>
      <x:c r="I31" s="8" t="str">
        <x:v>2026-09-01</x:v>
      </x:c>
      <x:c r="J31" s="8" t="str">
        <x:v>OBSERVED</x:v>
      </x:c>
      <x:c r="K31" s="8" t="str">
        <x:v>Competitor Naction snapshot, not target rank</x:v>
      </x:c>
      <x:c r="L31" s="8" t="str">
        <x:v>competitor-sept01</x:v>
      </x:c>
    </x:row>
    <x:row r="32" ht="48" customHeight="1">
      <x:c r="A32" s="9" t="str">
        <x:v>RC28</x:v>
      </x:c>
      <x:c r="B32" s="9" t="str">
        <x:v>car rental naxos greece</x:v>
      </x:c>
      <x:c r="C32" s="9" t="str">
        <x:v>GB</x:v>
      </x:c>
      <x:c r="D32" s="9" t="str">
        <x:v>English</x:v>
      </x:c>
      <x:c r="E32" s="9" t="str">
        <x:v>Google / Ahrefs</x:v>
      </x:c>
      <x:c r="F32" s="11" t="str">
        <x:v>https://nactionrentacar.com/</x:v>
      </x:c>
      <x:c r="G32" s="9" t="n">
        <x:v>7</x:v>
      </x:c>
      <x:c r="H32" s="9" t="n">
        <x:v>46226.04006944445</x:v>
      </x:c>
      <x:c r="I32" s="9" t="str">
        <x:v>2026-09-01</x:v>
      </x:c>
      <x:c r="J32" s="9" t="str">
        <x:v>OBSERVED</x:v>
      </x:c>
      <x:c r="K32" s="9" t="str">
        <x:v>Competitor Naction snapshot, not target rank</x:v>
      </x:c>
      <x:c r="L32" s="9" t="str">
        <x:v>competitor-sept01</x:v>
      </x:c>
    </x:row>
    <x:row r="33" ht="48" customHeight="1">
      <x:c r="A33" s="8" t="str">
        <x:v>RC29</x:v>
      </x:c>
      <x:c r="B33" s="8" t="str">
        <x:v>car rental in naxos</x:v>
      </x:c>
      <x:c r="C33" s="8" t="str">
        <x:v>GB</x:v>
      </x:c>
      <x:c r="D33" s="8" t="str">
        <x:v>English</x:v>
      </x:c>
      <x:c r="E33" s="8" t="str">
        <x:v>Google / Ahrefs</x:v>
      </x:c>
      <x:c r="F33" s="10" t="str">
        <x:v>https://nactionrentacar.com/</x:v>
      </x:c>
      <x:c r="G33" s="8" t="n">
        <x:v>30</x:v>
      </x:c>
      <x:c r="H33" s="8" t="n">
        <x:v>46244.73700231482</x:v>
      </x:c>
      <x:c r="I33" s="8" t="str">
        <x:v>2026-09-01</x:v>
      </x:c>
      <x:c r="J33" s="8" t="str">
        <x:v>OBSERVED</x:v>
      </x:c>
      <x:c r="K33" s="8" t="str">
        <x:v>Competitor Naction snapshot, not target rank</x:v>
      </x:c>
      <x:c r="L33" s="8" t="str">
        <x:v>competitor-sept01</x:v>
      </x:c>
    </x:row>
  </x:sheetData>
  <x:mergeCells>
    <x:mergeCell ref="A1:E1"/>
    <x:mergeCell ref="A2:F2"/>
  </x:mergeCells>
  <x:conditionalFormatting sqref="J5:J33">
    <x:cfRule type="containsText" dxfId="17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35fc14006d5440b0"/>
  </x:tableParts>
</x:worksheet>
</file>

<file path=xl/worksheets/sheet17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43" hidden="0" customWidth="1"/>
    <x:col min="4" max="4" width="48" hidden="0" customWidth="1"/>
    <x:col min="5" max="5" width="94" hidden="0" customWidth="1"/>
    <x:col min="6" max="6" width="76" hidden="0" customWidth="1"/>
    <x:col min="7" max="7" width="52" hidden="0" customWidth="1"/>
    <x:col min="8" max="8" width="63" hidden="0" customWidth="1"/>
    <x:col min="9" max="9" width="44" hidden="0" customWidth="1"/>
    <x:col min="10" max="10" width="87" hidden="0" customWidth="1"/>
  </x:cols>
  <x:sheetData>
    <x:row r="1" ht="34" customHeight="1">
      <x:c r="A1" s="4" t="str">
        <x:v>90-Day Plan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4" customHeight="1">
      <x:c r="A2" s="5" t="str">
        <x:v>First ten actions in order. Time windows start after owner fact review and release approval. Effort is a planning judgement; no publishing or outreach occurred.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42" customHeight="1">
      <x:c r="A4" s="7" t="str">
        <x:v>Order</x:v>
      </x:c>
      <x:c r="B4" s="7" t="str">
        <x:v>Window</x:v>
      </x:c>
      <x:c r="C4" s="7" t="str">
        <x:v>Action</x:v>
      </x:c>
      <x:c r="D4" s="7" t="str">
        <x:v>Pages / clusters</x:v>
      </x:c>
      <x:c r="E4" s="7" t="str">
        <x:v>What to do</x:v>
      </x:c>
      <x:c r="F4" s="7" t="str">
        <x:v>Why</x:v>
      </x:c>
      <x:c r="G4" s="7" t="str">
        <x:v>Source IDs</x:v>
      </x:c>
      <x:c r="H4" s="7" t="str">
        <x:v>Business contribution</x:v>
      </x:c>
      <x:c r="I4" s="7" t="str">
        <x:v>Effort / owner</x:v>
      </x:c>
      <x:c r="J4" s="7" t="str">
        <x:v>Success measure</x:v>
      </x:c>
    </x:row>
    <x:row r="5" ht="48" customHeight="1">
      <x:c r="A5" s="8" t="n">
        <x:v>1</x:v>
      </x:c>
      <x:c r="B5" s="8" t="str">
        <x:v>Days1–7</x:v>
      </x:c>
      <x:c r="C5" s="8" t="str">
        <x:v>Validate current facts and measurement</x:v>
      </x:c>
      <x:c r="D5" s="8" t="str">
        <x:v>All commercial pages</x:v>
      </x:c>
      <x:c r="E5" s="8" t="str">
        <x:v>Reconfirm inventory, images, prices, cover, deposit and handover. Connect current GSC, GA4 and provider conversion reporting.</x:v>
      </x:c>
      <x:c r="F5" s="8" t="str">
        <x:v>Archived data and inventory contradictions limit decisions.</x:v>
      </x:c>
      <x:c r="G5" s="8" t="str">
        <x:v>SRC-GSC-PAGES; SRC-REPO</x:v>
      </x:c>
      <x:c r="H5" s="8" t="str">
        <x:v>Prevents incorrect booking expectations and creates a qualified baseline</x:v>
      </x:c>
      <x:c r="I5" s="8" t="str">
        <x:v>Medium; operator + analyst</x:v>
      </x:c>
      <x:c r="J5" s="8" t="str">
        <x:v>Current signed facts and separate handoff/completed-booking events</x:v>
      </x:c>
    </x:row>
    <x:row r="6" ht="48" customHeight="1">
      <x:c r="A6" s="9" t="n">
        <x:v>2</x:v>
      </x:c>
      <x:c r="B6" s="9" t="str">
        <x:v>Days1–10</x:v>
      </x:c>
      <x:c r="C6" s="9" t="str">
        <x:v>Review the global redesign</x:v>
      </x:c>
      <x:c r="D6" s="9" t="str">
        <x:v>Five locales, shared components</x:v>
      </x:c>
      <x:c r="E6" s="9" t="str">
        <x:v>Review local visual implementation on real mobile and desktop, then approve release separately.</x:v>
      </x:c>
      <x:c r="F6" s="9" t="str">
        <x:v>Common hierarchy and vehicle detail support comparison and booking.</x:v>
      </x:c>
      <x:c r="G6" s="9" t="str">
        <x:v>SRC-REPO; WEB-ENJOY</x:v>
      </x:c>
      <x:c r="H6" s="9" t="str">
        <x:v>Clearer conversion journey</x:v>
      </x:c>
      <x:c r="I6" s="9" t="str">
        <x:v>Medium; design + developer</x:v>
      </x:c>
      <x:c r="J6" s="9" t="str">
        <x:v>Accessible navigation, responsive layout and functioning booking handoff</x:v>
      </x:c>
    </x:row>
    <x:row r="7" ht="48" customHeight="1">
      <x:c r="A7" s="8" t="n">
        <x:v>3</x:v>
      </x:c>
      <x:c r="B7" s="8" t="str">
        <x:v>Days7–20</x:v>
      </x:c>
      <x:c r="C7" s="8" t="str">
        <x:v>Optimize Italian homepage and port</x:v>
      </x:c>
      <x:c r="D7" s="8" t="str">
        <x:v>C-it-core; C-it-port</x:v>
      </x:c>
      <x:c r="E7" s="8" t="str">
        <x:v>Publish native-reviewed copy and actual ferry pickup evidence.</x:v>
      </x:c>
      <x:c r="F7" s="8" t="str">
        <x:v>Core500, port150 and observed commercial SERP.</x:v>
      </x:c>
      <x:c r="G7" s="8" t="str">
        <x:v>kw-it; serp-IT</x:v>
      </x:c>
      <x:c r="H7" s="8" t="str">
        <x:v>Qualified Italian rental demand</x:v>
      </x:c>
      <x:c r="I7" s="8" t="str">
        <x:v>Medium</x:v>
      </x:c>
      <x:c r="J7" s="8" t="str">
        <x:v>Locale landing engagement and confirmed booking outcomes</x:v>
      </x:c>
    </x:row>
    <x:row r="8" ht="48" customHeight="1">
      <x:c r="A8" s="9" t="n">
        <x:v>4</x:v>
      </x:c>
      <x:c r="B8" s="9" t="str">
        <x:v>Days7–20</x:v>
      </x:c>
      <x:c r="C8" s="9" t="str">
        <x:v>Optimize French pickup pages</x:v>
      </x:c>
      <x:c r="D8" s="9" t="str">
        <x:v>C-fr-port; C-fr-airport</x:v>
      </x:c>
      <x:c r="E8" s="9" t="str">
        <x:v>Complete port/airport instructions, title, photographs, return and delay process.</x:v>
      </x:c>
      <x:c r="F8" s="9" t="str">
        <x:v>Port200; airport variants150/100; observed port questions.</x:v>
      </x:c>
      <x:c r="G8" s="9" t="str">
        <x:v>kw-fr; discover-fr; serp-FR</x:v>
      </x:c>
      <x:c r="H8" s="9" t="str">
        <x:v>Arrival-intent bookings</x:v>
      </x:c>
      <x:c r="I8" s="9" t="str">
        <x:v>Medium</x:v>
      </x:c>
      <x:c r="J8" s="9" t="str">
        <x:v>Pickup-page qualified handoffs and policy/contact questions</x:v>
      </x:c>
    </x:row>
    <x:row r="9" ht="48" customHeight="1">
      <x:c r="A9" s="8" t="n">
        <x:v>5</x:v>
      </x:c>
      <x:c r="B9" s="8" t="str">
        <x:v>Days10–25</x:v>
      </x:c>
      <x:c r="C9" s="8" t="str">
        <x:v>Strengthen Greek core journey</x:v>
      </x:c>
      <x:c r="D9" s="8" t="str">
        <x:v>C-el-core</x:v>
      </x:c>
      <x:c r="E9" s="8" t="str">
        <x:v>Native-review homepage, pickup, pricing and payment journey.</x:v>
      </x:c>
      <x:c r="F9" s="8" t="str">
        <x:v>Core500 but query variants show unstable KD.</x:v>
      </x:c>
      <x:c r="G9" s="8" t="str">
        <x:v>kw-gr; kw-el-enrich; serp-GR</x:v>
      </x:c>
      <x:c r="H9" s="8" t="str">
        <x:v>Domestic qualified booking demand</x:v>
      </x:c>
      <x:c r="I9" s="8" t="str">
        <x:v>Medium</x:v>
      </x:c>
      <x:c r="J9" s="8" t="str">
        <x:v>Greek nonbrand GSC and provider bookings</x:v>
      </x:c>
    </x:row>
    <x:row r="10" ht="48" customHeight="1">
      <x:c r="A10" s="9" t="n">
        <x:v>6</x:v>
      </x:c>
      <x:c r="B10" s="9" t="str">
        <x:v>Days15–30</x:v>
      </x:c>
      <x:c r="C10" s="9" t="str">
        <x:v>Improve English core and decision guide</x:v>
      </x:c>
      <x:c r="D10" s="9" t="str">
        <x:v>C-en-core; C-en-need-car</x:v>
      </x:c>
      <x:c r="E10" s="9" t="str">
        <x:v>Serve GB and US on /en, add itinerary-led car-versus-bus evidence.</x:v>
      </x:c>
      <x:c r="F10" s="9" t="str">
        <x:v>US450 core, GB150 core and observed PAA.</x:v>
      </x:c>
      <x:c r="G10" s="9" t="str">
        <x:v>kw-us; kw-gb; serp-GB</x:v>
      </x:c>
      <x:c r="H10" s="9" t="str">
        <x:v>International consideration and bookings</x:v>
      </x:c>
      <x:c r="I10" s="9" t="str">
        <x:v>Medium</x:v>
      </x:c>
      <x:c r="J10" s="9" t="str">
        <x:v>Consistent country/locale cohorts, assisted bookings</x:v>
      </x:c>
    </x:row>
    <x:row r="11" ht="48" customHeight="1">
      <x:c r="A11" s="8" t="n">
        <x:v>7</x:v>
      </x:c>
      <x:c r="B11" s="8" t="str">
        <x:v>Days20–40</x:v>
      </x:c>
      <x:c r="C11" s="8" t="str">
        <x:v>Reconcile fleet and collections</x:v>
      </x:c>
      <x:c r="D11" s="8" t="str">
        <x:v>C-en-fleet; automatic/family/SUV across locales</x:v>
      </x:c>
      <x:c r="E11" s="8" t="str">
        <x:v>Confirm bookable models, transmission, luggage and correct image mapping. Photograph seven-seat luggage capacity.</x:v>
      </x:c>
      <x:c r="F11" s="8" t="str">
        <x:v>Inventory is first-party advantage; old prose/images can mislead.</x:v>
      </x:c>
      <x:c r="G11" s="8" t="str">
        <x:v>SRC-REPO; WEB-ENJOY</x:v>
      </x:c>
      <x:c r="H11" s="8" t="str">
        <x:v>Better vehicle fit and fewer booking mismatches</x:v>
      </x:c>
      <x:c r="I11" s="8" t="str">
        <x:v>Medium / high</x:v>
      </x:c>
      <x:c r="J11" s="8" t="str">
        <x:v>No spec contradictions; collection-to-booking engagement</x:v>
      </x:c>
    </x:row>
    <x:row r="12" ht="48" customHeight="1">
      <x:c r="A12" s="9" t="n">
        <x:v>8</x:v>
      </x:c>
      <x:c r="B12" s="9" t="str">
        <x:v>Days25–50</x:v>
      </x:c>
      <x:c r="C12" s="9" t="str">
        <x:v>Create an approved insurance reference</x:v>
      </x:c>
      <x:c r="D12" s="9" t="str">
        <x:v>C-de-insurance and other locales</x:v>
      </x:c>
      <x:c r="E12" s="9" t="str">
        <x:v>Publish accurate cover/excess/exclusions with effective date and direct source policy.</x:v>
      </x:c>
      <x:c r="F12" s="9" t="str">
        <x:v>German AIO cites rental comparison sources.</x:v>
      </x:c>
      <x:c r="G12" s="9" t="str">
        <x:v>serp-DE</x:v>
      </x:c>
      <x:c r="H12" s="9" t="str">
        <x:v>Trust, informed bookings and possible reference value</x:v>
      </x:c>
      <x:c r="I12" s="9" t="str">
        <x:v>Medium; owner/policy review</x:v>
      </x:c>
      <x:c r="J12" s="9" t="str">
        <x:v>Policy engagement; fixed-cohort observed citations</x:v>
      </x:c>
    </x:row>
    <x:row r="13" ht="48" customHeight="1">
      <x:c r="A13" s="8" t="n">
        <x:v>9</x:v>
      </x:c>
      <x:c r="B13" s="8" t="str">
        <x:v>Days31–60</x:v>
      </x:c>
      <x:c r="C13" s="8" t="str">
        <x:v>Finish inherited language gaps</x:v>
      </x:c>
      <x:c r="D13" s="8" t="str">
        <x:v>Five existing locales</x:v>
      </x:c>
      <x:c r="E13" s="8" t="str">
        <x:v>Remove English fallback strings, expand abbreviated arrival/guide copy and obtain native review before expanding locales.</x:v>
      </x:c>
      <x:c r="F13" s="8" t="str">
        <x:v>Content validator still flags inherited fallbacks.</x:v>
      </x:c>
      <x:c r="G13" s="8" t="str">
        <x:v>SRC-REPO</x:v>
      </x:c>
      <x:c r="H13" s="8" t="str">
        <x:v>Complete multilingual visitor journey</x:v>
      </x:c>
      <x:c r="I13" s="8" t="str">
        <x:v>High editorial</x:v>
      </x:c>
      <x:c r="J13" s="8" t="str">
        <x:v>Zero unintended English fallback and equal factual coverage</x:v>
      </x:c>
    </x:row>
    <x:row r="14" ht="48" customHeight="1">
      <x:c r="A14" s="9" t="n">
        <x:v>10</x:v>
      </x:c>
      <x:c r="B14" s="9" t="str">
        <x:v>Days61–90</x:v>
      </x:c>
      <x:c r="C14" s="9" t="str">
        <x:v>Evaluate then expand selectively</x:v>
      </x:c>
      <x:c r="D14" s="9" t="str">
        <x:v>Portfolio; ES/NL candidates</x:v>
      </x:c>
      <x:c r="E14" s="9" t="str">
        <x:v>Compare complete post-release periods and consistent AI cohorts; consider Spanish only after language capability exists.</x:v>
      </x:c>
      <x:c r="F14" s="9" t="str">
        <x:v>ES150 representative; NL60. Current conversion baseline missing.</x:v>
      </x:c>
      <x:c r="G14" s="9" t="str">
        <x:v>kw-es; kw-nl; DOC-GSC; DOC-BING</x:v>
      </x:c>
      <x:c r="H14" s="9" t="str">
        <x:v>Evidence-led allocation and controlled market growth</x:v>
      </x:c>
      <x:c r="I14" s="9" t="str">
        <x:v>Medium</x:v>
      </x:c>
      <x:c r="J14" s="9" t="str">
        <x:v>First-party qualified demand and repeatable citation/referral metrics</x:v>
      </x:c>
    </x:row>
  </x:sheetData>
  <x:mergeCells>
    <x:mergeCell ref="A1:E1"/>
    <x:mergeCell ref="A2:F2"/>
  </x:mergeCells>
  <x:pageMargins left="0.7" right="0.7" top="0.75" bottom="0.75" header="0.3" footer="0.3"/>
  <x:tableParts count="1">
    <x:tablePart xmlns:r="http://schemas.openxmlformats.org/officeDocument/2006/relationships" r:id="Ra4dcef2b0de2466a"/>
  </x:tableParts>
</x:worksheet>
</file>

<file path=xl/worksheets/sheet18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5" hidden="0" customWidth="1"/>
    <x:col min="4" max="4" width="24" hidden="0" customWidth="1"/>
    <x:col min="5" max="5" width="24" hidden="0" customWidth="1"/>
    <x:col min="6" max="6" width="22" hidden="0" customWidth="1"/>
    <x:col min="7" max="7" width="24" hidden="0" customWidth="1"/>
    <x:col min="8" max="8" width="105" hidden="0" customWidth="1"/>
    <x:col min="9" max="9" width="104" hidden="0" customWidth="1"/>
    <x:col min="10" max="10" width="46" hidden="0" customWidth="1"/>
  </x:cols>
  <x:sheetData>
    <x:row r="1" ht="34" customHeight="1">
      <x:c r="A1" s="4" t="str">
        <x:v>12M Forecast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4" customHeight="1">
      <x:c r="A2" s="5" t="str">
        <x:v>Numerical forecast withheld: current sessions, conversion rate, capacity and seasonal baseline are unavailable. Scenario names define a framework, not numerical predictions.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42" customHeight="1">
      <x:c r="A4" s="7" t="str">
        <x:v>Scenario</x:v>
      </x:c>
      <x:c r="B4" s="7" t="str">
        <x:v>Month after release</x:v>
      </x:c>
      <x:c r="C4" s="7" t="str">
        <x:v>Baseline organic sessions</x:v>
      </x:c>
      <x:c r="D4" s="7" t="str">
        <x:v>Incremental sessions</x:v>
      </x:c>
      <x:c r="E4" s="7" t="str">
        <x:v>Completed bookings</x:v>
      </x:c>
      <x:c r="F4" s="7" t="str">
        <x:v>Revenue EUR</x:v>
      </x:c>
      <x:c r="G4" s="7" t="str">
        <x:v>Evidence status</x:v>
      </x:c>
      <x:c r="H4" s="7" t="str">
        <x:v>Measurements required</x:v>
      </x:c>
      <x:c r="I4" s="7" t="str">
        <x:v>Model constraint</x:v>
      </x:c>
      <x:c r="J4" s="7" t="str">
        <x:v>Source IDs</x:v>
      </x:c>
    </x:row>
    <x:row r="5" ht="48" customHeight="1">
      <x:c r="A5" s="8" t="str">
        <x:v>Conservative</x:v>
      </x:c>
      <x:c r="B5" s="8" t="n">
        <x:v>1</x:v>
      </x:c>
      <x:c r="C5" s="8"/>
      <x:c r="D5" s="8"/>
      <x:c r="E5" s="8"/>
      <x:c r="F5" s="8"/>
      <x:c r="G5" s="8" t="str">
        <x:v>UNAVAILABLE</x:v>
      </x:c>
      <x:c r="H5" s="8" t="str">
        <x:v>Need current full-period organic landing sessions, completed bookings, consent-adjusted attribution, capacity and prior-year seasonality</x:v>
      </x:c>
      <x:c r="I5" s="8" t="str">
        <x:v>Never multiply the anomalous UK average by a guessed CTR. No sum of overlapping variants or TP.</x:v>
      </x:c>
      <x:c r="J5" s="8" t="str">
        <x:v>SRC-GSC-PAGES; seasonality-gb</x:v>
      </x:c>
    </x:row>
    <x:row r="6" ht="48" customHeight="1">
      <x:c r="A6" s="9" t="str">
        <x:v>Conservative</x:v>
      </x:c>
      <x:c r="B6" s="9" t="n">
        <x:v>2</x:v>
      </x:c>
      <x:c r="C6" s="9"/>
      <x:c r="D6" s="9"/>
      <x:c r="E6" s="9"/>
      <x:c r="F6" s="9"/>
      <x:c r="G6" s="9" t="str">
        <x:v>UNAVAILABLE</x:v>
      </x:c>
      <x:c r="H6" s="9" t="str">
        <x:v>Need current full-period organic landing sessions, completed bookings, consent-adjusted attribution, capacity and prior-year seasonality</x:v>
      </x:c>
      <x:c r="I6" s="9" t="str">
        <x:v>Never multiply the anomalous UK average by a guessed CTR. No sum of overlapping variants or TP.</x:v>
      </x:c>
      <x:c r="J6" s="9" t="str">
        <x:v>SRC-GSC-PAGES; seasonality-gb</x:v>
      </x:c>
    </x:row>
    <x:row r="7" ht="48" customHeight="1">
      <x:c r="A7" s="8" t="str">
        <x:v>Conservative</x:v>
      </x:c>
      <x:c r="B7" s="8" t="n">
        <x:v>3</x:v>
      </x:c>
      <x:c r="C7" s="8"/>
      <x:c r="D7" s="8"/>
      <x:c r="E7" s="8"/>
      <x:c r="F7" s="8"/>
      <x:c r="G7" s="8" t="str">
        <x:v>UNAVAILABLE</x:v>
      </x:c>
      <x:c r="H7" s="8" t="str">
        <x:v>Need current full-period organic landing sessions, completed bookings, consent-adjusted attribution, capacity and prior-year seasonality</x:v>
      </x:c>
      <x:c r="I7" s="8" t="str">
        <x:v>Never multiply the anomalous UK average by a guessed CTR. No sum of overlapping variants or TP.</x:v>
      </x:c>
      <x:c r="J7" s="8" t="str">
        <x:v>SRC-GSC-PAGES; seasonality-gb</x:v>
      </x:c>
    </x:row>
    <x:row r="8" ht="48" customHeight="1">
      <x:c r="A8" s="9" t="str">
        <x:v>Conservative</x:v>
      </x:c>
      <x:c r="B8" s="9" t="n">
        <x:v>4</x:v>
      </x:c>
      <x:c r="C8" s="9"/>
      <x:c r="D8" s="9"/>
      <x:c r="E8" s="9"/>
      <x:c r="F8" s="9"/>
      <x:c r="G8" s="9" t="str">
        <x:v>UNAVAILABLE</x:v>
      </x:c>
      <x:c r="H8" s="9" t="str">
        <x:v>Need current full-period organic landing sessions, completed bookings, consent-adjusted attribution, capacity and prior-year seasonality</x:v>
      </x:c>
      <x:c r="I8" s="9" t="str">
        <x:v>Never multiply the anomalous UK average by a guessed CTR. No sum of overlapping variants or TP.</x:v>
      </x:c>
      <x:c r="J8" s="9" t="str">
        <x:v>SRC-GSC-PAGES; seasonality-gb</x:v>
      </x:c>
    </x:row>
    <x:row r="9" ht="48" customHeight="1">
      <x:c r="A9" s="8" t="str">
        <x:v>Conservative</x:v>
      </x:c>
      <x:c r="B9" s="8" t="n">
        <x:v>5</x:v>
      </x:c>
      <x:c r="C9" s="8"/>
      <x:c r="D9" s="8"/>
      <x:c r="E9" s="8"/>
      <x:c r="F9" s="8"/>
      <x:c r="G9" s="8" t="str">
        <x:v>UNAVAILABLE</x:v>
      </x:c>
      <x:c r="H9" s="8" t="str">
        <x:v>Need current full-period organic landing sessions, completed bookings, consent-adjusted attribution, capacity and prior-year seasonality</x:v>
      </x:c>
      <x:c r="I9" s="8" t="str">
        <x:v>Never multiply the anomalous UK average by a guessed CTR. No sum of overlapping variants or TP.</x:v>
      </x:c>
      <x:c r="J9" s="8" t="str">
        <x:v>SRC-GSC-PAGES; seasonality-gb</x:v>
      </x:c>
    </x:row>
    <x:row r="10" ht="48" customHeight="1">
      <x:c r="A10" s="9" t="str">
        <x:v>Conservative</x:v>
      </x:c>
      <x:c r="B10" s="9" t="n">
        <x:v>6</x:v>
      </x:c>
      <x:c r="C10" s="9"/>
      <x:c r="D10" s="9"/>
      <x:c r="E10" s="9"/>
      <x:c r="F10" s="9"/>
      <x:c r="G10" s="9" t="str">
        <x:v>UNAVAILABLE</x:v>
      </x:c>
      <x:c r="H10" s="9" t="str">
        <x:v>Need current full-period organic landing sessions, completed bookings, consent-adjusted attribution, capacity and prior-year seasonality</x:v>
      </x:c>
      <x:c r="I10" s="9" t="str">
        <x:v>Never multiply the anomalous UK average by a guessed CTR. No sum of overlapping variants or TP.</x:v>
      </x:c>
      <x:c r="J10" s="9" t="str">
        <x:v>SRC-GSC-PAGES; seasonality-gb</x:v>
      </x:c>
    </x:row>
    <x:row r="11" ht="48" customHeight="1">
      <x:c r="A11" s="8" t="str">
        <x:v>Conservative</x:v>
      </x:c>
      <x:c r="B11" s="8" t="n">
        <x:v>7</x:v>
      </x:c>
      <x:c r="C11" s="8"/>
      <x:c r="D11" s="8"/>
      <x:c r="E11" s="8"/>
      <x:c r="F11" s="8"/>
      <x:c r="G11" s="8" t="str">
        <x:v>UNAVAILABLE</x:v>
      </x:c>
      <x:c r="H11" s="8" t="str">
        <x:v>Need current full-period organic landing sessions, completed bookings, consent-adjusted attribution, capacity and prior-year seasonality</x:v>
      </x:c>
      <x:c r="I11" s="8" t="str">
        <x:v>Never multiply the anomalous UK average by a guessed CTR. No sum of overlapping variants or TP.</x:v>
      </x:c>
      <x:c r="J11" s="8" t="str">
        <x:v>SRC-GSC-PAGES; seasonality-gb</x:v>
      </x:c>
    </x:row>
    <x:row r="12" ht="48" customHeight="1">
      <x:c r="A12" s="9" t="str">
        <x:v>Conservative</x:v>
      </x:c>
      <x:c r="B12" s="9" t="n">
        <x:v>8</x:v>
      </x:c>
      <x:c r="C12" s="9"/>
      <x:c r="D12" s="9"/>
      <x:c r="E12" s="9"/>
      <x:c r="F12" s="9"/>
      <x:c r="G12" s="9" t="str">
        <x:v>UNAVAILABLE</x:v>
      </x:c>
      <x:c r="H12" s="9" t="str">
        <x:v>Need current full-period organic landing sessions, completed bookings, consent-adjusted attribution, capacity and prior-year seasonality</x:v>
      </x:c>
      <x:c r="I12" s="9" t="str">
        <x:v>Never multiply the anomalous UK average by a guessed CTR. No sum of overlapping variants or TP.</x:v>
      </x:c>
      <x:c r="J12" s="9" t="str">
        <x:v>SRC-GSC-PAGES; seasonality-gb</x:v>
      </x:c>
    </x:row>
    <x:row r="13" ht="48" customHeight="1">
      <x:c r="A13" s="8" t="str">
        <x:v>Conservative</x:v>
      </x:c>
      <x:c r="B13" s="8" t="n">
        <x:v>9</x:v>
      </x:c>
      <x:c r="C13" s="8"/>
      <x:c r="D13" s="8"/>
      <x:c r="E13" s="8"/>
      <x:c r="F13" s="8"/>
      <x:c r="G13" s="8" t="str">
        <x:v>UNAVAILABLE</x:v>
      </x:c>
      <x:c r="H13" s="8" t="str">
        <x:v>Need current full-period organic landing sessions, completed bookings, consent-adjusted attribution, capacity and prior-year seasonality</x:v>
      </x:c>
      <x:c r="I13" s="8" t="str">
        <x:v>Never multiply the anomalous UK average by a guessed CTR. No sum of overlapping variants or TP.</x:v>
      </x:c>
      <x:c r="J13" s="8" t="str">
        <x:v>SRC-GSC-PAGES; seasonality-gb</x:v>
      </x:c>
    </x:row>
    <x:row r="14" ht="48" customHeight="1">
      <x:c r="A14" s="9" t="str">
        <x:v>Conservative</x:v>
      </x:c>
      <x:c r="B14" s="9" t="n">
        <x:v>10</x:v>
      </x:c>
      <x:c r="C14" s="9"/>
      <x:c r="D14" s="9"/>
      <x:c r="E14" s="9"/>
      <x:c r="F14" s="9"/>
      <x:c r="G14" s="9" t="str">
        <x:v>UNAVAILABLE</x:v>
      </x:c>
      <x:c r="H14" s="9" t="str">
        <x:v>Need current full-period organic landing sessions, completed bookings, consent-adjusted attribution, capacity and prior-year seasonality</x:v>
      </x:c>
      <x:c r="I14" s="9" t="str">
        <x:v>Never multiply the anomalous UK average by a guessed CTR. No sum of overlapping variants or TP.</x:v>
      </x:c>
      <x:c r="J14" s="9" t="str">
        <x:v>SRC-GSC-PAGES; seasonality-gb</x:v>
      </x:c>
    </x:row>
    <x:row r="15" ht="48" customHeight="1">
      <x:c r="A15" s="8" t="str">
        <x:v>Conservative</x:v>
      </x:c>
      <x:c r="B15" s="8" t="n">
        <x:v>11</x:v>
      </x:c>
      <x:c r="C15" s="8"/>
      <x:c r="D15" s="8"/>
      <x:c r="E15" s="8"/>
      <x:c r="F15" s="8"/>
      <x:c r="G15" s="8" t="str">
        <x:v>UNAVAILABLE</x:v>
      </x:c>
      <x:c r="H15" s="8" t="str">
        <x:v>Need current full-period organic landing sessions, completed bookings, consent-adjusted attribution, capacity and prior-year seasonality</x:v>
      </x:c>
      <x:c r="I15" s="8" t="str">
        <x:v>Never multiply the anomalous UK average by a guessed CTR. No sum of overlapping variants or TP.</x:v>
      </x:c>
      <x:c r="J15" s="8" t="str">
        <x:v>SRC-GSC-PAGES; seasonality-gb</x:v>
      </x:c>
    </x:row>
    <x:row r="16" ht="48" customHeight="1">
      <x:c r="A16" s="9" t="str">
        <x:v>Conservative</x:v>
      </x:c>
      <x:c r="B16" s="9" t="n">
        <x:v>12</x:v>
      </x:c>
      <x:c r="C16" s="9"/>
      <x:c r="D16" s="9"/>
      <x:c r="E16" s="9"/>
      <x:c r="F16" s="9"/>
      <x:c r="G16" s="9" t="str">
        <x:v>UNAVAILABLE</x:v>
      </x:c>
      <x:c r="H16" s="9" t="str">
        <x:v>Need current full-period organic landing sessions, completed bookings, consent-adjusted attribution, capacity and prior-year seasonality</x:v>
      </x:c>
      <x:c r="I16" s="9" t="str">
        <x:v>Never multiply the anomalous UK average by a guessed CTR. No sum of overlapping variants or TP.</x:v>
      </x:c>
      <x:c r="J16" s="9" t="str">
        <x:v>SRC-GSC-PAGES; seasonality-gb</x:v>
      </x:c>
    </x:row>
    <x:row r="17" ht="48" customHeight="1">
      <x:c r="A17" s="8" t="str">
        <x:v>Base</x:v>
      </x:c>
      <x:c r="B17" s="8" t="n">
        <x:v>1</x:v>
      </x:c>
      <x:c r="C17" s="8"/>
      <x:c r="D17" s="8"/>
      <x:c r="E17" s="8"/>
      <x:c r="F17" s="8"/>
      <x:c r="G17" s="8" t="str">
        <x:v>UNAVAILABLE</x:v>
      </x:c>
      <x:c r="H17" s="8" t="str">
        <x:v>Need current full-period organic landing sessions, completed bookings, consent-adjusted attribution, capacity and prior-year seasonality</x:v>
      </x:c>
      <x:c r="I17" s="8" t="str">
        <x:v>Never multiply the anomalous UK average by a guessed CTR. No sum of overlapping variants or TP.</x:v>
      </x:c>
      <x:c r="J17" s="8" t="str">
        <x:v>SRC-GSC-PAGES; seasonality-gb</x:v>
      </x:c>
    </x:row>
    <x:row r="18" ht="48" customHeight="1">
      <x:c r="A18" s="9" t="str">
        <x:v>Base</x:v>
      </x:c>
      <x:c r="B18" s="9" t="n">
        <x:v>2</x:v>
      </x:c>
      <x:c r="C18" s="9"/>
      <x:c r="D18" s="9"/>
      <x:c r="E18" s="9"/>
      <x:c r="F18" s="9"/>
      <x:c r="G18" s="9" t="str">
        <x:v>UNAVAILABLE</x:v>
      </x:c>
      <x:c r="H18" s="9" t="str">
        <x:v>Need current full-period organic landing sessions, completed bookings, consent-adjusted attribution, capacity and prior-year seasonality</x:v>
      </x:c>
      <x:c r="I18" s="9" t="str">
        <x:v>Never multiply the anomalous UK average by a guessed CTR. No sum of overlapping variants or TP.</x:v>
      </x:c>
      <x:c r="J18" s="9" t="str">
        <x:v>SRC-GSC-PAGES; seasonality-gb</x:v>
      </x:c>
    </x:row>
    <x:row r="19" ht="48" customHeight="1">
      <x:c r="A19" s="8" t="str">
        <x:v>Base</x:v>
      </x:c>
      <x:c r="B19" s="8" t="n">
        <x:v>3</x:v>
      </x:c>
      <x:c r="C19" s="8"/>
      <x:c r="D19" s="8"/>
      <x:c r="E19" s="8"/>
      <x:c r="F19" s="8"/>
      <x:c r="G19" s="8" t="str">
        <x:v>UNAVAILABLE</x:v>
      </x:c>
      <x:c r="H19" s="8" t="str">
        <x:v>Need current full-period organic landing sessions, completed bookings, consent-adjusted attribution, capacity and prior-year seasonality</x:v>
      </x:c>
      <x:c r="I19" s="8" t="str">
        <x:v>Never multiply the anomalous UK average by a guessed CTR. No sum of overlapping variants or TP.</x:v>
      </x:c>
      <x:c r="J19" s="8" t="str">
        <x:v>SRC-GSC-PAGES; seasonality-gb</x:v>
      </x:c>
    </x:row>
    <x:row r="20" ht="48" customHeight="1">
      <x:c r="A20" s="9" t="str">
        <x:v>Base</x:v>
      </x:c>
      <x:c r="B20" s="9" t="n">
        <x:v>4</x:v>
      </x:c>
      <x:c r="C20" s="9"/>
      <x:c r="D20" s="9"/>
      <x:c r="E20" s="9"/>
      <x:c r="F20" s="9"/>
      <x:c r="G20" s="9" t="str">
        <x:v>UNAVAILABLE</x:v>
      </x:c>
      <x:c r="H20" s="9" t="str">
        <x:v>Need current full-period organic landing sessions, completed bookings, consent-adjusted attribution, capacity and prior-year seasonality</x:v>
      </x:c>
      <x:c r="I20" s="9" t="str">
        <x:v>Never multiply the anomalous UK average by a guessed CTR. No sum of overlapping variants or TP.</x:v>
      </x:c>
      <x:c r="J20" s="9" t="str">
        <x:v>SRC-GSC-PAGES; seasonality-gb</x:v>
      </x:c>
    </x:row>
    <x:row r="21" ht="48" customHeight="1">
      <x:c r="A21" s="8" t="str">
        <x:v>Base</x:v>
      </x:c>
      <x:c r="B21" s="8" t="n">
        <x:v>5</x:v>
      </x:c>
      <x:c r="C21" s="8"/>
      <x:c r="D21" s="8"/>
      <x:c r="E21" s="8"/>
      <x:c r="F21" s="8"/>
      <x:c r="G21" s="8" t="str">
        <x:v>UNAVAILABLE</x:v>
      </x:c>
      <x:c r="H21" s="8" t="str">
        <x:v>Need current full-period organic landing sessions, completed bookings, consent-adjusted attribution, capacity and prior-year seasonality</x:v>
      </x:c>
      <x:c r="I21" s="8" t="str">
        <x:v>Never multiply the anomalous UK average by a guessed CTR. No sum of overlapping variants or TP.</x:v>
      </x:c>
      <x:c r="J21" s="8" t="str">
        <x:v>SRC-GSC-PAGES; seasonality-gb</x:v>
      </x:c>
    </x:row>
    <x:row r="22" ht="48" customHeight="1">
      <x:c r="A22" s="9" t="str">
        <x:v>Base</x:v>
      </x:c>
      <x:c r="B22" s="9" t="n">
        <x:v>6</x:v>
      </x:c>
      <x:c r="C22" s="9"/>
      <x:c r="D22" s="9"/>
      <x:c r="E22" s="9"/>
      <x:c r="F22" s="9"/>
      <x:c r="G22" s="9" t="str">
        <x:v>UNAVAILABLE</x:v>
      </x:c>
      <x:c r="H22" s="9" t="str">
        <x:v>Need current full-period organic landing sessions, completed bookings, consent-adjusted attribution, capacity and prior-year seasonality</x:v>
      </x:c>
      <x:c r="I22" s="9" t="str">
        <x:v>Never multiply the anomalous UK average by a guessed CTR. No sum of overlapping variants or TP.</x:v>
      </x:c>
      <x:c r="J22" s="9" t="str">
        <x:v>SRC-GSC-PAGES; seasonality-gb</x:v>
      </x:c>
    </x:row>
    <x:row r="23" ht="48" customHeight="1">
      <x:c r="A23" s="8" t="str">
        <x:v>Base</x:v>
      </x:c>
      <x:c r="B23" s="8" t="n">
        <x:v>7</x:v>
      </x:c>
      <x:c r="C23" s="8"/>
      <x:c r="D23" s="8"/>
      <x:c r="E23" s="8"/>
      <x:c r="F23" s="8"/>
      <x:c r="G23" s="8" t="str">
        <x:v>UNAVAILABLE</x:v>
      </x:c>
      <x:c r="H23" s="8" t="str">
        <x:v>Need current full-period organic landing sessions, completed bookings, consent-adjusted attribution, capacity and prior-year seasonality</x:v>
      </x:c>
      <x:c r="I23" s="8" t="str">
        <x:v>Never multiply the anomalous UK average by a guessed CTR. No sum of overlapping variants or TP.</x:v>
      </x:c>
      <x:c r="J23" s="8" t="str">
        <x:v>SRC-GSC-PAGES; seasonality-gb</x:v>
      </x:c>
    </x:row>
    <x:row r="24" ht="48" customHeight="1">
      <x:c r="A24" s="9" t="str">
        <x:v>Base</x:v>
      </x:c>
      <x:c r="B24" s="9" t="n">
        <x:v>8</x:v>
      </x:c>
      <x:c r="C24" s="9"/>
      <x:c r="D24" s="9"/>
      <x:c r="E24" s="9"/>
      <x:c r="F24" s="9"/>
      <x:c r="G24" s="9" t="str">
        <x:v>UNAVAILABLE</x:v>
      </x:c>
      <x:c r="H24" s="9" t="str">
        <x:v>Need current full-period organic landing sessions, completed bookings, consent-adjusted attribution, capacity and prior-year seasonality</x:v>
      </x:c>
      <x:c r="I24" s="9" t="str">
        <x:v>Never multiply the anomalous UK average by a guessed CTR. No sum of overlapping variants or TP.</x:v>
      </x:c>
      <x:c r="J24" s="9" t="str">
        <x:v>SRC-GSC-PAGES; seasonality-gb</x:v>
      </x:c>
    </x:row>
    <x:row r="25" ht="48" customHeight="1">
      <x:c r="A25" s="8" t="str">
        <x:v>Base</x:v>
      </x:c>
      <x:c r="B25" s="8" t="n">
        <x:v>9</x:v>
      </x:c>
      <x:c r="C25" s="8"/>
      <x:c r="D25" s="8"/>
      <x:c r="E25" s="8"/>
      <x:c r="F25" s="8"/>
      <x:c r="G25" s="8" t="str">
        <x:v>UNAVAILABLE</x:v>
      </x:c>
      <x:c r="H25" s="8" t="str">
        <x:v>Need current full-period organic landing sessions, completed bookings, consent-adjusted attribution, capacity and prior-year seasonality</x:v>
      </x:c>
      <x:c r="I25" s="8" t="str">
        <x:v>Never multiply the anomalous UK average by a guessed CTR. No sum of overlapping variants or TP.</x:v>
      </x:c>
      <x:c r="J25" s="8" t="str">
        <x:v>SRC-GSC-PAGES; seasonality-gb</x:v>
      </x:c>
    </x:row>
    <x:row r="26" ht="48" customHeight="1">
      <x:c r="A26" s="9" t="str">
        <x:v>Base</x:v>
      </x:c>
      <x:c r="B26" s="9" t="n">
        <x:v>10</x:v>
      </x:c>
      <x:c r="C26" s="9"/>
      <x:c r="D26" s="9"/>
      <x:c r="E26" s="9"/>
      <x:c r="F26" s="9"/>
      <x:c r="G26" s="9" t="str">
        <x:v>UNAVAILABLE</x:v>
      </x:c>
      <x:c r="H26" s="9" t="str">
        <x:v>Need current full-period organic landing sessions, completed bookings, consent-adjusted attribution, capacity and prior-year seasonality</x:v>
      </x:c>
      <x:c r="I26" s="9" t="str">
        <x:v>Never multiply the anomalous UK average by a guessed CTR. No sum of overlapping variants or TP.</x:v>
      </x:c>
      <x:c r="J26" s="9" t="str">
        <x:v>SRC-GSC-PAGES; seasonality-gb</x:v>
      </x:c>
    </x:row>
    <x:row r="27" ht="48" customHeight="1">
      <x:c r="A27" s="8" t="str">
        <x:v>Base</x:v>
      </x:c>
      <x:c r="B27" s="8" t="n">
        <x:v>11</x:v>
      </x:c>
      <x:c r="C27" s="8"/>
      <x:c r="D27" s="8"/>
      <x:c r="E27" s="8"/>
      <x:c r="F27" s="8"/>
      <x:c r="G27" s="8" t="str">
        <x:v>UNAVAILABLE</x:v>
      </x:c>
      <x:c r="H27" s="8" t="str">
        <x:v>Need current full-period organic landing sessions, completed bookings, consent-adjusted attribution, capacity and prior-year seasonality</x:v>
      </x:c>
      <x:c r="I27" s="8" t="str">
        <x:v>Never multiply the anomalous UK average by a guessed CTR. No sum of overlapping variants or TP.</x:v>
      </x:c>
      <x:c r="J27" s="8" t="str">
        <x:v>SRC-GSC-PAGES; seasonality-gb</x:v>
      </x:c>
    </x:row>
    <x:row r="28" ht="48" customHeight="1">
      <x:c r="A28" s="9" t="str">
        <x:v>Base</x:v>
      </x:c>
      <x:c r="B28" s="9" t="n">
        <x:v>12</x:v>
      </x:c>
      <x:c r="C28" s="9"/>
      <x:c r="D28" s="9"/>
      <x:c r="E28" s="9"/>
      <x:c r="F28" s="9"/>
      <x:c r="G28" s="9" t="str">
        <x:v>UNAVAILABLE</x:v>
      </x:c>
      <x:c r="H28" s="9" t="str">
        <x:v>Need current full-period organic landing sessions, completed bookings, consent-adjusted attribution, capacity and prior-year seasonality</x:v>
      </x:c>
      <x:c r="I28" s="9" t="str">
        <x:v>Never multiply the anomalous UK average by a guessed CTR. No sum of overlapping variants or TP.</x:v>
      </x:c>
      <x:c r="J28" s="9" t="str">
        <x:v>SRC-GSC-PAGES; seasonality-gb</x:v>
      </x:c>
    </x:row>
    <x:row r="29" ht="48" customHeight="1">
      <x:c r="A29" s="8" t="str">
        <x:v>Upside</x:v>
      </x:c>
      <x:c r="B29" s="8" t="n">
        <x:v>1</x:v>
      </x:c>
      <x:c r="C29" s="8"/>
      <x:c r="D29" s="8"/>
      <x:c r="E29" s="8"/>
      <x:c r="F29" s="8"/>
      <x:c r="G29" s="8" t="str">
        <x:v>UNAVAILABLE</x:v>
      </x:c>
      <x:c r="H29" s="8" t="str">
        <x:v>Need current full-period organic landing sessions, completed bookings, consent-adjusted attribution, capacity and prior-year seasonality</x:v>
      </x:c>
      <x:c r="I29" s="8" t="str">
        <x:v>Never multiply the anomalous UK average by a guessed CTR. No sum of overlapping variants or TP.</x:v>
      </x:c>
      <x:c r="J29" s="8" t="str">
        <x:v>SRC-GSC-PAGES; seasonality-gb</x:v>
      </x:c>
    </x:row>
    <x:row r="30" ht="48" customHeight="1">
      <x:c r="A30" s="9" t="str">
        <x:v>Upside</x:v>
      </x:c>
      <x:c r="B30" s="9" t="n">
        <x:v>2</x:v>
      </x:c>
      <x:c r="C30" s="9"/>
      <x:c r="D30" s="9"/>
      <x:c r="E30" s="9"/>
      <x:c r="F30" s="9"/>
      <x:c r="G30" s="9" t="str">
        <x:v>UNAVAILABLE</x:v>
      </x:c>
      <x:c r="H30" s="9" t="str">
        <x:v>Need current full-period organic landing sessions, completed bookings, consent-adjusted attribution, capacity and prior-year seasonality</x:v>
      </x:c>
      <x:c r="I30" s="9" t="str">
        <x:v>Never multiply the anomalous UK average by a guessed CTR. No sum of overlapping variants or TP.</x:v>
      </x:c>
      <x:c r="J30" s="9" t="str">
        <x:v>SRC-GSC-PAGES; seasonality-gb</x:v>
      </x:c>
    </x:row>
    <x:row r="31" ht="48" customHeight="1">
      <x:c r="A31" s="8" t="str">
        <x:v>Upside</x:v>
      </x:c>
      <x:c r="B31" s="8" t="n">
        <x:v>3</x:v>
      </x:c>
      <x:c r="C31" s="8"/>
      <x:c r="D31" s="8"/>
      <x:c r="E31" s="8"/>
      <x:c r="F31" s="8"/>
      <x:c r="G31" s="8" t="str">
        <x:v>UNAVAILABLE</x:v>
      </x:c>
      <x:c r="H31" s="8" t="str">
        <x:v>Need current full-period organic landing sessions, completed bookings, consent-adjusted attribution, capacity and prior-year seasonality</x:v>
      </x:c>
      <x:c r="I31" s="8" t="str">
        <x:v>Never multiply the anomalous UK average by a guessed CTR. No sum of overlapping variants or TP.</x:v>
      </x:c>
      <x:c r="J31" s="8" t="str">
        <x:v>SRC-GSC-PAGES; seasonality-gb</x:v>
      </x:c>
    </x:row>
    <x:row r="32" ht="48" customHeight="1">
      <x:c r="A32" s="9" t="str">
        <x:v>Upside</x:v>
      </x:c>
      <x:c r="B32" s="9" t="n">
        <x:v>4</x:v>
      </x:c>
      <x:c r="C32" s="9"/>
      <x:c r="D32" s="9"/>
      <x:c r="E32" s="9"/>
      <x:c r="F32" s="9"/>
      <x:c r="G32" s="9" t="str">
        <x:v>UNAVAILABLE</x:v>
      </x:c>
      <x:c r="H32" s="9" t="str">
        <x:v>Need current full-period organic landing sessions, completed bookings, consent-adjusted attribution, capacity and prior-year seasonality</x:v>
      </x:c>
      <x:c r="I32" s="9" t="str">
        <x:v>Never multiply the anomalous UK average by a guessed CTR. No sum of overlapping variants or TP.</x:v>
      </x:c>
      <x:c r="J32" s="9" t="str">
        <x:v>SRC-GSC-PAGES; seasonality-gb</x:v>
      </x:c>
    </x:row>
    <x:row r="33" ht="48" customHeight="1">
      <x:c r="A33" s="8" t="str">
        <x:v>Upside</x:v>
      </x:c>
      <x:c r="B33" s="8" t="n">
        <x:v>5</x:v>
      </x:c>
      <x:c r="C33" s="8"/>
      <x:c r="D33" s="8"/>
      <x:c r="E33" s="8"/>
      <x:c r="F33" s="8"/>
      <x:c r="G33" s="8" t="str">
        <x:v>UNAVAILABLE</x:v>
      </x:c>
      <x:c r="H33" s="8" t="str">
        <x:v>Need current full-period organic landing sessions, completed bookings, consent-adjusted attribution, capacity and prior-year seasonality</x:v>
      </x:c>
      <x:c r="I33" s="8" t="str">
        <x:v>Never multiply the anomalous UK average by a guessed CTR. No sum of overlapping variants or TP.</x:v>
      </x:c>
      <x:c r="J33" s="8" t="str">
        <x:v>SRC-GSC-PAGES; seasonality-gb</x:v>
      </x:c>
    </x:row>
    <x:row r="34" ht="48" customHeight="1">
      <x:c r="A34" s="9" t="str">
        <x:v>Upside</x:v>
      </x:c>
      <x:c r="B34" s="9" t="n">
        <x:v>6</x:v>
      </x:c>
      <x:c r="C34" s="9"/>
      <x:c r="D34" s="9"/>
      <x:c r="E34" s="9"/>
      <x:c r="F34" s="9"/>
      <x:c r="G34" s="9" t="str">
        <x:v>UNAVAILABLE</x:v>
      </x:c>
      <x:c r="H34" s="9" t="str">
        <x:v>Need current full-period organic landing sessions, completed bookings, consent-adjusted attribution, capacity and prior-year seasonality</x:v>
      </x:c>
      <x:c r="I34" s="9" t="str">
        <x:v>Never multiply the anomalous UK average by a guessed CTR. No sum of overlapping variants or TP.</x:v>
      </x:c>
      <x:c r="J34" s="9" t="str">
        <x:v>SRC-GSC-PAGES; seasonality-gb</x:v>
      </x:c>
    </x:row>
    <x:row r="35" ht="48" customHeight="1">
      <x:c r="A35" s="8" t="str">
        <x:v>Upside</x:v>
      </x:c>
      <x:c r="B35" s="8" t="n">
        <x:v>7</x:v>
      </x:c>
      <x:c r="C35" s="8"/>
      <x:c r="D35" s="8"/>
      <x:c r="E35" s="8"/>
      <x:c r="F35" s="8"/>
      <x:c r="G35" s="8" t="str">
        <x:v>UNAVAILABLE</x:v>
      </x:c>
      <x:c r="H35" s="8" t="str">
        <x:v>Need current full-period organic landing sessions, completed bookings, consent-adjusted attribution, capacity and prior-year seasonality</x:v>
      </x:c>
      <x:c r="I35" s="8" t="str">
        <x:v>Never multiply the anomalous UK average by a guessed CTR. No sum of overlapping variants or TP.</x:v>
      </x:c>
      <x:c r="J35" s="8" t="str">
        <x:v>SRC-GSC-PAGES; seasonality-gb</x:v>
      </x:c>
    </x:row>
    <x:row r="36" ht="48" customHeight="1">
      <x:c r="A36" s="9" t="str">
        <x:v>Upside</x:v>
      </x:c>
      <x:c r="B36" s="9" t="n">
        <x:v>8</x:v>
      </x:c>
      <x:c r="C36" s="9"/>
      <x:c r="D36" s="9"/>
      <x:c r="E36" s="9"/>
      <x:c r="F36" s="9"/>
      <x:c r="G36" s="9" t="str">
        <x:v>UNAVAILABLE</x:v>
      </x:c>
      <x:c r="H36" s="9" t="str">
        <x:v>Need current full-period organic landing sessions, completed bookings, consent-adjusted attribution, capacity and prior-year seasonality</x:v>
      </x:c>
      <x:c r="I36" s="9" t="str">
        <x:v>Never multiply the anomalous UK average by a guessed CTR. No sum of overlapping variants or TP.</x:v>
      </x:c>
      <x:c r="J36" s="9" t="str">
        <x:v>SRC-GSC-PAGES; seasonality-gb</x:v>
      </x:c>
    </x:row>
    <x:row r="37" ht="48" customHeight="1">
      <x:c r="A37" s="8" t="str">
        <x:v>Upside</x:v>
      </x:c>
      <x:c r="B37" s="8" t="n">
        <x:v>9</x:v>
      </x:c>
      <x:c r="C37" s="8"/>
      <x:c r="D37" s="8"/>
      <x:c r="E37" s="8"/>
      <x:c r="F37" s="8"/>
      <x:c r="G37" s="8" t="str">
        <x:v>UNAVAILABLE</x:v>
      </x:c>
      <x:c r="H37" s="8" t="str">
        <x:v>Need current full-period organic landing sessions, completed bookings, consent-adjusted attribution, capacity and prior-year seasonality</x:v>
      </x:c>
      <x:c r="I37" s="8" t="str">
        <x:v>Never multiply the anomalous UK average by a guessed CTR. No sum of overlapping variants or TP.</x:v>
      </x:c>
      <x:c r="J37" s="8" t="str">
        <x:v>SRC-GSC-PAGES; seasonality-gb</x:v>
      </x:c>
    </x:row>
    <x:row r="38" ht="48" customHeight="1">
      <x:c r="A38" s="9" t="str">
        <x:v>Upside</x:v>
      </x:c>
      <x:c r="B38" s="9" t="n">
        <x:v>10</x:v>
      </x:c>
      <x:c r="C38" s="9"/>
      <x:c r="D38" s="9"/>
      <x:c r="E38" s="9"/>
      <x:c r="F38" s="9"/>
      <x:c r="G38" s="9" t="str">
        <x:v>UNAVAILABLE</x:v>
      </x:c>
      <x:c r="H38" s="9" t="str">
        <x:v>Need current full-period organic landing sessions, completed bookings, consent-adjusted attribution, capacity and prior-year seasonality</x:v>
      </x:c>
      <x:c r="I38" s="9" t="str">
        <x:v>Never multiply the anomalous UK average by a guessed CTR. No sum of overlapping variants or TP.</x:v>
      </x:c>
      <x:c r="J38" s="9" t="str">
        <x:v>SRC-GSC-PAGES; seasonality-gb</x:v>
      </x:c>
    </x:row>
    <x:row r="39" ht="48" customHeight="1">
      <x:c r="A39" s="8" t="str">
        <x:v>Upside</x:v>
      </x:c>
      <x:c r="B39" s="8" t="n">
        <x:v>11</x:v>
      </x:c>
      <x:c r="C39" s="8"/>
      <x:c r="D39" s="8"/>
      <x:c r="E39" s="8"/>
      <x:c r="F39" s="8"/>
      <x:c r="G39" s="8" t="str">
        <x:v>UNAVAILABLE</x:v>
      </x:c>
      <x:c r="H39" s="8" t="str">
        <x:v>Need current full-period organic landing sessions, completed bookings, consent-adjusted attribution, capacity and prior-year seasonality</x:v>
      </x:c>
      <x:c r="I39" s="8" t="str">
        <x:v>Never multiply the anomalous UK average by a guessed CTR. No sum of overlapping variants or TP.</x:v>
      </x:c>
      <x:c r="J39" s="8" t="str">
        <x:v>SRC-GSC-PAGES; seasonality-gb</x:v>
      </x:c>
    </x:row>
    <x:row r="40" ht="48" customHeight="1">
      <x:c r="A40" s="9" t="str">
        <x:v>Upside</x:v>
      </x:c>
      <x:c r="B40" s="9" t="n">
        <x:v>12</x:v>
      </x:c>
      <x:c r="C40" s="9"/>
      <x:c r="D40" s="9"/>
      <x:c r="E40" s="9"/>
      <x:c r="F40" s="9"/>
      <x:c r="G40" s="9" t="str">
        <x:v>UNAVAILABLE</x:v>
      </x:c>
      <x:c r="H40" s="9" t="str">
        <x:v>Need current full-period organic landing sessions, completed bookings, consent-adjusted attribution, capacity and prior-year seasonality</x:v>
      </x:c>
      <x:c r="I40" s="9" t="str">
        <x:v>Never multiply the anomalous UK average by a guessed CTR. No sum of overlapping variants or TP.</x:v>
      </x:c>
      <x:c r="J40" s="9" t="str">
        <x:v>SRC-GSC-PAGES; seasonality-gb</x:v>
      </x:c>
    </x:row>
  </x:sheetData>
  <x:mergeCells>
    <x:mergeCell ref="A1:E1"/>
    <x:mergeCell ref="A2:F2"/>
  </x:mergeCells>
  <x:conditionalFormatting sqref="G5:G40">
    <x:cfRule type="containsText" dxfId="18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7921b77c10a04eb7"/>
  </x:tableParts>
</x:worksheet>
</file>

<file path=xl/worksheets/sheet19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2" hidden="0" customWidth="1"/>
    <x:col min="3" max="3" width="42" hidden="0" customWidth="1"/>
    <x:col min="4" max="4" width="88" hidden="0" customWidth="1"/>
    <x:col min="5" max="5" width="95" hidden="0" customWidth="1"/>
    <x:col min="6" max="6" width="50" hidden="0" customWidth="1"/>
    <x:col min="7" max="7" width="22" hidden="0" customWidth="1"/>
    <x:col min="8" max="8" width="73" hidden="0" customWidth="1"/>
  </x:cols>
  <x:sheetData>
    <x:row r="1" ht="34" customHeight="1">
      <x:c r="A1" s="4" t="str">
        <x:v>Technical Dependencies</x:v>
      </x:c>
      <x:c r="B1" s="3"/>
      <x:c r="C1" s="3"/>
      <x:c r="D1" s="3"/>
      <x:c r="E1" s="3"/>
      <x:c r="F1" s="3"/>
      <x:c r="G1" s="3"/>
      <x:c r="H1" s="3"/>
    </x:row>
    <x:row r="2" ht="44" customHeight="1">
      <x:c r="A2" s="5" t="str">
        <x:v>Only dependencies tied to the researched pages and conversion journey. Status describes evidence, not a blanket site-health score.</x:v>
      </x:c>
      <x:c r="B2" s="3"/>
      <x:c r="C2" s="3"/>
      <x:c r="D2" s="3"/>
      <x:c r="E2" s="3"/>
      <x:c r="F2" s="3"/>
      <x:c r="G2" s="3"/>
      <x:c r="H2" s="3"/>
    </x:row>
    <x:row r="3" ht="9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7" t="str">
        <x:v>ID</x:v>
      </x:c>
      <x:c r="B4" s="7" t="str">
        <x:v>Dependency</x:v>
      </x:c>
      <x:c r="C4" s="7" t="str">
        <x:v>Affected pages</x:v>
      </x:c>
      <x:c r="D4" s="7" t="str">
        <x:v>Finding</x:v>
      </x:c>
      <x:c r="E4" s="7" t="str">
        <x:v>Action</x:v>
      </x:c>
      <x:c r="F4" s="7" t="str">
        <x:v>Source IDs</x:v>
      </x:c>
      <x:c r="G4" s="7" t="str">
        <x:v>Evidence status</x:v>
      </x:c>
      <x:c r="H4" s="7" t="str">
        <x:v>Business consequence</x:v>
      </x:c>
    </x:row>
    <x:row r="5" ht="48" customHeight="1">
      <x:c r="A5" s="8" t="str">
        <x:v>T01</x:v>
      </x:c>
      <x:c r="B5" s="8" t="str">
        <x:v>Current measurement</x:v>
      </x:c>
      <x:c r="C5" s="8" t="str">
        <x:v>All locales</x:v>
      </x:c>
      <x:c r="D5" s="8" t="str">
        <x:v>Current GSC/GA4/provider reports unavailable. Historical GSC only.</x:v>
      </x:c>
      <x:c r="E5" s="8" t="str">
        <x:v>Connect authorized current complete-period reports. Separate book clicks from confirmed bookings.</x:v>
      </x:c>
      <x:c r="F5" s="8" t="str">
        <x:v>SRC-GSC-PAGES; baseline-keywords</x:v>
      </x:c>
      <x:c r="G5" s="8" t="str">
        <x:v>UNAVAILABLE</x:v>
      </x:c>
      <x:c r="H5" s="8" t="str">
        <x:v>Cannot quantify current performance or forecast bookings</x:v>
      </x:c>
    </x:row>
    <x:row r="6" ht="48" customHeight="1">
      <x:c r="A6" s="9" t="str">
        <x:v>T02</x:v>
      </x:c>
      <x:c r="B6" s="9" t="str">
        <x:v>Locale completeness</x:v>
      </x:c>
      <x:c r="C6" s="9" t="str">
        <x:v>Inherited island-guide content</x:v>
      </x:c>
      <x:c r="D6" s="9" t="str">
        <x:v>Commercial fleet and location values are localized. Validator still flags English fallback values in five island-guide source modules.</x:v>
      </x:c>
      <x:c r="E6" s="9" t="str">
        <x:v>Complete native translations and parity QA before calling the whole site fully localized.</x:v>
      </x:c>
      <x:c r="F6" s="9" t="str">
        <x:v>SRC-REPO</x:v>
      </x:c>
      <x:c r="G6" s="9" t="str">
        <x:v>OBSERVED</x:v>
      </x:c>
      <x:c r="H6" s="9" t="str">
        <x:v>Language-quality and conversion risk remains</x:v>
      </x:c>
    </x:row>
    <x:row r="7" ht="54" customHeight="1">
      <x:c r="A7" s="8" t="str">
        <x:v>T03</x:v>
      </x:c>
      <x:c r="B7" s="8" t="str">
        <x:v>Inventory accuracy</x:v>
      </x:c>
      <x:c r="C7" s="8" t="str">
        <x:v>Fleet and vehicle pages</x:v>
      </x:c>
      <x:c r="D7" s="8" t="str">
        <x:v>i10 description called a manual car automatic. Eight profiles marked not bookable. Some legacy images mismatch model names.</x:v>
      </x:c>
      <x:c r="E7" s="8" t="str">
        <x:v>Manual prose corrected. All24 car images regenerated with illustration labels. Eight reference models labeled; SUV collection includes current crossovers. Confirm availability in provider system before release.</x:v>
      </x:c>
      <x:c r="F7" s="8" t="str">
        <x:v>SRC-REPO</x:v>
      </x:c>
      <x:c r="G7" s="8" t="str">
        <x:v>OBSERVED</x:v>
      </x:c>
      <x:c r="H7" s="8" t="str">
        <x:v>Avoid false offers and wrong vehicle expectations</x:v>
      </x:c>
    </x:row>
    <x:row r="8" ht="48" customHeight="1">
      <x:c r="A8" s="9" t="str">
        <x:v>T04</x:v>
      </x:c>
      <x:c r="B8" s="9" t="str">
        <x:v>Crawl and locale signals</x:v>
      </x:c>
      <x:c r="C8" s="9" t="str">
        <x:v>All indexable routes</x:v>
      </x:c>
      <x:c r="D8" s="9" t="str">
        <x:v>Live sampled pages return200 with self-canonical and five-language alternates. Local validator checks410 sitemap URLs/450 internal routes.</x:v>
      </x:c>
      <x:c r="E8" s="9" t="str">
        <x:v>Preserve canonical/hreflang and route identities. Recheck production after any approved release.</x:v>
      </x:c>
      <x:c r="F8" s="9" t="str">
        <x:v>SRC-LIVE; SRC-LOCAL-QA</x:v>
      </x:c>
      <x:c r="G8" s="9" t="str">
        <x:v>OBSERVED</x:v>
      </x:c>
      <x:c r="H8" s="9" t="str">
        <x:v>Build success does not establish deployed indexing</x:v>
      </x:c>
    </x:row>
    <x:row r="9" ht="48" customHeight="1">
      <x:c r="A9" s="8" t="str">
        <x:v>T05</x:v>
      </x:c>
      <x:c r="B9" s="8" t="str">
        <x:v>Snippet / AI eligibility</x:v>
      </x:c>
      <x:c r="C9" s="8" t="str">
        <x:v>Owned reference pages</x:v>
      </x:c>
      <x:c r="D9" s="8" t="str">
        <x:v>Google docs require ordinary search eligibility and useful content. No special AI schema or llms file required.</x:v>
      </x:c>
      <x:c r="E9" s="8" t="str">
        <x:v>Keep useful content visible. Do not introduce restrictive snippets or fake structured data.</x:v>
      </x:c>
      <x:c r="F9" s="8" t="str">
        <x:v>DOC-GOOGLE</x:v>
      </x:c>
      <x:c r="G9" s="8" t="str">
        <x:v>OBSERVED</x:v>
      </x:c>
      <x:c r="H9" s="8" t="str">
        <x:v>No guaranteed AI inclusion</x:v>
      </x:c>
    </x:row>
    <x:row r="10" ht="48" customHeight="1">
      <x:c r="A10" s="9" t="str">
        <x:v>T06</x:v>
      </x:c>
      <x:c r="B10" s="9" t="str">
        <x:v>OpenAI search access</x:v>
      </x:c>
      <x:c r="C10" s="9" t="str">
        <x:v>robots / edge layer</x:v>
      </x:c>
      <x:c r="D10" s="9" t="str">
        <x:v>OAI-SearchBot search access and GPTBot training are separate controls.</x:v>
      </x:c>
      <x:c r="E10" s="9" t="str">
        <x:v>Inspect edge/WAF as well as robots before concluding access. Preserve current training choice.</x:v>
      </x:c>
      <x:c r="F10" s="9" t="str">
        <x:v>DOC-OPENAI; SRC-LIVE</x:v>
      </x:c>
      <x:c r="G10" s="9" t="str">
        <x:v>INFERRED</x:v>
      </x:c>
      <x:c r="H10" s="9" t="str">
        <x:v>Robots200 does not prove provider crawler reachability</x:v>
      </x:c>
    </x:row>
    <x:row r="11" ht="48" customHeight="1">
      <x:c r="A11" s="8" t="str">
        <x:v>T07</x:v>
      </x:c>
      <x:c r="B11" s="8" t="str">
        <x:v>Local identity</x:v>
      </x:c>
      <x:c r="C11" s="8" t="str">
        <x:v>About/contact/profiles</x:v>
      </x:c>
      <x:c r="D11" s="8" t="str">
        <x:v>Owners, phone and brand details exist in repo. Review aggregate is a stored snapshot.</x:v>
      </x:c>
      <x:c r="E11" s="8" t="str">
        <x:v>Reconfirm identity, review dates and any provider profiles before changing claims.</x:v>
      </x:c>
      <x:c r="F11" s="8" t="str">
        <x:v>SRC-REPO</x:v>
      </x:c>
      <x:c r="G11" s="8" t="str">
        <x:v>PROPOSED</x:v>
      </x:c>
      <x:c r="H11" s="8" t="str">
        <x:v>No current Google Business Profile performance collected</x:v>
      </x:c>
    </x:row>
    <x:row r="12" ht="48" customHeight="1">
      <x:c r="A12" s="9" t="str">
        <x:v>T08</x:v>
      </x:c>
      <x:c r="B12" s="9" t="str">
        <x:v>Native AI reports</x:v>
      </x:c>
      <x:c r="C12" s="9" t="str">
        <x:v>Measurement</x:v>
      </x:c>
      <x:c r="D12" s="9" t="str">
        <x:v>Official GSC generative-AI and Bing AI Performance reports exist, but connected API/MCP dimensions were not available.</x:v>
      </x:c>
      <x:c r="E12" s="9" t="str">
        <x:v>Use authorized native report exports when connected. Preserve engine and metric definitions.</x:v>
      </x:c>
      <x:c r="F12" s="9" t="str">
        <x:v>DOC-GSC; DOC-BING</x:v>
      </x:c>
      <x:c r="G12" s="9" t="str">
        <x:v>OBSERVED</x:v>
      </x:c>
      <x:c r="H12" s="9" t="str">
        <x:v>Ordinary search impressions are not AI impressions</x:v>
      </x:c>
    </x:row>
    <x:row r="13" ht="48" customHeight="1">
      <x:c r="A13" s="8" t="str">
        <x:v>T09</x:v>
      </x:c>
      <x:c r="B13" s="8" t="str">
        <x:v>Release and real-user performance</x:v>
      </x:c>
      <x:c r="C13" s="8" t="str">
        <x:v>Production</x:v>
      </x:c>
      <x:c r="D13" s="8" t="str">
        <x:v>Implementation is local only. Field CWV, real conversions and deployment output are not tested.</x:v>
      </x:c>
      <x:c r="E13" s="8" t="str">
        <x:v>Review then approve release; check production routes, field data and provider handoff after deployment.</x:v>
      </x:c>
      <x:c r="F13" s="8" t="str">
        <x:v>SRC-LOCAL-QA</x:v>
      </x:c>
      <x:c r="G13" s="8" t="str">
        <x:v>UNAVAILABLE</x:v>
      </x:c>
      <x:c r="H13" s="8" t="str">
        <x:v>No production improvement claimed</x:v>
      </x:c>
    </x:row>
  </x:sheetData>
  <x:mergeCells>
    <x:mergeCell ref="A1:E1"/>
    <x:mergeCell ref="A2:F2"/>
  </x:mergeCells>
  <x:conditionalFormatting sqref="G5:G13">
    <x:cfRule type="containsText" dxfId="19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7c1f2c0bf827428d"/>
  </x:tableParts>
</x:worksheet>
</file>

<file path=xl/worksheets/sheet20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7" hidden="0" customWidth="1"/>
    <x:col min="2" max="2" width="44" hidden="0" customWidth="1"/>
    <x:col min="3" max="3" width="100" hidden="0" customWidth="1"/>
    <x:col min="4" max="4" width="81" hidden="0" customWidth="1"/>
    <x:col min="5" max="5" width="31" hidden="0" customWidth="1"/>
    <x:col min="6" max="6" width="30" hidden="0" customWidth="1"/>
    <x:col min="7" max="7" width="23" hidden="0" customWidth="1"/>
    <x:col min="8" max="8" width="19" hidden="0" customWidth="1"/>
    <x:col min="9" max="9" width="20" hidden="0" customWidth="1"/>
    <x:col min="10" max="10" width="20" hidden="0" customWidth="1"/>
    <x:col min="11" max="11" width="112" hidden="0" customWidth="1"/>
  </x:cols>
  <x:sheetData>
    <x:row r="1" ht="34" customHeight="1">
      <x:c r="A1" s="4" t="str">
        <x:v>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4" customHeight="1">
      <x:c r="A2" s="5" t="str">
        <x:v>Manifest, metric definitions, access limits and30 Ahrefs retrieval calls. Tool-reported actual units reconcile to4,325. Read-only documentation and display calls are not paid research rows.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42" customHeight="1">
      <x:c r="A4" s="7" t="str">
        <x:v>Source ID</x:v>
      </x:c>
      <x:c r="B4" s="7" t="str">
        <x:v>Source / tool</x:v>
      </x:c>
      <x:c r="C4" s="7" t="str">
        <x:v>Scope / parameters</x:v>
      </x:c>
      <x:c r="D4" s="7" t="str">
        <x:v>Source URL</x:v>
      </x:c>
      <x:c r="E4" s="7" t="str">
        <x:v>Underlying report date</x:v>
      </x:c>
      <x:c r="F4" s="7" t="str">
        <x:v>Retrieval timestamp</x:v>
      </x:c>
      <x:c r="G4" s="7" t="str">
        <x:v>Evidence status</x:v>
      </x:c>
      <x:c r="H4" s="7" t="str">
        <x:v>Rows returned</x:v>
      </x:c>
      <x:c r="I4" s="7" t="str">
        <x:v>Quoted units</x:v>
      </x:c>
      <x:c r="J4" s="7" t="str">
        <x:v>Actual units</x:v>
      </x:c>
      <x:c r="K4" s="7" t="str">
        <x:v>Limitations / definitions</x:v>
      </x:c>
    </x:row>
    <x:row r="5" ht="48" customHeight="1">
      <x:c r="A5" s="8" t="str">
        <x:v>SRC-LIVE</x:v>
      </x:c>
      <x:c r="B5" s="8" t="str">
        <x:v>Website HTTP sample</x:v>
      </x:c>
      <x:c r="C5" s="8" t="str">
        <x:v>14 representative routes and robots/sitemap</x:v>
      </x:c>
      <x:c r="D5" s="10" t="str">
        <x:v>https://naxos-carrentals.com/el</x:v>
      </x:c>
      <x:c r="E5" s="8" t="str">
        <x:v>2026-09-24</x:v>
      </x:c>
      <x:c r="F5" s="8" t="str">
        <x:v>2026-09-24</x:v>
      </x:c>
      <x:c r="G5" s="8" t="str">
        <x:v>OBSERVED</x:v>
      </x:c>
      <x:c r="H5" s="8"/>
      <x:c r="I5" s="8"/>
      <x:c r="J5" s="8"/>
      <x:c r="K5" s="8" t="str">
        <x:v>Public response and metadata inspection. All sampled routes200. No field CWV claim.</x:v>
      </x:c>
    </x:row>
    <x:row r="6" ht="48" customHeight="1">
      <x:c r="A6" s="9" t="str">
        <x:v>SRC-PEXELS</x:v>
      </x:c>
      <x:c r="B6" s="9" t="str">
        <x:v>Pexels API</x:v>
      </x:c>
      <x:c r="C6" s="9" t="str">
        <x:v>7 selected Naxos photographs and1 Portara film; API response and visual inspection</x:v>
      </x:c>
      <x:c r="D6" s="11" t="str">
        <x:v>https://www.pexels.com</x:v>
      </x:c>
      <x:c r="E6" s="9" t="str">
        <x:v>2026-09-24</x:v>
      </x:c>
      <x:c r="F6" s="9" t="str">
        <x:v>2026-09-24</x:v>
      </x:c>
      <x:c r="G6" s="9" t="str">
        <x:v>OBSERVED</x:v>
      </x:c>
      <x:c r="H6" s="9"/>
      <x:c r="I6" s="9"/>
      <x:c r="J6" s="9"/>
      <x:c r="K6" s="9" t="str">
        <x:v>Credits included in website and asset manifest. API key not stored in project.</x:v>
      </x:c>
    </x:row>
    <x:row r="7" ht="48" customHeight="1">
      <x:c r="A7" s="8" t="str">
        <x:v>SRC-REPO</x:v>
      </x:c>
      <x:c r="B7" s="8" t="str">
        <x:v>Repository</x:v>
      </x:c>
      <x:c r="C7" s="8" t="str">
        <x:v>Branch codex/naxos-redesign-seo</x:v>
      </x:c>
      <x:c r="D7" s="10" t="str">
        <x:v>https://github.com/otouristas/fastcarnextjs</x:v>
      </x:c>
      <x:c r="E7" s="8" t="str">
        <x:v>2026-09-24</x:v>
      </x:c>
      <x:c r="F7" s="8" t="str">
        <x:v>2026-09-24</x:v>
      </x:c>
      <x:c r="G7" s="8" t="str">
        <x:v>OBSERVED</x:v>
      </x:c>
      <x:c r="H7" s="8"/>
      <x:c r="I7" s="8"/>
      <x:c r="J7" s="8"/>
      <x:c r="K7" s="8" t="str">
        <x:v>Local source inspection: five locales,24 profiles,16 bookable groups, inherited content fallbacks. Not a provider inventory recheck.</x:v>
      </x:c>
    </x:row>
    <x:row r="8" ht="48" customHeight="1">
      <x:c r="A8" s="9" t="str">
        <x:v>SRC-GSC-PAGES</x:v>
      </x:c>
      <x:c r="B8" s="9" t="str">
        <x:v>Archived first-party export</x:v>
      </x:c>
      <x:c r="C8" s="9" t="str">
        <x:v>92 page rows, source export Aug22</x:v>
      </x:c>
      <x:c r="D8" s="11" t="str">
        <x:v>https://github.com/otouristas/fastcarnextjs/blob/main/docs/seo/blueprint/04_gsc_pages.json</x:v>
      </x:c>
      <x:c r="E8" s="9" t="str">
        <x:v>2026-06-14 to 2026-08-20</x:v>
      </x:c>
      <x:c r="F8" s="9" t="str">
        <x:v>2026-09-24</x:v>
      </x:c>
      <x:c r="G8" s="9" t="str">
        <x:v>OBSERVED</x:v>
      </x:c>
      <x:c r="H8" s="9" t="n">
        <x:v>92</x:v>
      </x:c>
      <x:c r="I8" s="9"/>
      <x:c r="J8" s="9"/>
      <x:c r="K8" s="9" t="str">
        <x:v>Historical clicks/impressions/average position. Archive live-status columns are not current and are not carried forward as defects.</x:v>
      </x:c>
    </x:row>
    <x:row r="9" ht="48" customHeight="1">
      <x:c r="A9" s="8" t="str">
        <x:v>SRC-GSC-QUERIES</x:v>
      </x:c>
      <x:c r="B9" s="8" t="str">
        <x:v>Archived first-party export</x:v>
      </x:c>
      <x:c r="C9" s="8" t="str">
        <x:v>258 query rows</x:v>
      </x:c>
      <x:c r="D9" s="10" t="str">
        <x:v>https://github.com/otouristas/fastcarnextjs/blob/main/docs/seo/blueprint/03_gsc_queries.json</x:v>
      </x:c>
      <x:c r="E9" s="8" t="str">
        <x:v>2026-06-14 to 2026-08-20</x:v>
      </x:c>
      <x:c r="F9" s="8" t="str">
        <x:v>2026-09-24</x:v>
      </x:c>
      <x:c r="G9" s="8" t="str">
        <x:v>OBSERVED</x:v>
      </x:c>
      <x:c r="H9" s="8" t="n">
        <x:v>258</x:v>
      </x:c>
      <x:c r="I9" s="8"/>
      <x:c r="J9" s="8"/>
      <x:c r="K9" s="8" t="str">
        <x:v>Query totals need not reconcile with page/property totals because of source definitions and anonymized queries.</x:v>
      </x:c>
    </x:row>
    <x:row r="10" ht="48" customHeight="1">
      <x:c r="A10" s="9" t="str">
        <x:v>SRC-LOCAL-QA</x:v>
      </x:c>
      <x:c r="B10" s="9" t="str">
        <x:v>Local verification</x:v>
      </x:c>
      <x:c r="C10" s="9" t="str">
        <x:v>Typecheck, lint, content validation, production build, internal routes</x:v>
      </x:c>
      <x:c r="D10" s="11" t="str">
        <x:v>https://github.com/otouristas/fastcarnextjs</x:v>
      </x:c>
      <x:c r="E10" s="9" t="str">
        <x:v>2026-09-24</x:v>
      </x:c>
      <x:c r="F10" s="9" t="str">
        <x:v>2026-09-24</x:v>
      </x:c>
      <x:c r="G10" s="9" t="str">
        <x:v>OBSERVED</x:v>
      </x:c>
      <x:c r="H10" s="9"/>
      <x:c r="I10" s="9"/>
      <x:c r="J10" s="9"/>
      <x:c r="K10" s="9" t="str">
        <x:v>410 sitemap URLs and450 internal paths validated. Content fallback warnings remain. No production changes.</x:v>
      </x:c>
    </x:row>
    <x:row r="11" ht="54" customHeight="1">
      <x:c r="A11" s="8" t="str">
        <x:v>SRC-LIMITS</x:v>
      </x:c>
      <x:c r="B11" s="8" t="str">
        <x:v>Access discovery</x:v>
      </x:c>
      <x:c r="C11" s="8" t="str">
        <x:v>Ahrefs limits /54 management projects / Brand Radar entitlement</x:v>
      </x:c>
      <x:c r="D11" s="10" t="str">
        <x:v>https://docs.ahrefs.com/docs/api/reference/introduction</x:v>
      </x:c>
      <x:c r="E11" s="8" t="str">
        <x:v>2026-09-24</x:v>
      </x:c>
      <x:c r="F11" s="8" t="str">
        <x:v>2026-09-24</x:v>
      </x:c>
      <x:c r="G11" s="8" t="str">
        <x:v>OBSERVED</x:v>
      </x:c>
      <x:c r="H11" s="8"/>
      <x:c r="I11" s="8"/>
      <x:c r="J11" s="8" t="n">
        <x:v>0</x:v>
      </x:c>
      <x:c r="K11" s="8" t="str">
        <x:v>No matching managed project or saved list ID available for this domain. No connected current first-party data. Brand Radar Chatgpt addon missing. Key usage4325 within10000 cap. Shared account activity is not task usage.</x:v>
      </x:c>
    </x:row>
    <x:row r="12" ht="48" customHeight="1">
      <x:c r="A12" s="9" t="str">
        <x:v>DOC-GOOGLE</x:v>
      </x:c>
      <x:c r="B12" s="9" t="str">
        <x:v>Official platform guide</x:v>
      </x:c>
      <x:c r="C12" s="9" t="str">
        <x:v>Google AI optimization</x:v>
      </x:c>
      <x:c r="D12" s="11" t="str">
        <x:v>https://developers.google.com/search/docs/fundamentals/ai-optimization-guide</x:v>
      </x:c>
      <x:c r="E12" s="9" t="str">
        <x:v>2026-07-10</x:v>
      </x:c>
      <x:c r="F12" s="9" t="str">
        <x:v>2026-09-24</x:v>
      </x:c>
      <x:c r="G12" s="9" t="str">
        <x:v>OBSERVED</x:v>
      </x:c>
      <x:c r="H12" s="9"/>
      <x:c r="I12" s="9"/>
      <x:c r="J12" s="9" t="n">
        <x:v>0</x:v>
      </x:c>
      <x:c r="K12" s="9" t="str">
        <x:v>Ordinary SEO eligibility and original useful content. No special AI schema, llms.txt or fixed chunk length guarantees.</x:v>
      </x:c>
    </x:row>
    <x:row r="13" ht="48" customHeight="1">
      <x:c r="A13" s="8" t="str">
        <x:v>DOC-GSC</x:v>
      </x:c>
      <x:c r="B13" s="8" t="str">
        <x:v>Official product report</x:v>
      </x:c>
      <x:c r="C13" s="8" t="str">
        <x:v>Generative AI performance reports</x:v>
      </x:c>
      <x:c r="D13" s="10" t="str">
        <x:v>https://developers.google.com/search/blog/2026/06/gen-ai-performance-reports</x:v>
      </x:c>
      <x:c r="E13" s="8" t="str">
        <x:v>2026-06-03</x:v>
      </x:c>
      <x:c r="F13" s="8" t="str">
        <x:v>2026-09-24</x:v>
      </x:c>
      <x:c r="G13" s="8" t="str">
        <x:v>OBSERVED</x:v>
      </x:c>
      <x:c r="H13" s="8"/>
      <x:c r="I13" s="8"/>
      <x:c r="J13" s="8" t="n">
        <x:v>0</x:v>
      </x:c>
      <x:c r="K13" s="8" t="str">
        <x:v>Report existence verified in official documentation; current property data and MCP/API dimensions not accessed.</x:v>
      </x:c>
    </x:row>
    <x:row r="14" ht="48" customHeight="1">
      <x:c r="A14" s="9" t="str">
        <x:v>DOC-BING</x:v>
      </x:c>
      <x:c r="B14" s="9" t="str">
        <x:v>Official product report</x:v>
      </x:c>
      <x:c r="C14" s="9" t="str">
        <x:v>Bing AI Performance intents/topics/citation share</x:v>
      </x:c>
      <x:c r="D14" s="11" t="str">
        <x:v>https://blogs.bing.com/search/2026/6/New-AI-Visibility-Insights-in-Bing-Webmaster-Tools-Intents-Topics-Citation-Share-Compare/</x:v>
      </x:c>
      <x:c r="E14" s="9" t="str">
        <x:v>2026-06</x:v>
      </x:c>
      <x:c r="F14" s="9" t="str">
        <x:v>2026-09-24</x:v>
      </x:c>
      <x:c r="G14" s="9" t="str">
        <x:v>OBSERVED</x:v>
      </x:c>
      <x:c r="H14" s="9"/>
      <x:c r="I14" s="9"/>
      <x:c r="J14" s="9" t="n">
        <x:v>0</x:v>
      </x:c>
      <x:c r="K14" s="9" t="str">
        <x:v>Native report capability does not prove connected access. No site-specific Bing measurements.</x:v>
      </x:c>
    </x:row>
    <x:row r="15" ht="48" customHeight="1">
      <x:c r="A15" s="8" t="str">
        <x:v>DOC-OPENAI</x:v>
      </x:c>
      <x:c r="B15" s="8" t="str">
        <x:v>Official publisher FAQ</x:v>
      </x:c>
      <x:c r="C15" s="8" t="str">
        <x:v>Search crawler and referrals</x:v>
      </x:c>
      <x:c r="D15" s="10" t="str">
        <x:v>https://help.openai.com/en/articles/12627856-publishers-and-developers-faq</x:v>
      </x:c>
      <x:c r="E15" s="8"/>
      <x:c r="F15" s="8" t="str">
        <x:v>2026-09-24</x:v>
      </x:c>
      <x:c r="G15" s="8" t="str">
        <x:v>OBSERVED</x:v>
      </x:c>
      <x:c r="H15" s="8"/>
      <x:c r="I15" s="8"/>
      <x:c r="J15" s="8" t="n">
        <x:v>0</x:v>
      </x:c>
      <x:c r="K15" s="8" t="str">
        <x:v>OAI-SearchBot search eligibility differs from GPTBot training. Track identifiable ChatGPT referrals separately.</x:v>
      </x:c>
    </x:row>
    <x:row r="16" ht="48" customHeight="1">
      <x:c r="A16" s="9" t="str">
        <x:v>WEB-NACTION</x:v>
      </x:c>
      <x:c r="B16" s="9" t="str">
        <x:v>Public competitor page</x:v>
      </x:c>
      <x:c r="C16" s="9" t="str">
        <x:v>Homepage</x:v>
      </x:c>
      <x:c r="D16" s="11" t="str">
        <x:v>https://nactionrentacar.com/</x:v>
      </x:c>
      <x:c r="E16" s="9"/>
      <x:c r="F16" s="9" t="str">
        <x:v>2026-09-24</x:v>
      </x:c>
      <x:c r="G16" s="9" t="str">
        <x:v>OBSERVED</x:v>
      </x:c>
      <x:c r="H16" s="9"/>
      <x:c r="I16" s="9"/>
      <x:c r="J16" s="9" t="n">
        <x:v>0</x:v>
      </x:c>
      <x:c r="K16" s="9" t="str">
        <x:v>Read page/navigation and commercial statements. Competitor claims are not transferred to target.</x:v>
      </x:c>
    </x:row>
    <x:row r="17" ht="48" customHeight="1">
      <x:c r="A17" s="8" t="str">
        <x:v>WEB-ENJOY</x:v>
      </x:c>
      <x:c r="B17" s="8" t="str">
        <x:v>Public competitor page</x:v>
      </x:c>
      <x:c r="C17" s="8" t="str">
        <x:v>Homepage and fleet</x:v>
      </x:c>
      <x:c r="D17" s="10" t="str">
        <x:v>https://enjoynaxoscar.com/</x:v>
      </x:c>
      <x:c r="E17" s="8"/>
      <x:c r="F17" s="8" t="str">
        <x:v>2026-09-24</x:v>
      </x:c>
      <x:c r="G17" s="8" t="str">
        <x:v>OBSERVED</x:v>
      </x:c>
      <x:c r="H17" s="8"/>
      <x:c r="I17" s="8"/>
      <x:c r="J17" s="8" t="n">
        <x:v>0</x:v>
      </x:c>
      <x:c r="K17" s="8" t="str">
        <x:v>Observed filterable inventory cards, spec fields and EN/GR/FR navigation. No booking was made.</x:v>
      </x:c>
    </x:row>
    <x:row r="18" ht="48" customHeight="1">
      <x:c r="A18" s="9" t="str">
        <x:v>WEB-SUNNY</x:v>
      </x:c>
      <x:c r="B18" s="9" t="str">
        <x:v>Public cited page</x:v>
      </x:c>
      <x:c r="C18" s="9" t="str">
        <x:v>German port landing page</x:v>
      </x:c>
      <x:c r="D18" s="11" t="str">
        <x:v>https://www.sunnycars.de/mietwagen/naxos-hafen/</x:v>
      </x:c>
      <x:c r="E18" s="9"/>
      <x:c r="F18" s="9" t="str">
        <x:v>2026-09-24</x:v>
      </x:c>
      <x:c r="G18" s="9" t="str">
        <x:v>UNAVAILABLE</x:v>
      </x:c>
      <x:c r="H18" s="9"/>
      <x:c r="I18" s="9"/>
      <x:c r="J18" s="9" t="n">
        <x:v>0</x:v>
      </x:c>
      <x:c r="K18" s="9" t="str">
        <x:v>Cited URL and title observed through Ahrefs. Initial fetch exposed navigation; final detailed fetch timed out. No unverified body-content claim.</x:v>
      </x:c>
    </x:row>
    <x:row r="19" ht="48" customHeight="1">
      <x:c r="A19" s="8" t="str">
        <x:v>DEF-VOLUME</x:v>
      </x:c>
      <x:c r="B19" s="8" t="str">
        <x:v>Metric definition</x:v>
      </x:c>
      <x:c r="C19" s="8" t="str">
        <x:v>Monthly searches</x:v>
      </x:c>
      <x:c r="D19" s="10" t="str">
        <x:v>https://docs.ahrefs.com/docs/api/keywords-explorer/operations/get-a-keyword</x:v>
      </x:c>
      <x:c r="E19" s="8"/>
      <x:c r="F19" s="8" t="str">
        <x:v>2026-09-24</x:v>
      </x:c>
      <x:c r="G19" s="8" t="str">
        <x:v>OBSERVED</x:v>
      </x:c>
      <x:c r="H19" s="8"/>
      <x:c r="I19" s="8"/>
      <x:c r="J19" s="8"/>
      <x:c r="K19" s="8" t="str">
        <x:v>Ahrefs country-specific Google monthly search estimates. May overlap across related variants. Never sum as unique audience.</x:v>
      </x:c>
    </x:row>
    <x:row r="20" ht="48" customHeight="1">
      <x:c r="A20" s="9" t="str">
        <x:v>DEF-CPC</x:v>
      </x:c>
      <x:c r="B20" s="9" t="str">
        <x:v>Metric definition</x:v>
      </x:c>
      <x:c r="C20" s="9" t="str">
        <x:v>CPC currency and scale</x:v>
      </x:c>
      <x:c r="D20" s="11" t="str">
        <x:v>https://docs.ahrefs.com/docs/api</x:v>
      </x:c>
      <x:c r="E20" s="9"/>
      <x:c r="F20" s="9" t="str">
        <x:v>2026-09-24</x:v>
      </x:c>
      <x:c r="G20" s="9" t="str">
        <x:v>OBSERVED</x:v>
      </x:c>
      <x:c r="H20" s="9"/>
      <x:c r="I20" s="9"/>
      <x:c r="J20" s="9"/>
      <x:c r="K20" s="9" t="str">
        <x:v>Returned cents normalized to USD by dividing100. Blank remains unknown. CPC is an advertising estimate, not booking value.</x:v>
      </x:c>
    </x:row>
    <x:row r="21" ht="48" customHeight="1">
      <x:c r="A21" s="8" t="str">
        <x:v>DEF-PRIORITY</x:v>
      </x:c>
      <x:c r="B21" s="8" t="str">
        <x:v>Analyst scoring</x:v>
      </x:c>
      <x:c r="C21" s="8" t="str">
        <x:v>Weights and rubric in Scoring Inputs</x:v>
      </x:c>
      <x:c r="D21" s="10"/>
      <x:c r="E21" s="8" t="str">
        <x:v>2026-09-24</x:v>
      </x:c>
      <x:c r="F21" s="8" t="str">
        <x:v>2026-09-24</x:v>
      </x:c>
      <x:c r="G21" s="8" t="str">
        <x:v>PROPOSED</x:v>
      </x:c>
      <x:c r="H21" s="8"/>
      <x:c r="I21" s="8"/>
      <x:c r="J21" s="8"/>
      <x:c r="K21" s="8" t="str">
        <x:v>Partial weighted contribution out of100. Current momentum blank; evidence coverage shown. No measured rank prediction.</x:v>
      </x:c>
    </x:row>
    <x:row r="22" ht="48" customHeight="1">
      <x:c r="A22" s="9" t="str">
        <x:v>LIMIT-COVERAGE</x:v>
      </x:c>
      <x:c r="B22" s="9" t="str">
        <x:v>Research scope</x:v>
      </x:c>
      <x:c r="C22" s="9" t="str">
        <x:v>Eight markets; five Google SERP queries; one AIO</x:v>
      </x:c>
      <x:c r="D22" s="11"/>
      <x:c r="E22" s="9" t="str">
        <x:v>2026-09-24</x:v>
      </x:c>
      <x:c r="F22" s="9" t="str">
        <x:v>2026-09-24</x:v>
      </x:c>
      <x:c r="G22" s="9" t="str">
        <x:v>OBSERVED</x:v>
      </x:c>
      <x:c r="H22" s="9"/>
      <x:c r="I22" s="9"/>
      <x:c r="J22" s="9"/>
      <x:c r="K22" s="9" t="str">
        <x:v>Matching terms capped45 per country, Greek9. Not exhaustive. No backlinks/referring-domain analysis, Bing SERP, live AI consumer tests, GA4 or current provider outcomes.</x:v>
      </x:c>
    </x:row>
    <x:row r="23" ht="48" customHeight="1">
      <x:c r="A23" s="8" t="str">
        <x:v>QA-DEDUPE</x:v>
      </x:c>
      <x:c r="B23" s="8" t="str">
        <x:v>QA</x:v>
      </x:c>
      <x:c r="C23" s="8" t="str">
        <x:v>Country plus NFC-normalized keyword dedupe</x:v>
      </x:c>
      <x:c r="D23" s="10"/>
      <x:c r="E23" s="8" t="str">
        <x:v>2026-09-24</x:v>
      </x:c>
      <x:c r="F23" s="8" t="str">
        <x:v>2026-09-24</x:v>
      </x:c>
      <x:c r="G23" s="8" t="str">
        <x:v>OBSERVED</x:v>
      </x:c>
      <x:c r="H23" s="8" t="n">
        <x:v>162</x:v>
      </x:c>
      <x:c r="I23" s="8"/>
      <x:c r="J23" s="8"/>
      <x:c r="K23" s="8" t="str">
        <x:v>One FR composed/decomposed spelling can return conflicting volumes. Conflict flagged. Diacritic variants otherwise retained without summed demand.</x:v>
      </x:c>
    </x:row>
    <x:row r="24" ht="48" customHeight="1">
      <x:c r="A24" s="9" t="str">
        <x:v>QA-MAPPING</x:v>
      </x:c>
      <x:c r="B24" s="9" t="str">
        <x:v>QA</x:v>
      </x:c>
      <x:c r="C24" s="9" t="str">
        <x:v>Every retained keyword has a cluster and owner URL</x:v>
      </x:c>
      <x:c r="D24" s="11"/>
      <x:c r="E24" s="9" t="str">
        <x:v>2026-09-24</x:v>
      </x:c>
      <x:c r="F24" s="9" t="str">
        <x:v>2026-09-24</x:v>
      </x:c>
      <x:c r="G24" s="9" t="str">
        <x:v>OBSERVED</x:v>
      </x:c>
      <x:c r="H24" s="9" t="n">
        <x:v>162</x:v>
      </x:c>
      <x:c r="I24" s="9"/>
      <x:c r="J24" s="9"/>
      <x:c r="K24" s="9" t="str">
        <x:v>ES/NL URLs proposed. Private-hire intent deprioritized with reason. No fabricated URL marked as live.</x:v>
      </x:c>
    </x:row>
    <x:row r="25" ht="54" customHeight="1">
      <x:c r="A25" s="8" t="str">
        <x:v>ai-category</x:v>
      </x:c>
      <x:c r="B25" s="8" t="str">
        <x:v>mcp__Ahrefs__brand_radar_ai_responses</x:v>
      </x:c>
      <x:c r="C25" s="8" t="str">
        <x:v>{"data_source":"chatgpt,perplexity","where":"{\"and\":[{\"field\":\"question\",\"is\":[\"iphrase_match\",\"naxos\"]},{\"field\":\"question\",\"is\":[\"iphrase_match\",\"car\"]}]}","select":"question,response,links,search_queries,country,data_source,last_updated","limit":8,"output":"json"}</x:v>
      </x:c>
      <x:c r="D25" s="10" t="str">
        <x:v>https://app.ahrefs.com/keywords-explorer</x:v>
      </x:c>
      <x:c r="E25" s="8"/>
      <x:c r="F25" s="8" t="n">
        <x:v>46289.73986395833</x:v>
      </x:c>
      <x:c r="G25" s="8" t="str">
        <x:v>UNAVAILABLE</x:v>
      </x:c>
      <x:c r="H25" s="8"/>
      <x:c r="I25" s="8"/>
      <x:c r="J25" s="8"/>
      <x:c r="K25" s="8" t="str">
        <x:v>Access/schema response; no invented data</x:v>
      </x:c>
    </x:row>
    <x:row r="26" ht="48" customHeight="1">
      <x:c r="A26" s="9" t="str">
        <x:v>baseline-country</x:v>
      </x:c>
      <x:c r="B26" s="9" t="str">
        <x:v>mcp__Ahrefs__site_explorer_metrics_by_country</x:v>
      </x:c>
      <x:c r="C26" s="9" t="str">
        <x:v>{"target":"naxos-carrentals.com","mode":"subdomains","date":"2026-09-24","select":"country,org_keywords,org_traffic","limit":30,"output":"json"}</x:v>
      </x:c>
      <x:c r="D26" s="11" t="str">
        <x:v>https://naxos-carrentals.com</x:v>
      </x:c>
      <x:c r="E26" s="9" t="str">
        <x:v>2026-09-24</x:v>
      </x:c>
      <x:c r="F26" s="9" t="n">
        <x:v>46289.73986622685</x:v>
      </x:c>
      <x:c r="G26" s="9" t="str">
        <x:v>OBSERVED</x:v>
      </x:c>
      <x:c r="H26" s="9" t="n">
        <x:v>0</x:v>
      </x:c>
      <x:c r="I26" s="9" t="n">
        <x:v>50</x:v>
      </x:c>
      <x:c r="J26" s="9" t="n">
        <x:v>50</x:v>
      </x:c>
      <x:c r="K26" s="9" t="str">
        <x:v>Fields: country,org_keywords,org_traffic. Retrieval limit 30. Underlying keyword/SERP timestamps retained in data tabs. Cost estimate field is tool-reported quote, not a reconstructed preflight forecast.</x:v>
      </x:c>
    </x:row>
    <x:row r="27" ht="54" customHeight="1">
      <x:c r="A27" s="8" t="str">
        <x:v>baseline-keywords</x:v>
      </x:c>
      <x:c r="B27" s="8" t="str">
        <x:v>mcp__Ahrefs__site_explorer_organic_keywords</x:v>
      </x:c>
      <x:c r="C27" s="8" t="str">
        <x:v>{"target":"naxos-carrentals.com","mode":"subdomains","date":"2026-09-24","select":"keyword,keyword_country,keyword_language,volume,best_position,best_position_url,last_update","limit":100,"order_by":"sum_traffic:desc","volume_mode":"average","output":"json"}</x:v>
      </x:c>
      <x:c r="D27" s="10" t="str">
        <x:v>https://naxos-carrentals.com</x:v>
      </x:c>
      <x:c r="E27" s="8" t="str">
        <x:v>2026-09-24</x:v>
      </x:c>
      <x:c r="F27" s="8" t="n">
        <x:v>46289.73986959491</x:v>
      </x:c>
      <x:c r="G27" s="8" t="str">
        <x:v>OBSERVED</x:v>
      </x:c>
      <x:c r="H27" s="8" t="n">
        <x:v>0</x:v>
      </x:c>
      <x:c r="I27" s="8" t="n">
        <x:v>50</x:v>
      </x:c>
      <x:c r="J27" s="8" t="n">
        <x:v>50</x:v>
      </x:c>
      <x:c r="K27" s="8" t="str">
        <x:v>Fields: keyword,keyword_country,keyword_language,volume,best_position,best_position_url,last_update. Retrieval limit 100. Underlying keyword/SERP timestamps retained in data tabs. Cost estimate field is tool-reported quote, not a reconstructed preflight forecast.</x:v>
      </x:c>
    </x:row>
    <x:row r="28" ht="54" customHeight="1">
      <x:c r="A28" s="9" t="str">
        <x:v>kw-fr</x:v>
      </x:c>
      <x:c r="B28" s="9" t="str">
        <x:v>keywords-explorer-overview</x:v>
      </x:c>
      <x:c r="C28" s="9" t="str">
        <x:v>{"country":"FR","keywords":"location voiture naxos,location voiture naxos port,location voiture naxos aéroport,location voiture automatique naxos,conduire à naxos","select":"keyword,volume,difficulty,cpc,parent_topic,serp_features,serp_last_update","limit":20,"output":"json"}</x:v>
      </x:c>
      <x:c r="D28" s="11" t="str">
        <x:v>https://app.ahrefs.com/keywords-explorer</x:v>
      </x:c>
      <x:c r="E28" s="9"/>
      <x:c r="F28" s="9" t="n">
        <x:v>46289.74006271991</x:v>
      </x:c>
      <x:c r="G28" s="9" t="str">
        <x:v>OBSERVED</x:v>
      </x:c>
      <x:c r="H28" s="9" t="n">
        <x:v>3</x:v>
      </x:c>
      <x:c r="I28" s="9" t="n">
        <x:v>75</x:v>
      </x:c>
      <x:c r="J28" s="9" t="n">
        <x:v>75</x:v>
      </x:c>
      <x:c r="K28" s="9" t="str">
        <x:v>Fields: keyword,volume,difficulty,cpc,parent_topic,serp_features,serp_last_update. Retrieval limit 20. Underlying keyword/SERP timestamps retained in data tabs. Cost estimate field is tool-reported quote, not a reconstructed preflight forecast.</x:v>
      </x:c>
    </x:row>
    <x:row r="29" ht="54" customHeight="1">
      <x:c r="A29" s="8" t="str">
        <x:v>kw-gr</x:v>
      </x:c>
      <x:c r="B29" s="8" t="str">
        <x:v>keywords-explorer-overview</x:v>
      </x:c>
      <x:c r="C29" s="8" t="str">
        <x:v>{"country":"GR","keywords":"ενοικίαση αυτοκινήτου νάξος,ενοικιαση αυτοκινητου ναξος,ενοικιαζόμενα αυτοκίνητα νάξος,ενοικιαση αυτοκινητου ναξος λιμανι,αυτοματο αυτοκινητο ναξος","select":"keyword,volume,difficulty,cpc,parent_topic,serp_features,serp_last_update","limit":20,"output":"json"}</x:v>
      </x:c>
      <x:c r="D29" s="10" t="str">
        <x:v>https://app.ahrefs.com/keywords-explorer</x:v>
      </x:c>
      <x:c r="E29" s="8"/>
      <x:c r="F29" s="8" t="n">
        <x:v>46289.740062743054</x:v>
      </x:c>
      <x:c r="G29" s="8" t="str">
        <x:v>OBSERVED</x:v>
      </x:c>
      <x:c r="H29" s="8" t="n">
        <x:v>4</x:v>
      </x:c>
      <x:c r="I29" s="8" t="n">
        <x:v>100</x:v>
      </x:c>
      <x:c r="J29" s="8" t="n">
        <x:v>100</x:v>
      </x:c>
      <x:c r="K29" s="8" t="str">
        <x:v>Fields: keyword,volume,difficulty,cpc,parent_topic,serp_features,serp_last_update. Retrieval limit 20. Underlying keyword/SERP timestamps retained in data tabs. Cost estimate field is tool-reported quote, not a reconstructed preflight forecast.</x:v>
      </x:c>
    </x:row>
    <x:row r="30" ht="54" customHeight="1">
      <x:c r="A30" s="9" t="str">
        <x:v>kw-it</x:v>
      </x:c>
      <x:c r="B30" s="9" t="str">
        <x:v>keywords-explorer-overview</x:v>
      </x:c>
      <x:c r="C30" s="9" t="str">
        <x:v>{"country":"IT","keywords":"noleggio auto naxos,naxos autonoleggio,noleggio auto naxos porto,noleggio auto naxos aeroporto,noleggio auto naxos senza carta di credito","select":"keyword,volume,difficulty,cpc,parent_topic,serp_features,serp_last_update","limit":20,"output":"json"}</x:v>
      </x:c>
      <x:c r="D30" s="11" t="str">
        <x:v>https://app.ahrefs.com/keywords-explorer</x:v>
      </x:c>
      <x:c r="E30" s="9"/>
      <x:c r="F30" s="9" t="n">
        <x:v>46289.740062743054</x:v>
      </x:c>
      <x:c r="G30" s="9" t="str">
        <x:v>OBSERVED</x:v>
      </x:c>
      <x:c r="H30" s="9" t="n">
        <x:v>5</x:v>
      </x:c>
      <x:c r="I30" s="9" t="n">
        <x:v>125</x:v>
      </x:c>
      <x:c r="J30" s="9" t="n">
        <x:v>125</x:v>
      </x:c>
      <x:c r="K30" s="9" t="str">
        <x:v>Fields: keyword,volume,difficulty,cpc,parent_topic,serp_features,serp_last_update. Retrieval limit 20. Underlying keyword/SERP timestamps retained in data tabs. Cost estimate field is tool-reported quote, not a reconstructed preflight forecast.</x:v>
      </x:c>
    </x:row>
    <x:row r="31" ht="68" customHeight="1">
      <x:c r="A31" s="8" t="str">
        <x:v>kw-gb</x:v>
      </x:c>
      <x:c r="B31" s="8" t="str">
        <x:v>keywords-explorer-overview</x:v>
      </x:c>
      <x:c r="C31" s="8" t="str">
        <x:v>{"country":"GB","keywords":"naxos car rental,naxos car hire,naxos airport car hire,naxos port car rental,automatic car hire naxos,7 seater car hire naxos,do you need a car in naxos,driving in naxos","select":"keyword,volume,difficulty,cpc,parent_topic,serp_features,serp_last_update","limit":20,"output":"json"}</x:v>
      </x:c>
      <x:c r="D31" s="10" t="str">
        <x:v>https://app.ahrefs.com/keywords-explorer</x:v>
      </x:c>
      <x:c r="E31" s="8"/>
      <x:c r="F31" s="8" t="n">
        <x:v>46289.74006275463</x:v>
      </x:c>
      <x:c r="G31" s="8" t="str">
        <x:v>OBSERVED</x:v>
      </x:c>
      <x:c r="H31" s="8" t="n">
        <x:v>6</x:v>
      </x:c>
      <x:c r="I31" s="8" t="n">
        <x:v>150</x:v>
      </x:c>
      <x:c r="J31" s="8" t="n">
        <x:v>150</x:v>
      </x:c>
      <x:c r="K31" s="8" t="str">
        <x:v>Fields: keyword,volume,difficulty,cpc,parent_topic,serp_features,serp_last_update. Retrieval limit 20. Underlying keyword/SERP timestamps retained in data tabs. Cost estimate field is tool-reported quote, not a reconstructed preflight forecast.</x:v>
      </x:c>
    </x:row>
    <x:row r="32" ht="54" customHeight="1">
      <x:c r="A32" s="9" t="str">
        <x:v>kw-de</x:v>
      </x:c>
      <x:c r="B32" s="9" t="str">
        <x:v>keywords-explorer-overview</x:v>
      </x:c>
      <x:c r="C32" s="9" t="str">
        <x:v>{"country":"DE","keywords":"mietwagen naxos,auto mieten naxos,mietwagen naxos flughafen,mietwagen naxos hafen,naxos mietwagen automatik","select":"keyword,volume,difficulty,cpc,parent_topic,serp_features,serp_last_update","limit":20,"output":"json"}</x:v>
      </x:c>
      <x:c r="D32" s="11" t="str">
        <x:v>https://app.ahrefs.com/keywords-explorer</x:v>
      </x:c>
      <x:c r="E32" s="9"/>
      <x:c r="F32" s="9" t="n">
        <x:v>46289.740062881945</x:v>
      </x:c>
      <x:c r="G32" s="9" t="str">
        <x:v>OBSERVED</x:v>
      </x:c>
      <x:c r="H32" s="9" t="n">
        <x:v>4</x:v>
      </x:c>
      <x:c r="I32" s="9" t="n">
        <x:v>100</x:v>
      </x:c>
      <x:c r="J32" s="9" t="n">
        <x:v>100</x:v>
      </x:c>
      <x:c r="K32" s="9" t="str">
        <x:v>Fields: keyword,volume,difficulty,cpc,parent_topic,serp_features,serp_last_update. Retrieval limit 20. Underlying keyword/SERP timestamps retained in data tabs. Cost estimate field is tool-reported quote, not a reconstructed preflight forecast.</x:v>
      </x:c>
    </x:row>
    <x:row r="33" ht="48" customHeight="1">
      <x:c r="A33" s="8" t="str">
        <x:v>discover-el</x:v>
      </x:c>
      <x:c r="B33" s="8" t="str">
        <x:v>keywords-explorer-matching-terms</x:v>
      </x:c>
      <x:c r="C33" s="8" t="str">
        <x:v>{"country":"GR","keywords":"ναξος αυτοκινητο,νάξος αυτοκίνητο","select":"keyword,volume,parent_topic,serp_last_update","limit":45,"order_by":"volume:desc","output":"json"}</x:v>
      </x:c>
      <x:c r="D33" s="10" t="str">
        <x:v>https://app.ahrefs.com/keywords-explorer</x:v>
      </x:c>
      <x:c r="E33" s="8"/>
      <x:c r="F33" s="8" t="n">
        <x:v>46289.74017479167</x:v>
      </x:c>
      <x:c r="G33" s="8" t="str">
        <x:v>OBSERVED</x:v>
      </x:c>
      <x:c r="H33" s="8" t="n">
        <x:v>9</x:v>
      </x:c>
      <x:c r="I33" s="8" t="n">
        <x:v>117</x:v>
      </x:c>
      <x:c r="J33" s="8" t="n">
        <x:v>117</x:v>
      </x:c>
      <x:c r="K33" s="8" t="str">
        <x:v>Fields: keyword,volume,parent_topic,serp_last_update. Retrieval limit 45. Underlying keyword/SERP timestamps retained in data tabs. Cost estimate field is tool-reported quote, not a reconstructed preflight forecast.</x:v>
      </x:c>
    </x:row>
    <x:row r="34" ht="48" customHeight="1">
      <x:c r="A34" s="9" t="str">
        <x:v>discover-en</x:v>
      </x:c>
      <x:c r="B34" s="9" t="str">
        <x:v>keywords-explorer-matching-terms</x:v>
      </x:c>
      <x:c r="C34" s="9" t="str">
        <x:v>{"country":"GB","keywords":"naxos car,naxos rental,naxos driving","select":"keyword,volume,parent_topic,serp_last_update","limit":45,"order_by":"volume:desc","output":"json"}</x:v>
      </x:c>
      <x:c r="D34" s="11" t="str">
        <x:v>https://app.ahrefs.com/keywords-explorer</x:v>
      </x:c>
      <x:c r="E34" s="9"/>
      <x:c r="F34" s="9" t="n">
        <x:v>46289.74017489584</x:v>
      </x:c>
      <x:c r="G34" s="9" t="str">
        <x:v>OBSERVED</x:v>
      </x:c>
      <x:c r="H34" s="9" t="n">
        <x:v>45</x:v>
      </x:c>
      <x:c r="I34" s="9" t="n">
        <x:v>585</x:v>
      </x:c>
      <x:c r="J34" s="9" t="n">
        <x:v>585</x:v>
      </x:c>
      <x:c r="K34" s="9" t="str">
        <x:v>Fields: keyword,volume,parent_topic,serp_last_update. Retrieval limit 45. Underlying keyword/SERP timestamps retained in data tabs. Cost estimate field is tool-reported quote, not a reconstructed preflight forecast.</x:v>
      </x:c>
    </x:row>
    <x:row r="35" ht="48" customHeight="1">
      <x:c r="A35" s="8" t="str">
        <x:v>discover-fr</x:v>
      </x:c>
      <x:c r="B35" s="8" t="str">
        <x:v>keywords-explorer-matching-terms</x:v>
      </x:c>
      <x:c r="C35" s="8" t="str">
        <x:v>{"country":"FR","keywords":"naxos voiture","select":"keyword,volume,parent_topic,serp_last_update","limit":45,"order_by":"volume:desc","output":"json"}</x:v>
      </x:c>
      <x:c r="D35" s="10" t="str">
        <x:v>https://app.ahrefs.com/keywords-explorer</x:v>
      </x:c>
      <x:c r="E35" s="8"/>
      <x:c r="F35" s="8" t="n">
        <x:v>46289.74017496528</x:v>
      </x:c>
      <x:c r="G35" s="8" t="str">
        <x:v>OBSERVED</x:v>
      </x:c>
      <x:c r="H35" s="8" t="n">
        <x:v>45</x:v>
      </x:c>
      <x:c r="I35" s="8" t="n">
        <x:v>585</x:v>
      </x:c>
      <x:c r="J35" s="8" t="n">
        <x:v>585</x:v>
      </x:c>
      <x:c r="K35" s="8" t="str">
        <x:v>Fields: keyword,volume,parent_topic,serp_last_update. Retrieval limit 45. Underlying keyword/SERP timestamps retained in data tabs. Cost estimate field is tool-reported quote, not a reconstructed preflight forecast.</x:v>
      </x:c>
    </x:row>
    <x:row r="36" ht="48" customHeight="1">
      <x:c r="A36" s="9" t="str">
        <x:v>discover-it</x:v>
      </x:c>
      <x:c r="B36" s="9" t="str">
        <x:v>keywords-explorer-matching-terms</x:v>
      </x:c>
      <x:c r="C36" s="9" t="str">
        <x:v>{"country":"IT","keywords":"naxos auto","select":"keyword,volume,parent_topic,serp_last_update","limit":45,"order_by":"volume:desc","output":"json"}</x:v>
      </x:c>
      <x:c r="D36" s="11" t="str">
        <x:v>https://app.ahrefs.com/keywords-explorer</x:v>
      </x:c>
      <x:c r="E36" s="9"/>
      <x:c r="F36" s="9" t="n">
        <x:v>46289.74017527778</x:v>
      </x:c>
      <x:c r="G36" s="9" t="str">
        <x:v>OBSERVED</x:v>
      </x:c>
      <x:c r="H36" s="9" t="n">
        <x:v>45</x:v>
      </x:c>
      <x:c r="I36" s="9" t="n">
        <x:v>585</x:v>
      </x:c>
      <x:c r="J36" s="9" t="n">
        <x:v>585</x:v>
      </x:c>
      <x:c r="K36" s="9" t="str">
        <x:v>Fields: keyword,volume,parent_topic,serp_last_update. Retrieval limit 45. Underlying keyword/SERP timestamps retained in data tabs. Cost estimate field is tool-reported quote, not a reconstructed preflight forecast.</x:v>
      </x:c>
    </x:row>
    <x:row r="37" ht="48" customHeight="1">
      <x:c r="A37" s="8" t="str">
        <x:v>discover-de</x:v>
      </x:c>
      <x:c r="B37" s="8" t="str">
        <x:v>keywords-explorer-matching-terms</x:v>
      </x:c>
      <x:c r="C37" s="8" t="str">
        <x:v>{"country":"DE","keywords":"naxos mietwagen,naxos auto","select":"keyword,volume,parent_topic,serp_last_update","limit":45,"order_by":"volume:desc","output":"json"}</x:v>
      </x:c>
      <x:c r="D37" s="10" t="str">
        <x:v>https://app.ahrefs.com/keywords-explorer</x:v>
      </x:c>
      <x:c r="E37" s="8"/>
      <x:c r="F37" s="8" t="n">
        <x:v>46289.74017547454</x:v>
      </x:c>
      <x:c r="G37" s="8" t="str">
        <x:v>OBSERVED</x:v>
      </x:c>
      <x:c r="H37" s="8" t="n">
        <x:v>45</x:v>
      </x:c>
      <x:c r="I37" s="8" t="n">
        <x:v>585</x:v>
      </x:c>
      <x:c r="J37" s="8" t="n">
        <x:v>585</x:v>
      </x:c>
      <x:c r="K37" s="8" t="str">
        <x:v>Fields: keyword,volume,parent_topic,serp_last_update. Retrieval limit 45. Underlying keyword/SERP timestamps retained in data tabs. Cost estimate field is tool-reported quote, not a reconstructed preflight forecast.</x:v>
      </x:c>
    </x:row>
    <x:row r="38" ht="68" customHeight="1">
      <x:c r="A38" s="9" t="str">
        <x:v>ai-category-v2</x:v>
      </x:c>
      <x:c r="B38" s="9" t="str">
        <x:v>brand-radar-ai-responses</x:v>
      </x:c>
      <x:c r="C38" s="9" t="str">
        <x:v>{"data_source":"chatgpt,perplexity","prompts":"ahrefs","where":"{\"and\":[{\"field\":\"question\",\"is\":[\"iphrase_match\",\"naxos\"]},{\"field\":\"question\",\"is\":[\"iphrase_match\",\"car\"]}]}","select":"question,response,links,search_queries,country,data_source,last_updated","limit":8,"output":"json"}</x:v>
      </x:c>
      <x:c r="D38" s="11" t="str">
        <x:v>https://app.ahrefs.com/keywords-explorer</x:v>
      </x:c>
      <x:c r="E38" s="9"/>
      <x:c r="F38" s="9" t="n">
        <x:v>46289.740335069444</x:v>
      </x:c>
      <x:c r="G38" s="9" t="str">
        <x:v>UNAVAILABLE</x:v>
      </x:c>
      <x:c r="H38" s="9"/>
      <x:c r="I38" s="9"/>
      <x:c r="J38" s="9"/>
      <x:c r="K38" s="9" t="str">
        <x:v>Access/schema response; no invented data</x:v>
      </x:c>
    </x:row>
    <x:row r="39" ht="54" customHeight="1">
      <x:c r="A39" s="8" t="str">
        <x:v>kw-us</x:v>
      </x:c>
      <x:c r="B39" s="8" t="str">
        <x:v>keywords-explorer-overview</x:v>
      </x:c>
      <x:c r="C39" s="8" t="str">
        <x:v>{"country":"US","keywords":"naxos car rental,car rental naxos,naxos car rental airport,naxos car rental port,automatic car rental naxos,do you need a car in naxos","select":"keyword,volume,difficulty,cpc,parent_topic,serp_last_update","limit":10,"output":"json"}</x:v>
      </x:c>
      <x:c r="D39" s="10" t="str">
        <x:v>https://app.ahrefs.com/keywords-explorer</x:v>
      </x:c>
      <x:c r="E39" s="8"/>
      <x:c r="F39" s="8" t="n">
        <x:v>46289.74033627315</x:v>
      </x:c>
      <x:c r="G39" s="8" t="str">
        <x:v>OBSERVED</x:v>
      </x:c>
      <x:c r="H39" s="8" t="n">
        <x:v>6</x:v>
      </x:c>
      <x:c r="I39" s="8" t="n">
        <x:v>144</x:v>
      </x:c>
      <x:c r="J39" s="8" t="n">
        <x:v>144</x:v>
      </x:c>
      <x:c r="K39" s="8" t="str">
        <x:v>Fields: keyword,volume,difficulty,cpc,parent_topic,serp_last_update. Retrieval limit 10. Underlying keyword/SERP timestamps retained in data tabs. Cost estimate field is tool-reported quote, not a reconstructed preflight forecast.</x:v>
      </x:c>
    </x:row>
    <x:row r="40" ht="48" customHeight="1">
      <x:c r="A40" s="9" t="str">
        <x:v>serp-GB</x:v>
      </x:c>
      <x:c r="B40" s="9" t="str">
        <x:v>serp-overview</x:v>
      </x:c>
      <x:c r="C40" s="9" t="str">
        <x:v>{"country":"GB","keyword":"car rental in naxos","select":"position,title,url,type,update_date,page_type","top_positions":5,"output":"json"}</x:v>
      </x:c>
      <x:c r="D40" s="11" t="str">
        <x:v>https://app.ahrefs.com/keywords-explorer</x:v>
      </x:c>
      <x:c r="E40" s="9"/>
      <x:c r="F40" s="9" t="n">
        <x:v>46289.740337013885</x:v>
      </x:c>
      <x:c r="G40" s="9" t="str">
        <x:v>OBSERVED</x:v>
      </x:c>
      <x:c r="H40" s="9" t="n">
        <x:v>10</x:v>
      </x:c>
      <x:c r="I40" s="9" t="n">
        <x:v>60</x:v>
      </x:c>
      <x:c r="J40" s="9" t="n">
        <x:v>60</x:v>
      </x:c>
      <x:c r="K40" s="9" t="str">
        <x:v>Fields: position,title,url,type,update_date,page_type. Underlying keyword/SERP timestamps retained in data tabs. Cost estimate field is tool-reported quote, not a reconstructed preflight forecast.</x:v>
      </x:c>
    </x:row>
    <x:row r="41" ht="48" customHeight="1">
      <x:c r="A41" s="8" t="str">
        <x:v>serp-IT</x:v>
      </x:c>
      <x:c r="B41" s="8" t="str">
        <x:v>serp-overview</x:v>
      </x:c>
      <x:c r="C41" s="8" t="str">
        <x:v>{"country":"IT","keyword":"noleggio auto naxos","select":"position,title,url,type,update_date,page_type","top_positions":5,"output":"json"}</x:v>
      </x:c>
      <x:c r="D41" s="10" t="str">
        <x:v>https://app.ahrefs.com/keywords-explorer</x:v>
      </x:c>
      <x:c r="E41" s="8"/>
      <x:c r="F41" s="8" t="n">
        <x:v>46289.740337222225</x:v>
      </x:c>
      <x:c r="G41" s="8" t="str">
        <x:v>OBSERVED</x:v>
      </x:c>
      <x:c r="H41" s="8" t="n">
        <x:v>7</x:v>
      </x:c>
      <x:c r="I41" s="8" t="n">
        <x:v>50</x:v>
      </x:c>
      <x:c r="J41" s="8" t="n">
        <x:v>50</x:v>
      </x:c>
      <x:c r="K41" s="8" t="str">
        <x:v>Fields: position,title,url,type,update_date,page_type. Underlying keyword/SERP timestamps retained in data tabs. Cost estimate field is tool-reported quote, not a reconstructed preflight forecast.</x:v>
      </x:c>
    </x:row>
    <x:row r="42" ht="48" customHeight="1">
      <x:c r="A42" s="9" t="str">
        <x:v>serp-DE</x:v>
      </x:c>
      <x:c r="B42" s="9" t="str">
        <x:v>serp-overview</x:v>
      </x:c>
      <x:c r="C42" s="9" t="str">
        <x:v>{"country":"DE","keyword":"mietwagen naxos","select":"position,title,url,type,update_date,page_type","top_positions":5,"output":"json"}</x:v>
      </x:c>
      <x:c r="D42" s="11" t="str">
        <x:v>https://app.ahrefs.com/keywords-explorer</x:v>
      </x:c>
      <x:c r="E42" s="9"/>
      <x:c r="F42" s="9" t="n">
        <x:v>46289.740337256946</x:v>
      </x:c>
      <x:c r="G42" s="9" t="str">
        <x:v>OBSERVED</x:v>
      </x:c>
      <x:c r="H42" s="9" t="n">
        <x:v>13</x:v>
      </x:c>
      <x:c r="I42" s="9" t="n">
        <x:v>78</x:v>
      </x:c>
      <x:c r="J42" s="9" t="n">
        <x:v>78</x:v>
      </x:c>
      <x:c r="K42" s="9" t="str">
        <x:v>Fields: position,title,url,type,update_date,page_type. Underlying keyword/SERP timestamps retained in data tabs. Cost estimate field is tool-reported quote, not a reconstructed preflight forecast.</x:v>
      </x:c>
    </x:row>
    <x:row r="43" ht="48" customHeight="1">
      <x:c r="A43" s="8" t="str">
        <x:v>serp-GR</x:v>
      </x:c>
      <x:c r="B43" s="8" t="str">
        <x:v>serp-overview</x:v>
      </x:c>
      <x:c r="C43" s="8" t="str">
        <x:v>{"country":"GR","keyword":"ενοικιαση αυτοκινητου ναξος","select":"position,title,url,type,update_date,page_type","top_positions":5,"output":"json"}</x:v>
      </x:c>
      <x:c r="D43" s="10" t="str">
        <x:v>https://app.ahrefs.com/keywords-explorer</x:v>
      </x:c>
      <x:c r="E43" s="8"/>
      <x:c r="F43" s="8" t="n">
        <x:v>46289.74033726852</x:v>
      </x:c>
      <x:c r="G43" s="8" t="str">
        <x:v>OBSERVED</x:v>
      </x:c>
      <x:c r="H43" s="8" t="n">
        <x:v>7</x:v>
      </x:c>
      <x:c r="I43" s="8" t="n">
        <x:v>50</x:v>
      </x:c>
      <x:c r="J43" s="8" t="n">
        <x:v>50</x:v>
      </x:c>
      <x:c r="K43" s="8" t="str">
        <x:v>Fields: position,title,url,type,update_date,page_type. Underlying keyword/SERP timestamps retained in data tabs. Cost estimate field is tool-reported quote, not a reconstructed preflight forecast.</x:v>
      </x:c>
    </x:row>
    <x:row r="44" ht="48" customHeight="1">
      <x:c r="A44" s="9" t="str">
        <x:v>serp-FR</x:v>
      </x:c>
      <x:c r="B44" s="9" t="str">
        <x:v>serp-overview</x:v>
      </x:c>
      <x:c r="C44" s="9" t="str">
        <x:v>{"country":"FR","keyword":"location voiture naxos port","select":"position,title,url,type,update_date,page_type","top_positions":5,"output":"json"}</x:v>
      </x:c>
      <x:c r="D44" s="11" t="str">
        <x:v>https://app.ahrefs.com/keywords-explorer</x:v>
      </x:c>
      <x:c r="E44" s="9"/>
      <x:c r="F44" s="9" t="n">
        <x:v>46289.74033728009</x:v>
      </x:c>
      <x:c r="G44" s="9" t="str">
        <x:v>OBSERVED</x:v>
      </x:c>
      <x:c r="H44" s="9" t="n">
        <x:v>10</x:v>
      </x:c>
      <x:c r="I44" s="9" t="n">
        <x:v>60</x:v>
      </x:c>
      <x:c r="J44" s="9" t="n">
        <x:v>60</x:v>
      </x:c>
      <x:c r="K44" s="9" t="str">
        <x:v>Fields: position,title,url,type,update_date,page_type. Underlying keyword/SERP timestamps retained in data tabs. Cost estimate field is tool-reported quote, not a reconstructed preflight forecast.</x:v>
      </x:c>
    </x:row>
    <x:row r="45" ht="48" customHeight="1">
      <x:c r="A45" s="8" t="str">
        <x:v>kw-nl</x:v>
      </x:c>
      <x:c r="B45" s="8" t="str">
        <x:v>keywords-explorer-overview</x:v>
      </x:c>
      <x:c r="C45" s="8" t="str">
        <x:v>{"country":"NL","keywords":"auto huren naxos,autohuur naxos","select":"keyword,volume,difficulty,parent_topic","limit":5,"output":"json"}</x:v>
      </x:c>
      <x:c r="D45" s="10" t="str">
        <x:v>https://app.ahrefs.com/keywords-explorer</x:v>
      </x:c>
      <x:c r="E45" s="8"/>
      <x:c r="F45" s="8" t="n">
        <x:v>46289.743785266204</x:v>
      </x:c>
      <x:c r="G45" s="8" t="str">
        <x:v>OBSERVED</x:v>
      </x:c>
      <x:c r="H45" s="8" t="n">
        <x:v>2</x:v>
      </x:c>
      <x:c r="I45" s="8" t="n">
        <x:v>50</x:v>
      </x:c>
      <x:c r="J45" s="8" t="n">
        <x:v>50</x:v>
      </x:c>
      <x:c r="K45" s="8" t="str">
        <x:v>Fields: keyword,volume,difficulty,parent_topic. Retrieval limit 5. Underlying keyword/SERP timestamps retained in data tabs. Cost estimate field is tool-reported quote, not a reconstructed preflight forecast.</x:v>
      </x:c>
    </x:row>
    <x:row r="46" ht="48" customHeight="1">
      <x:c r="A46" s="9" t="str">
        <x:v>kw-es</x:v>
      </x:c>
      <x:c r="B46" s="9" t="str">
        <x:v>keywords-explorer-overview</x:v>
      </x:c>
      <x:c r="C46" s="9" t="str">
        <x:v>{"country":"ES","keywords":"alquiler coche naxos,alquiler coches naxos,naxos alquiler coche","select":"keyword,volume,difficulty,parent_topic","limit":5,"output":"json"}</x:v>
      </x:c>
      <x:c r="D46" s="11" t="str">
        <x:v>https://app.ahrefs.com/keywords-explorer</x:v>
      </x:c>
      <x:c r="E46" s="9"/>
      <x:c r="F46" s="9" t="n">
        <x:v>46289.74378534722</x:v>
      </x:c>
      <x:c r="G46" s="9" t="str">
        <x:v>OBSERVED</x:v>
      </x:c>
      <x:c r="H46" s="9" t="n">
        <x:v>3</x:v>
      </x:c>
      <x:c r="I46" s="9" t="n">
        <x:v>66</x:v>
      </x:c>
      <x:c r="J46" s="9" t="n">
        <x:v>66</x:v>
      </x:c>
      <x:c r="K46" s="9" t="str">
        <x:v>Fields: keyword,volume,difficulty,parent_topic. Retrieval limit 5. Underlying keyword/SERP timestamps retained in data tabs. Cost estimate field is tool-reported quote, not a reconstructed preflight forecast.</x:v>
      </x:c>
    </x:row>
    <x:row r="47" ht="54" customHeight="1">
      <x:c r="A47" s="8" t="str">
        <x:v>competitors-gb</x:v>
      </x:c>
      <x:c r="B47" s="8" t="str">
        <x:v>site-explorer-organic-competitors</x:v>
      </x:c>
      <x:c r="C47" s="8" t="str">
        <x:v>{"target":"nactionrentacar.com","country":"GB","date":"2026-09-24","mode":"subdomains","select":"competitor_domain,keywords_common,keywords_competitor,share","limit":8,"output":"json"}</x:v>
      </x:c>
      <x:c r="D47" s="10" t="str">
        <x:v>https://nactionrentacar.com</x:v>
      </x:c>
      <x:c r="E47" s="8" t="str">
        <x:v>2026-09-24</x:v>
      </x:c>
      <x:c r="F47" s="8" t="n">
        <x:v>46289.743785625</x:v>
      </x:c>
      <x:c r="G47" s="8" t="str">
        <x:v>OBSERVED</x:v>
      </x:c>
      <x:c r="H47" s="8" t="n">
        <x:v>0</x:v>
      </x:c>
      <x:c r="I47" s="8" t="n">
        <x:v>50</x:v>
      </x:c>
      <x:c r="J47" s="8" t="n">
        <x:v>50</x:v>
      </x:c>
      <x:c r="K47" s="8" t="str">
        <x:v>Fields: competitor_domain,keywords_common,keywords_competitor,share. Retrieval limit 8. Underlying keyword/SERP timestamps retained in data tabs. Cost estimate field is tool-reported quote, not a reconstructed preflight forecast.</x:v>
      </x:c>
    </x:row>
    <x:row r="48" ht="54" customHeight="1">
      <x:c r="A48" s="9" t="str">
        <x:v>competitor-kw</x:v>
      </x:c>
      <x:c r="B48" s="9" t="str">
        <x:v>site-explorer-organic-keywords</x:v>
      </x:c>
      <x:c r="C48" s="9" t="str">
        <x:v>{"target":"nactionrentacar.com","country":"GB","date":"2026-09-24","mode":"subdomains","select":"keyword,volume,best_position,best_position_url,last_update","order_by":"sum_traffic:desc","limit":25,"volume_mode":"average","output":"json"}</x:v>
      </x:c>
      <x:c r="D48" s="11" t="str">
        <x:v>https://nactionrentacar.com</x:v>
      </x:c>
      <x:c r="E48" s="9" t="str">
        <x:v>2026-09-24</x:v>
      </x:c>
      <x:c r="F48" s="9" t="n">
        <x:v>46289.74378657407</x:v>
      </x:c>
      <x:c r="G48" s="9" t="str">
        <x:v>OBSERVED</x:v>
      </x:c>
      <x:c r="H48" s="9" t="n">
        <x:v>0</x:v>
      </x:c>
      <x:c r="I48" s="9" t="n">
        <x:v>50</x:v>
      </x:c>
      <x:c r="J48" s="9" t="n">
        <x:v>50</x:v>
      </x:c>
      <x:c r="K48" s="9" t="str">
        <x:v>Fields: keyword,volume,best_position,best_position_url,last_update. Retrieval limit 25. Underlying keyword/SERP timestamps retained in data tabs. Cost estimate field is tool-reported quote, not a reconstructed preflight forecast.</x:v>
      </x:c>
    </x:row>
    <x:row r="49" ht="48" customHeight="1">
      <x:c r="A49" s="8" t="str">
        <x:v>seasonality-gb</x:v>
      </x:c>
      <x:c r="B49" s="8" t="str">
        <x:v>keywords-explorer-volume-history</x:v>
      </x:c>
      <x:c r="C49" s="8" t="str">
        <x:v>{"country":"GB","keyword":"car rental in naxos","date_from":"2025-09-01","date_to":"2026-08-31"}</x:v>
      </x:c>
      <x:c r="D49" s="10" t="str">
        <x:v>https://app.ahrefs.com/keywords-explorer</x:v>
      </x:c>
      <x:c r="E49" s="8" t="str">
        <x:v>2025-09-01</x:v>
      </x:c>
      <x:c r="F49" s="8" t="n">
        <x:v>46289.74424222222</x:v>
      </x:c>
      <x:c r="G49" s="8" t="str">
        <x:v>OBSERVED</x:v>
      </x:c>
      <x:c r="H49" s="8" t="n">
        <x:v>12</x:v>
      </x:c>
      <x:c r="I49" s="8" t="n">
        <x:v>50</x:v>
      </x:c>
      <x:c r="J49" s="8" t="n">
        <x:v>50</x:v>
      </x:c>
      <x:c r="K49" s="8" t="str">
        <x:v>Fields: endpoint default. Underlying keyword/SERP timestamps retained in data tabs. Cost estimate field is tool-reported quote, not a reconstructed preflight forecast.</x:v>
      </x:c>
    </x:row>
    <x:row r="50" ht="68" customHeight="1">
      <x:c r="A50" s="9" t="str">
        <x:v>kw-el-enrich</x:v>
      </x:c>
      <x:c r="B50" s="9" t="str">
        <x:v>keywords-explorer-overview</x:v>
      </x:c>
      <x:c r="C50" s="9" t="str">
        <x:v>{"country":"GR","keywords":"ενοικιαση αυτοκινητου ναξοσ,ενοικιαζομενα αυτοκινητα ναξος,ενοικιαση αυτοκινητου ναξος αεροδρομιο,ναξος ενοικιαση αυτοκινητου,ενοικιαση αυτοκινητου ναξος τιμες,rent a car naxos","select":"keyword,volume,difficulty,cpc,parent_topic,serp_last_update","limit":10,"output":"json"}</x:v>
      </x:c>
      <x:c r="D50" s="11" t="str">
        <x:v>https://app.ahrefs.com/keywords-explorer</x:v>
      </x:c>
      <x:c r="E50" s="9"/>
      <x:c r="F50" s="9" t="n">
        <x:v>46289.744375173614</x:v>
      </x:c>
      <x:c r="G50" s="9" t="str">
        <x:v>OBSERVED</x:v>
      </x:c>
      <x:c r="H50" s="9" t="n">
        <x:v>6</x:v>
      </x:c>
      <x:c r="I50" s="9" t="n">
        <x:v>144</x:v>
      </x:c>
      <x:c r="J50" s="9" t="n">
        <x:v>144</x:v>
      </x:c>
      <x:c r="K50" s="9" t="str">
        <x:v>Fields: keyword,volume,difficulty,cpc,parent_topic,serp_last_update. Retrieval limit 10. Underlying keyword/SERP timestamps retained in data tabs. Cost estimate field is tool-reported quote, not a reconstructed preflight forecast.</x:v>
      </x:c>
    </x:row>
    <x:row r="51" ht="68" customHeight="1">
      <x:c r="A51" s="8" t="str">
        <x:v>kw-en-enrich</x:v>
      </x:c>
      <x:c r="B51" s="8" t="str">
        <x:v>keywords-explorer-overview</x:v>
      </x:c>
      <x:c r="C51" s="8" t="str">
        <x:v>{"country":"GB","keywords":"car rental in naxos,car rental naxos,car hire naxos port,car hire naxos island airport,naxos car rental insurance,naxos automatic car rental,7 seater naxos,cheap car hire naxos,naxos car rental no credit card","select":"keyword,volume,difficulty,cpc,traffic_potential,parent_topic,serp_last_update","limit":15,"output":"json"}</x:v>
      </x:c>
      <x:c r="D51" s="10" t="str">
        <x:v>https://app.ahrefs.com/keywords-explorer</x:v>
      </x:c>
      <x:c r="E51" s="8"/>
      <x:c r="F51" s="8" t="n">
        <x:v>46289.74437518518</x:v>
      </x:c>
      <x:c r="G51" s="8" t="str">
        <x:v>OBSERVED</x:v>
      </x:c>
      <x:c r="H51" s="8" t="n">
        <x:v>5</x:v>
      </x:c>
      <x:c r="I51" s="8" t="n">
        <x:v>170</x:v>
      </x:c>
      <x:c r="J51" s="8" t="n">
        <x:v>170</x:v>
      </x:c>
      <x:c r="K51" s="8" t="str">
        <x:v>Fields: keyword,volume,difficulty,cpc,traffic_potential,parent_topic,serp_last_update. Retrieval limit 15. Underlying keyword/SERP timestamps retained in data tabs. Cost estimate field is tool-reported quote, not a reconstructed preflight forecast.</x:v>
      </x:c>
    </x:row>
    <x:row r="52" ht="48" customHeight="1">
      <x:c r="A52" s="9" t="str">
        <x:v>seasonality-control</x:v>
      </x:c>
      <x:c r="B52" s="9" t="str">
        <x:v>keywords-explorer-volume-history</x:v>
      </x:c>
      <x:c r="C52" s="9" t="str">
        <x:v>{"country":"IT","keyword":"noleggio auto naxos","date_from":"2025-09-01","date_to":"2026-08-31","output":"json"}</x:v>
      </x:c>
      <x:c r="D52" s="11" t="str">
        <x:v>https://app.ahrefs.com/keywords-explorer</x:v>
      </x:c>
      <x:c r="E52" s="9" t="str">
        <x:v>2025-09-01</x:v>
      </x:c>
      <x:c r="F52" s="9" t="n">
        <x:v>46289.74439997685</x:v>
      </x:c>
      <x:c r="G52" s="9" t="str">
        <x:v>OBSERVED</x:v>
      </x:c>
      <x:c r="H52" s="9" t="n">
        <x:v>12</x:v>
      </x:c>
      <x:c r="I52" s="9" t="n">
        <x:v>50</x:v>
      </x:c>
      <x:c r="J52" s="9" t="n">
        <x:v>50</x:v>
      </x:c>
      <x:c r="K52" s="9" t="str">
        <x:v>Fields: endpoint default. Underlying keyword/SERP timestamps retained in data tabs. Cost estimate field is tool-reported quote, not a reconstructed preflight forecast.</x:v>
      </x:c>
    </x:row>
    <x:row r="53" ht="54" customHeight="1">
      <x:c r="A53" s="8" t="str">
        <x:v>baseline-sept01</x:v>
      </x:c>
      <x:c r="B53" s="8" t="str">
        <x:v>site-explorer-organic-keywords</x:v>
      </x:c>
      <x:c r="C53" s="8" t="str">
        <x:v>{"target":"naxos-carrentals.com","date":"2026-09-01","mode":"subdomains","select":"keyword,keyword_country,volume,best_position,best_position_url,last_update","limit":50,"order_by":"sum_traffic:desc","volume_mode":"average","output":"json"}</x:v>
      </x:c>
      <x:c r="D53" s="10" t="str">
        <x:v>https://naxos-carrentals.com</x:v>
      </x:c>
      <x:c r="E53" s="8" t="str">
        <x:v>2026-09-01</x:v>
      </x:c>
      <x:c r="F53" s="8" t="n">
        <x:v>46289.74504634259</x:v>
      </x:c>
      <x:c r="G53" s="8" t="str">
        <x:v>OBSERVED</x:v>
      </x:c>
      <x:c r="H53" s="8" t="n">
        <x:v>0</x:v>
      </x:c>
      <x:c r="I53" s="8" t="n">
        <x:v>50</x:v>
      </x:c>
      <x:c r="J53" s="8" t="n">
        <x:v>50</x:v>
      </x:c>
      <x:c r="K53" s="8" t="str">
        <x:v>Fields: keyword,keyword_country,volume,best_position,best_position_url,last_update. Retrieval limit 50. Underlying keyword/SERP timestamps retained in data tabs. Cost estimate field is tool-reported quote, not a reconstructed preflight forecast.</x:v>
      </x:c>
    </x:row>
    <x:row r="54" ht="54" customHeight="1">
      <x:c r="A54" s="9" t="str">
        <x:v>competitor-sept01</x:v>
      </x:c>
      <x:c r="B54" s="9" t="str">
        <x:v>site-explorer-organic-keywords</x:v>
      </x:c>
      <x:c r="C54" s="9" t="str">
        <x:v>{"target":"nactionrentacar.com","date":"2026-09-01","country":"GB","mode":"subdomains","select":"keyword,volume,best_position,best_position_url,last_update","limit":20,"order_by":"sum_traffic:desc","volume_mode":"average","output":"json"}</x:v>
      </x:c>
      <x:c r="D54" s="11" t="str">
        <x:v>https://nactionrentacar.com</x:v>
      </x:c>
      <x:c r="E54" s="9" t="str">
        <x:v>2026-09-01</x:v>
      </x:c>
      <x:c r="F54" s="9" t="n">
        <x:v>46289.74504855324</x:v>
      </x:c>
      <x:c r="G54" s="9" t="str">
        <x:v>OBSERVED</x:v>
      </x:c>
      <x:c r="H54" s="9" t="n">
        <x:v>4</x:v>
      </x:c>
      <x:c r="I54" s="9" t="n">
        <x:v>96</x:v>
      </x:c>
      <x:c r="J54" s="9" t="n">
        <x:v>96</x:v>
      </x:c>
      <x:c r="K54" s="9" t="str">
        <x:v>Fields: keyword,volume,best_position,best_position_url,last_update. Retrieval limit 20. Underlying keyword/SERP timestamps retained in data tabs. Cost estimate field is tool-reported quote, not a reconstructed preflight forecast.</x:v>
      </x:c>
    </x:row>
  </x:sheetData>
  <x:mergeCells>
    <x:mergeCell ref="A1:E1"/>
    <x:mergeCell ref="A2:F2"/>
  </x:mergeCells>
  <x:conditionalFormatting sqref="G5:G54">
    <x:cfRule type="containsText" dxfId="23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2b113cc9d16e431e"/>
  </x:tableParts>
</x:worksheet>
</file>

<file path=xl/worksheets/sheet21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8" hidden="0" customWidth="1"/>
    <x:col min="2" max="2" width="16" hidden="0" customWidth="1"/>
    <x:col min="3" max="3" width="26" hidden="0" customWidth="1"/>
    <x:col min="4" max="4" width="96" hidden="0" customWidth="1"/>
    <x:col min="5" max="5" width="43" hidden="0" customWidth="1"/>
    <x:col min="6" max="6" width="23" hidden="0" customWidth="1"/>
    <x:col min="7" max="7" width="28" hidden="0" customWidth="1"/>
  </x:cols>
  <x:sheetData>
    <x:row r="1" ht="34" customHeight="1">
      <x:c r="A1" s="4" t="str">
        <x:v>Excluded Candidates</x:v>
      </x:c>
      <x:c r="B1" s="3"/>
      <x:c r="C1" s="3"/>
      <x:c r="D1" s="3"/>
      <x:c r="E1" s="3"/>
      <x:c r="F1" s="3"/>
      <x:c r="G1" s="3"/>
    </x:row>
    <x:row r="2" ht="44" customHeight="1">
      <x:c r="A2" s="5" t="str">
        <x:v>Retained for auditability. Exclusion from the target universe is an analyst relevance decision, not proof that demand is absent.</x:v>
      </x:c>
      <x:c r="B2" s="3"/>
      <x:c r="C2" s="3"/>
      <x:c r="D2" s="3"/>
      <x:c r="E2" s="3"/>
      <x:c r="F2" s="3"/>
      <x:c r="G2" s="3"/>
    </x:row>
    <x:row r="3" ht="9" customHeight="1">
      <x:c r="A3" s="3"/>
      <x:c r="B3" s="3"/>
      <x:c r="C3" s="3"/>
      <x:c r="D3" s="3"/>
      <x:c r="E3" s="3"/>
      <x:c r="F3" s="3"/>
      <x:c r="G3" s="3"/>
    </x:row>
    <x:row r="4" ht="42" customHeight="1">
      <x:c r="A4" s="7" t="str">
        <x:v>Original keyword</x:v>
      </x:c>
      <x:c r="B4" s="7" t="str">
        <x:v>Country</x:v>
      </x:c>
      <x:c r="C4" s="7" t="str">
        <x:v>Returned monthly searches</x:v>
      </x:c>
      <x:c r="D4" s="7" t="str">
        <x:v>Exclusion reason</x:v>
      </x:c>
      <x:c r="E4" s="7" t="str">
        <x:v>Source IDs</x:v>
      </x:c>
      <x:c r="F4" s="7" t="str">
        <x:v>Evidence status</x:v>
      </x:c>
      <x:c r="G4" s="7" t="str">
        <x:v>Metric type</x:v>
      </x:c>
    </x:row>
    <x:row r="5" ht="48" customHeight="1">
      <x:c r="A5" s="8" t="str">
        <x:v>boat rental naxos</x:v>
      </x:c>
      <x:c r="B5" s="8" t="str">
        <x:v>GB</x:v>
      </x:c>
      <x:c r="C5" s="8" t="n">
        <x:v>50</x:v>
      </x:c>
      <x:c r="D5" s="8" t="str">
        <x:v>Outside car-rental offering</x:v>
      </x:c>
      <x:c r="E5" s="8" t="str">
        <x:v>discover-en</x:v>
      </x:c>
      <x:c r="F5" s="8" t="str">
        <x:v>OBSERVED</x:v>
      </x:c>
      <x:c r="G5" s="8" t="str">
        <x:v>VENDOR ESTIMATE</x:v>
      </x:c>
    </x:row>
    <x:row r="6" ht="48" customHeight="1">
      <x:c r="A6" s="9" t="str">
        <x:v>naxos boat rental</x:v>
      </x:c>
      <x:c r="B6" s="9" t="str">
        <x:v>GB</x:v>
      </x:c>
      <x:c r="C6" s="9" t="n">
        <x:v>40</x:v>
      </x:c>
      <x:c r="D6" s="9" t="str">
        <x:v>Outside car-rental offering</x:v>
      </x:c>
      <x:c r="E6" s="9" t="str">
        <x:v>discover-en</x:v>
      </x:c>
      <x:c r="F6" s="9" t="str">
        <x:v>OBSERVED</x:v>
      </x:c>
      <x:c r="G6" s="9" t="str">
        <x:v>VENDOR ESTIMATE</x:v>
      </x:c>
    </x:row>
    <x:row r="7" ht="48" customHeight="1">
      <x:c r="A7" s="8" t="str">
        <x:v>naxos boat rental without license</x:v>
      </x:c>
      <x:c r="B7" s="8" t="str">
        <x:v>GB</x:v>
      </x:c>
      <x:c r="C7" s="8" t="n">
        <x:v>30</x:v>
      </x:c>
      <x:c r="D7" s="8" t="str">
        <x:v>Outside car-rental offering</x:v>
      </x:c>
      <x:c r="E7" s="8" t="str">
        <x:v>discover-en</x:v>
      </x:c>
      <x:c r="F7" s="8" t="str">
        <x:v>OBSERVED</x:v>
      </x:c>
      <x:c r="G7" s="8" t="str">
        <x:v>VENDOR ESTIMATE</x:v>
      </x:c>
    </x:row>
    <x:row r="8" ht="48" customHeight="1">
      <x:c r="A8" s="9" t="str">
        <x:v>naxos villa rental</x:v>
      </x:c>
      <x:c r="B8" s="9" t="str">
        <x:v>GB</x:v>
      </x:c>
      <x:c r="C8" s="9" t="n">
        <x:v>20</x:v>
      </x:c>
      <x:c r="D8" s="9" t="str">
        <x:v>Outside car-rental offering</x:v>
      </x:c>
      <x:c r="E8" s="9" t="str">
        <x:v>discover-en</x:v>
      </x:c>
      <x:c r="F8" s="9" t="str">
        <x:v>OBSERVED</x:v>
      </x:c>
      <x:c r="G8" s="9" t="str">
        <x:v>VENDOR ESTIMATE</x:v>
      </x:c>
    </x:row>
    <x:row r="9" ht="48" customHeight="1">
      <x:c r="A9" s="8" t="str">
        <x:v>enjoy naxos car</x:v>
      </x:c>
      <x:c r="B9" s="8" t="str">
        <x:v>GB</x:v>
      </x:c>
      <x:c r="C9" s="8" t="n">
        <x:v>20</x:v>
      </x:c>
      <x:c r="D9" s="8" t="str">
        <x:v>Named or ambiguous competing operator. Review separately, not a generic landing-page target</x:v>
      </x:c>
      <x:c r="E9" s="8" t="str">
        <x:v>discover-en</x:v>
      </x:c>
      <x:c r="F9" s="8" t="str">
        <x:v>OBSERVED</x:v>
      </x:c>
      <x:c r="G9" s="8" t="str">
        <x:v>VENDOR ESTIMATE</x:v>
      </x:c>
    </x:row>
    <x:row r="10" ht="48" customHeight="1">
      <x:c r="A10" s="9" t="str">
        <x:v>fun car naxos</x:v>
      </x:c>
      <x:c r="B10" s="9" t="str">
        <x:v>GB</x:v>
      </x:c>
      <x:c r="C10" s="9" t="n">
        <x:v>10</x:v>
      </x:c>
      <x:c r="D10" s="9" t="str">
        <x:v>Named or ambiguous competing operator. Review separately, not a generic landing-page target</x:v>
      </x:c>
      <x:c r="E10" s="9" t="str">
        <x:v>discover-en</x:v>
      </x:c>
      <x:c r="F10" s="9" t="str">
        <x:v>OBSERVED</x:v>
      </x:c>
      <x:c r="G10" s="9" t="str">
        <x:v>VENDOR ESTIMATE</x:v>
      </x:c>
    </x:row>
    <x:row r="11" ht="48" customHeight="1">
      <x:c r="A11" s="8" t="str">
        <x:v>car hire naxos _landing pages</x:v>
      </x:c>
      <x:c r="B11" s="8" t="str">
        <x:v>GB</x:v>
      </x:c>
      <x:c r="C11" s="8" t="n">
        <x:v>10</x:v>
      </x:c>
      <x:c r="D11" s="8" t="str">
        <x:v>Malformed or research-tool query</x:v>
      </x:c>
      <x:c r="E11" s="8" t="str">
        <x:v>discover-en</x:v>
      </x:c>
      <x:c r="F11" s="8" t="str">
        <x:v>OBSERVED</x:v>
      </x:c>
      <x:c r="G11" s="8" t="str">
        <x:v>VENDOR ESTIMATE</x:v>
      </x:c>
    </x:row>
    <x:row r="12" ht="48" customHeight="1">
      <x:c r="A12" s="9" t="str">
        <x:v>villa rental naxos greece</x:v>
      </x:c>
      <x:c r="B12" s="9" t="str">
        <x:v>GB</x:v>
      </x:c>
      <x:c r="C12" s="9" t="n">
        <x:v>10</x:v>
      </x:c>
      <x:c r="D12" s="9" t="str">
        <x:v>Outside car-rental offering</x:v>
      </x:c>
      <x:c r="E12" s="9" t="str">
        <x:v>discover-en</x:v>
      </x:c>
      <x:c r="F12" s="9" t="str">
        <x:v>OBSERVED</x:v>
      </x:c>
      <x:c r="G12" s="9" t="str">
        <x:v>VENDOR ESTIMATE</x:v>
      </x:c>
    </x:row>
    <x:row r="13" ht="48" customHeight="1">
      <x:c r="A13" s="8" t="str">
        <x:v>giardini naxos to taormina cable car</x:v>
      </x:c>
      <x:c r="B13" s="8" t="str">
        <x:v>GB</x:v>
      </x:c>
      <x:c r="C13" s="8" t="n">
        <x:v>10</x:v>
      </x:c>
      <x:c r="D13" s="8" t="str">
        <x:v>Different destination: Giardini Naxos, Sicily</x:v>
      </x:c>
      <x:c r="E13" s="8" t="str">
        <x:v>discover-en</x:v>
      </x:c>
      <x:c r="F13" s="8" t="str">
        <x:v>OBSERVED</x:v>
      </x:c>
      <x:c r="G13" s="8" t="str">
        <x:v>VENDOR ESTIMATE</x:v>
      </x:c>
    </x:row>
    <x:row r="14" ht="48" customHeight="1">
      <x:c r="A14" s="9" t="str">
        <x:v>location voiture giardini naxos sicile</x:v>
      </x:c>
      <x:c r="B14" s="9" t="str">
        <x:v>FR</x:v>
      </x:c>
      <x:c r="C14" s="9" t="n">
        <x:v>50</x:v>
      </x:c>
      <x:c r="D14" s="9" t="str">
        <x:v>Different destination: Giardini Naxos, Sicily</x:v>
      </x:c>
      <x:c r="E14" s="9" t="str">
        <x:v>discover-fr</x:v>
      </x:c>
      <x:c r="F14" s="9" t="str">
        <x:v>OBSERVED</x:v>
      </x:c>
      <x:c r="G14" s="9" t="str">
        <x:v>VENDOR ESTIMATE</x:v>
      </x:c>
    </x:row>
    <x:row r="15" ht="48" customHeight="1">
      <x:c r="A15" s="8" t="str">
        <x:v>apollon location voiture naxos</x:v>
      </x:c>
      <x:c r="B15" s="8" t="str">
        <x:v>FR</x:v>
      </x:c>
      <x:c r="C15" s="8" t="n">
        <x:v>0</x:v>
      </x:c>
      <x:c r="D15" s="8" t="str">
        <x:v>Named or ambiguous competing operator. Review separately, not a generic landing-page target</x:v>
      </x:c>
      <x:c r="E15" s="8" t="str">
        <x:v>discover-fr</x:v>
      </x:c>
      <x:c r="F15" s="8" t="str">
        <x:v>OBSERVED</x:v>
      </x:c>
      <x:c r="G15" s="8" t="str">
        <x:v>VENDOR ESTIMATE</x:v>
      </x:c>
    </x:row>
    <x:row r="16" ht="48" customHeight="1">
      <x:c r="A16" s="9" t="str">
        <x:v>giardini naxos location voiture</x:v>
      </x:c>
      <x:c r="B16" s="9" t="str">
        <x:v>FR</x:v>
      </x:c>
      <x:c r="C16" s="9" t="n">
        <x:v>0</x:v>
      </x:c>
      <x:c r="D16" s="9" t="str">
        <x:v>Different destination: Giardini Naxos, Sicily</x:v>
      </x:c>
      <x:c r="E16" s="9" t="str">
        <x:v>discover-fr</x:v>
      </x:c>
      <x:c r="F16" s="9" t="str">
        <x:v>OBSERVED</x:v>
      </x:c>
      <x:c r="G16" s="9" t="str">
        <x:v>VENDOR ESTIMATE</x:v>
      </x:c>
    </x:row>
    <x:row r="17" ht="48" customHeight="1">
      <x:c r="A17" s="8" t="str">
        <x:v>noleggio auto giardini naxos</x:v>
      </x:c>
      <x:c r="B17" s="8" t="str">
        <x:v>IT</x:v>
      </x:c>
      <x:c r="C17" s="8" t="n">
        <x:v>80</x:v>
      </x:c>
      <x:c r="D17" s="8" t="str">
        <x:v>Different destination: Giardini Naxos, Sicily</x:v>
      </x:c>
      <x:c r="E17" s="8" t="str">
        <x:v>discover-it</x:v>
      </x:c>
      <x:c r="F17" s="8" t="str">
        <x:v>OBSERVED</x:v>
      </x:c>
      <x:c r="G17" s="8" t="str">
        <x:v>VENDOR ESTIMATE</x:v>
      </x:c>
    </x:row>
    <x:row r="18" ht="48" customHeight="1">
      <x:c r="A18" s="9" t="str">
        <x:v>naxos auto rent</x:v>
      </x:c>
      <x:c r="B18" s="9" t="str">
        <x:v>IT</x:v>
      </x:c>
      <x:c r="C18" s="9" t="n">
        <x:v>80</x:v>
      </x:c>
      <x:c r="D18" s="9" t="str">
        <x:v>Named or ambiguous competing operator. Review separately, not a generic landing-page target</x:v>
      </x:c>
      <x:c r="E18" s="9" t="str">
        <x:v>discover-it</x:v>
      </x:c>
      <x:c r="F18" s="9" t="str">
        <x:v>OBSERVED</x:v>
      </x:c>
      <x:c r="G18" s="9" t="str">
        <x:v>VENDOR ESTIMATE</x:v>
      </x:c>
    </x:row>
    <x:row r="19" ht="48" customHeight="1">
      <x:c r="A19" s="8" t="str">
        <x:v>noleggio auto a giardini naxos</x:v>
      </x:c>
      <x:c r="B19" s="8" t="str">
        <x:v>IT</x:v>
      </x:c>
      <x:c r="C19" s="8" t="n">
        <x:v>50</x:v>
      </x:c>
      <x:c r="D19" s="8" t="str">
        <x:v>Different destination: Giardini Naxos, Sicily</x:v>
      </x:c>
      <x:c r="E19" s="8" t="str">
        <x:v>discover-it</x:v>
      </x:c>
      <x:c r="F19" s="8" t="str">
        <x:v>OBSERVED</x:v>
      </x:c>
      <x:c r="G19" s="8" t="str">
        <x:v>VENDOR ESTIMATE</x:v>
      </x:c>
    </x:row>
    <x:row r="20" ht="48" customHeight="1">
      <x:c r="A20" s="9" t="str">
        <x:v>noleggio auto giardini naxos senza carta di credito</x:v>
      </x:c>
      <x:c r="B20" s="9" t="str">
        <x:v>IT</x:v>
      </x:c>
      <x:c r="C20" s="9" t="n">
        <x:v>10</x:v>
      </x:c>
      <x:c r="D20" s="9" t="str">
        <x:v>Different destination: Giardini Naxos, Sicily</x:v>
      </x:c>
      <x:c r="E20" s="9" t="str">
        <x:v>discover-it</x:v>
      </x:c>
      <x:c r="F20" s="9" t="str">
        <x:v>OBSERVED</x:v>
      </x:c>
      <x:c r="G20" s="9" t="str">
        <x:v>VENDOR ESTIMATE</x:v>
      </x:c>
    </x:row>
    <x:row r="21" ht="48" customHeight="1">
      <x:c r="A21" s="8" t="str">
        <x:v>noleggio auto a giardini naxos low cost</x:v>
      </x:c>
      <x:c r="B21" s="8" t="str">
        <x:v>IT</x:v>
      </x:c>
      <x:c r="C21" s="8" t="n">
        <x:v>10</x:v>
      </x:c>
      <x:c r="D21" s="8" t="str">
        <x:v>Different destination: Giardini Naxos, Sicily</x:v>
      </x:c>
      <x:c r="E21" s="8" t="str">
        <x:v>discover-it</x:v>
      </x:c>
      <x:c r="F21" s="8" t="str">
        <x:v>OBSERVED</x:v>
      </x:c>
      <x:c r="G21" s="8" t="str">
        <x:v>VENDOR ESTIMATE</x:v>
      </x:c>
    </x:row>
    <x:row r="22" ht="48" customHeight="1">
      <x:c r="A22" s="9" t="str">
        <x:v>auto tour naxos</x:v>
      </x:c>
      <x:c r="B22" s="9" t="str">
        <x:v>IT</x:v>
      </x:c>
      <x:c r="C22" s="9" t="n">
        <x:v>10</x:v>
      </x:c>
      <x:c r="D22" s="9" t="str">
        <x:v>Named or ambiguous competing operator. Review separately, not a generic landing-page target</x:v>
      </x:c>
      <x:c r="E22" s="9" t="str">
        <x:v>discover-it</x:v>
      </x:c>
      <x:c r="F22" s="9" t="str">
        <x:v>OBSERVED</x:v>
      </x:c>
      <x:c r="G22" s="9" t="str">
        <x:v>VENDOR ESTIMATE</x:v>
      </x:c>
    </x:row>
    <x:row r="23" ht="48" customHeight="1">
      <x:c r="A23" s="8" t="str">
        <x:v>distanza catania giardini naxos in auto</x:v>
      </x:c>
      <x:c r="B23" s="8" t="str">
        <x:v>IT</x:v>
      </x:c>
      <x:c r="C23" s="8" t="n">
        <x:v>10</x:v>
      </x:c>
      <x:c r="D23" s="8" t="str">
        <x:v>Different destination: Giardini Naxos, Sicily</x:v>
      </x:c>
      <x:c r="E23" s="8" t="str">
        <x:v>discover-it</x:v>
      </x:c>
      <x:c r="F23" s="8" t="str">
        <x:v>OBSERVED</x:v>
      </x:c>
      <x:c r="G23" s="8" t="str">
        <x:v>VENDOR ESTIMATE</x:v>
      </x:c>
    </x:row>
    <x:row r="24" ht="48" customHeight="1">
      <x:c r="A24" s="9" t="str">
        <x:v>skyscanner auto naxos</x:v>
      </x:c>
      <x:c r="B24" s="9" t="str">
        <x:v>IT</x:v>
      </x:c>
      <x:c r="C24" s="9" t="n">
        <x:v>0</x:v>
      </x:c>
      <x:c r="D24" s="9" t="str">
        <x:v>Named or ambiguous competing operator. Review separately, not a generic landing-page target</x:v>
      </x:c>
      <x:c r="E24" s="9" t="str">
        <x:v>discover-it</x:v>
      </x:c>
      <x:c r="F24" s="9" t="str">
        <x:v>OBSERVED</x:v>
      </x:c>
      <x:c r="G24" s="9" t="str">
        <x:v>VENDOR ESTIMATE</x:v>
      </x:c>
    </x:row>
    <x:row r="25" ht="48" customHeight="1">
      <x:c r="A25" s="8" t="str">
        <x:v>auto tour rental naxos</x:v>
      </x:c>
      <x:c r="B25" s="8" t="str">
        <x:v>IT</x:v>
      </x:c>
      <x:c r="C25" s="8" t="n">
        <x:v>0</x:v>
      </x:c>
      <x:c r="D25" s="8" t="str">
        <x:v>Named or ambiguous competing operator. Review separately, not a generic landing-page target</x:v>
      </x:c>
      <x:c r="E25" s="8" t="str">
        <x:v>discover-it</x:v>
      </x:c>
      <x:c r="F25" s="8" t="str">
        <x:v>OBSERVED</x:v>
      </x:c>
      <x:c r="G25" s="8" t="str">
        <x:v>VENDOR ESTIMATE</x:v>
      </x:c>
    </x:row>
    <x:row r="26" ht="48" customHeight="1">
      <x:c r="A26" s="9" t="str">
        <x:v>naxos auto rent recensioni</x:v>
      </x:c>
      <x:c r="B26" s="9" t="str">
        <x:v>IT</x:v>
      </x:c>
      <x:c r="C26" s="9" t="n">
        <x:v>0</x:v>
      </x:c>
      <x:c r="D26" s="9" t="str">
        <x:v>Named or ambiguous competing operator. Review separately, not a generic landing-page target</x:v>
      </x:c>
      <x:c r="E26" s="9" t="str">
        <x:v>discover-it</x:v>
      </x:c>
      <x:c r="F26" s="9" t="str">
        <x:v>OBSERVED</x:v>
      </x:c>
      <x:c r="G26" s="9" t="str">
        <x:v>VENDOR ESTIMATE</x:v>
      </x:c>
    </x:row>
    <x:row r="27" ht="48" customHeight="1">
      <x:c r="A27" s="8" t="str">
        <x:v>rent auto naxos</x:v>
      </x:c>
      <x:c r="B27" s="8" t="str">
        <x:v>IT</x:v>
      </x:c>
      <x:c r="C27" s="8" t="n">
        <x:v>0</x:v>
      </x:c>
      <x:c r="D27" s="8" t="str">
        <x:v>English phrase in Italian discovery. Defer independent language review</x:v>
      </x:c>
      <x:c r="E27" s="8" t="str">
        <x:v>discover-it</x:v>
      </x:c>
      <x:c r="F27" s="8" t="str">
        <x:v>OBSERVED</x:v>
      </x:c>
      <x:c r="G27" s="8" t="str">
        <x:v>VENDOR ESTIMATE</x:v>
      </x:c>
    </x:row>
    <x:row r="28" ht="48" customHeight="1">
      <x:c r="A28" s="9" t="str">
        <x:v>centro revisione auto giardini naxos</x:v>
      </x:c>
      <x:c r="B28" s="9" t="str">
        <x:v>IT</x:v>
      </x:c>
      <x:c r="C28" s="9" t="n">
        <x:v>0</x:v>
      </x:c>
      <x:c r="D28" s="9" t="str">
        <x:v>Different destination: Giardini Naxos, Sicily</x:v>
      </x:c>
      <x:c r="E28" s="9" t="str">
        <x:v>discover-it</x:v>
      </x:c>
      <x:c r="F28" s="9" t="str">
        <x:v>OBSERVED</x:v>
      </x:c>
      <x:c r="G28" s="9" t="str">
        <x:v>VENDOR ESTIMATE</x:v>
      </x:c>
    </x:row>
    <x:row r="29" ht="48" customHeight="1">
      <x:c r="A29" s="8" t="str">
        <x:v>auto usate giardini naxos</x:v>
      </x:c>
      <x:c r="B29" s="8" t="str">
        <x:v>IT</x:v>
      </x:c>
      <x:c r="C29" s="8" t="n">
        <x:v>0</x:v>
      </x:c>
      <x:c r="D29" s="8" t="str">
        <x:v>Different destination: Giardini Naxos, Sicily</x:v>
      </x:c>
      <x:c r="E29" s="8" t="str">
        <x:v>discover-it</x:v>
      </x:c>
      <x:c r="F29" s="8" t="str">
        <x:v>OBSERVED</x:v>
      </x:c>
      <x:c r="G29" s="8" t="str">
        <x:v>VENDOR ESTIMATE</x:v>
      </x:c>
    </x:row>
    <x:row r="30" ht="48" customHeight="1">
      <x:c r="A30" s="9" t="str">
        <x:v>noleggio auto giardini-naxos taormina</x:v>
      </x:c>
      <x:c r="B30" s="9" t="str">
        <x:v>IT</x:v>
      </x:c>
      <x:c r="C30" s="9" t="n">
        <x:v>0</x:v>
      </x:c>
      <x:c r="D30" s="9" t="str">
        <x:v>Different destination: Giardini Naxos, Sicily</x:v>
      </x:c>
      <x:c r="E30" s="9" t="str">
        <x:v>discover-it</x:v>
      </x:c>
      <x:c r="F30" s="9" t="str">
        <x:v>OBSERVED</x:v>
      </x:c>
      <x:c r="G30" s="9" t="str">
        <x:v>VENDOR ESTIMATE</x:v>
      </x:c>
    </x:row>
    <x:row r="31" ht="48" customHeight="1">
      <x:c r="A31" s="8" t="str">
        <x:v>auto a fuoco giardini naxos</x:v>
      </x:c>
      <x:c r="B31" s="8" t="str">
        <x:v>IT</x:v>
      </x:c>
      <x:c r="C31" s="8" t="n">
        <x:v>0</x:v>
      </x:c>
      <x:c r="D31" s="8" t="str">
        <x:v>Different destination: Giardini Naxos, Sicily</x:v>
      </x:c>
      <x:c r="E31" s="8" t="str">
        <x:v>discover-it</x:v>
      </x:c>
      <x:c r="F31" s="8" t="str">
        <x:v>OBSERVED</x:v>
      </x:c>
      <x:c r="G31" s="8" t="str">
        <x:v>VENDOR ESTIMATE</x:v>
      </x:c>
    </x:row>
    <x:row r="32" ht="48" customHeight="1">
      <x:c r="A32" s="9" t="str">
        <x:v>revisione auto giardini naxos</x:v>
      </x:c>
      <x:c r="B32" s="9" t="str">
        <x:v>IT</x:v>
      </x:c>
      <x:c r="C32" s="9" t="n">
        <x:v>0</x:v>
      </x:c>
      <x:c r="D32" s="9" t="str">
        <x:v>Different destination: Giardini Naxos, Sicily</x:v>
      </x:c>
      <x:c r="E32" s="9" t="str">
        <x:v>discover-it</x:v>
      </x:c>
      <x:c r="F32" s="9" t="str">
        <x:v>OBSERVED</x:v>
      </x:c>
      <x:c r="G32" s="9" t="str">
        <x:v>VENDOR ESTIMATE</x:v>
      </x:c>
    </x:row>
    <x:row r="33" ht="48" customHeight="1">
      <x:c r="A33" s="8" t="str">
        <x:v>auto rent naxos</x:v>
      </x:c>
      <x:c r="B33" s="8" t="str">
        <x:v>IT</x:v>
      </x:c>
      <x:c r="C33" s="8" t="n">
        <x:v>0</x:v>
      </x:c>
      <x:c r="D33" s="8" t="str">
        <x:v>Named or ambiguous competing operator. Review separately, not a generic landing-page target</x:v>
      </x:c>
      <x:c r="E33" s="8" t="str">
        <x:v>discover-it</x:v>
      </x:c>
      <x:c r="F33" s="8" t="str">
        <x:v>OBSERVED</x:v>
      </x:c>
      <x:c r="G33" s="8" t="str">
        <x:v>VENDOR ESTIMATE</x:v>
      </x:c>
    </x:row>
    <x:row r="34" ht="48" customHeight="1">
      <x:c r="A34" s="9" t="str">
        <x:v>noleggio auto giardini di naxos</x:v>
      </x:c>
      <x:c r="B34" s="9" t="str">
        <x:v>IT</x:v>
      </x:c>
      <x:c r="C34" s="9" t="n">
        <x:v>0</x:v>
      </x:c>
      <x:c r="D34" s="9" t="str">
        <x:v>Different destination: Giardini Naxos, Sicily</x:v>
      </x:c>
      <x:c r="E34" s="9" t="str">
        <x:v>discover-it</x:v>
      </x:c>
      <x:c r="F34" s="9" t="str">
        <x:v>OBSERVED</x:v>
      </x:c>
      <x:c r="G34" s="9" t="str">
        <x:v>VENDOR ESTIMATE</x:v>
      </x:c>
    </x:row>
    <x:row r="35" ht="48" customHeight="1">
      <x:c r="A35" s="8" t="str">
        <x:v>mietwagen giardini naxos</x:v>
      </x:c>
      <x:c r="B35" s="8" t="str">
        <x:v>DE</x:v>
      </x:c>
      <x:c r="C35" s="8" t="n">
        <x:v>70</x:v>
      </x:c>
      <x:c r="D35" s="8" t="str">
        <x:v>Different destination: Giardini Naxos, Sicily</x:v>
      </x:c>
      <x:c r="E35" s="8" t="str">
        <x:v>discover-de</x:v>
      </x:c>
      <x:c r="F35" s="8" t="str">
        <x:v>OBSERVED</x:v>
      </x:c>
      <x:c r="G35" s="8" t="str">
        <x:v>VENDOR ESTIMATE</x:v>
      </x:c>
    </x:row>
    <x:row r="36" ht="48" customHeight="1">
      <x:c r="A36" s="9" t="str">
        <x:v>naxos auto rent</x:v>
      </x:c>
      <x:c r="B36" s="9" t="str">
        <x:v>DE</x:v>
      </x:c>
      <x:c r="C36" s="9" t="n">
        <x:v>40</x:v>
      </x:c>
      <x:c r="D36" s="9" t="str">
        <x:v>Named or ambiguous competing operator. Review separately, not a generic landing-page target</x:v>
      </x:c>
      <x:c r="E36" s="9" t="str">
        <x:v>discover-de</x:v>
      </x:c>
      <x:c r="F36" s="9" t="str">
        <x:v>OBSERVED</x:v>
      </x:c>
      <x:c r="G36" s="9" t="str">
        <x:v>VENDOR ESTIMATE</x:v>
      </x:c>
    </x:row>
    <x:row r="37" ht="48" customHeight="1">
      <x:c r="A37" s="8" t="str">
        <x:v>auto rent naxos</x:v>
      </x:c>
      <x:c r="B37" s="8" t="str">
        <x:v>DE</x:v>
      </x:c>
      <x:c r="C37" s="8" t="n">
        <x:v>0</x:v>
      </x:c>
      <x:c r="D37" s="8" t="str">
        <x:v>Named or ambiguous competing operator. Review separately, not a generic landing-page target</x:v>
      </x:c>
      <x:c r="E37" s="8" t="str">
        <x:v>discover-de</x:v>
      </x:c>
      <x:c r="F37" s="8" t="str">
        <x:v>OBSERVED</x:v>
      </x:c>
      <x:c r="G37" s="8" t="str">
        <x:v>VENDOR ESTIMATE</x:v>
      </x:c>
    </x:row>
    <x:row r="38" ht="48" customHeight="1">
      <x:c r="A38" s="9" t="str">
        <x:v>noleggio auto a giardini naxos low cost</x:v>
      </x:c>
      <x:c r="B38" s="9" t="str">
        <x:v>DE</x:v>
      </x:c>
      <x:c r="C38" s="9" t="n">
        <x:v>0</x:v>
      </x:c>
      <x:c r="D38" s="9" t="str">
        <x:v>Different destination: Giardini Naxos, Sicily</x:v>
      </x:c>
      <x:c r="E38" s="9" t="str">
        <x:v>discover-de</x:v>
      </x:c>
      <x:c r="F38" s="9" t="str">
        <x:v>OBSERVED</x:v>
      </x:c>
      <x:c r="G38" s="9" t="str">
        <x:v>VENDOR ESTIMATE</x:v>
      </x:c>
    </x:row>
    <x:row r="39" ht="48" customHeight="1">
      <x:c r="A39" s="8" t="str">
        <x:v>auto moto falcon naxos</x:v>
      </x:c>
      <x:c r="B39" s="8" t="str">
        <x:v>DE</x:v>
      </x:c>
      <x:c r="C39" s="8" t="n">
        <x:v>0</x:v>
      </x:c>
      <x:c r="D39" s="8" t="str">
        <x:v>Named or ambiguous competing operator. Review separately, not a generic landing-page target</x:v>
      </x:c>
      <x:c r="E39" s="8" t="str">
        <x:v>discover-de</x:v>
      </x:c>
      <x:c r="F39" s="8" t="str">
        <x:v>OBSERVED</x:v>
      </x:c>
      <x:c r="G39" s="8" t="str">
        <x:v>VENDOR ESTIMATE</x:v>
      </x:c>
    </x:row>
    <x:row r="40" ht="48" customHeight="1">
      <x:c r="A40" s="9" t="str">
        <x:v>noleggio auto naxos consigli</x:v>
      </x:c>
      <x:c r="B40" s="9" t="str">
        <x:v>DE</x:v>
      </x:c>
      <x:c r="C40" s="9" t="n">
        <x:v>0</x:v>
      </x:c>
      <x:c r="D40" s="9" t="str">
        <x:v>Cross-language matching-term result. Validate in its own language cohort</x:v>
      </x:c>
      <x:c r="E40" s="9" t="str">
        <x:v>discover-de</x:v>
      </x:c>
      <x:c r="F40" s="9" t="str">
        <x:v>OBSERVED</x:v>
      </x:c>
      <x:c r="G40" s="9" t="str">
        <x:v>VENDOR ESTIMATE</x:v>
      </x:c>
    </x:row>
    <x:row r="41" ht="48" customHeight="1">
      <x:c r="A41" s="8" t="str">
        <x:v>auto union car rental naxos</x:v>
      </x:c>
      <x:c r="B41" s="8" t="str">
        <x:v>DE</x:v>
      </x:c>
      <x:c r="C41" s="8" t="n">
        <x:v>0</x:v>
      </x:c>
      <x:c r="D41" s="8" t="str">
        <x:v>Named or ambiguous competing operator. Review separately, not a generic landing-page target</x:v>
      </x:c>
      <x:c r="E41" s="8" t="str">
        <x:v>discover-de</x:v>
      </x:c>
      <x:c r="F41" s="8" t="str">
        <x:v>OBSERVED</x:v>
      </x:c>
      <x:c r="G41" s="8" t="str">
        <x:v>VENDOR ESTIMATE</x:v>
      </x:c>
    </x:row>
    <x:row r="42" ht="48" customHeight="1">
      <x:c r="A42" s="9" t="str">
        <x:v>noleggio auto giardini naxos</x:v>
      </x:c>
      <x:c r="B42" s="9" t="str">
        <x:v>DE</x:v>
      </x:c>
      <x:c r="C42" s="9" t="n">
        <x:v>0</x:v>
      </x:c>
      <x:c r="D42" s="9" t="str">
        <x:v>Different destination: Giardini Naxos, Sicily</x:v>
      </x:c>
      <x:c r="E42" s="9" t="str">
        <x:v>discover-de</x:v>
      </x:c>
      <x:c r="F42" s="9" t="str">
        <x:v>OBSERVED</x:v>
      </x:c>
      <x:c r="G42" s="9" t="str">
        <x:v>VENDOR ESTIMATE</x:v>
      </x:c>
    </x:row>
    <x:row r="43" ht="48" customHeight="1">
      <x:c r="A43" s="8" t="str">
        <x:v>affitto auto giardini naxos</x:v>
      </x:c>
      <x:c r="B43" s="8" t="str">
        <x:v>DE</x:v>
      </x:c>
      <x:c r="C43" s="8" t="n">
        <x:v>0</x:v>
      </x:c>
      <x:c r="D43" s="8" t="str">
        <x:v>Different destination: Giardini Naxos, Sicily</x:v>
      </x:c>
      <x:c r="E43" s="8" t="str">
        <x:v>discover-de</x:v>
      </x:c>
      <x:c r="F43" s="8" t="str">
        <x:v>OBSERVED</x:v>
      </x:c>
      <x:c r="G43" s="8" t="str">
        <x:v>VENDOR ESTIMATE</x:v>
      </x:c>
    </x:row>
    <x:row r="44" ht="48" customHeight="1">
      <x:c r="A44" s="9" t="str">
        <x:v>naxos auto rent reviews</x:v>
      </x:c>
      <x:c r="B44" s="9" t="str">
        <x:v>DE</x:v>
      </x:c>
      <x:c r="C44" s="9" t="n">
        <x:v>0</x:v>
      </x:c>
      <x:c r="D44" s="9" t="str">
        <x:v>Named or ambiguous competing operator. Review separately, not a generic landing-page target</x:v>
      </x:c>
      <x:c r="E44" s="9" t="str">
        <x:v>discover-de</x:v>
      </x:c>
      <x:c r="F44" s="9" t="str">
        <x:v>OBSERVED</x:v>
      </x:c>
      <x:c r="G44" s="9" t="str">
        <x:v>VENDOR ESTIMATE</x:v>
      </x:c>
    </x:row>
    <x:row r="45" ht="48" customHeight="1">
      <x:c r="A45" s="8" t="str">
        <x:v>auto huren naxos</x:v>
      </x:c>
      <x:c r="B45" s="8" t="str">
        <x:v>DE</x:v>
      </x:c>
      <x:c r="C45" s="8" t="n">
        <x:v>0</x:v>
      </x:c>
      <x:c r="D45" s="8" t="str">
        <x:v>Cross-language matching-term result. Validate in its own language cohort</x:v>
      </x:c>
      <x:c r="E45" s="8" t="str">
        <x:v>discover-de</x:v>
      </x:c>
      <x:c r="F45" s="8" t="str">
        <x:v>OBSERVED</x:v>
      </x:c>
      <x:c r="G45" s="8" t="str">
        <x:v>VENDOR ESTIMATE</x:v>
      </x:c>
    </x:row>
    <x:row r="46" ht="48" customHeight="1">
      <x:c r="A46" s="9" t="str">
        <x:v>giardini naxos mietwagen</x:v>
      </x:c>
      <x:c r="B46" s="9" t="str">
        <x:v>DE</x:v>
      </x:c>
      <x:c r="C46" s="9" t="n">
        <x:v>0</x:v>
      </x:c>
      <x:c r="D46" s="9" t="str">
        <x:v>Different destination: Giardini Naxos, Sicily</x:v>
      </x:c>
      <x:c r="E46" s="9" t="str">
        <x:v>discover-de</x:v>
      </x:c>
      <x:c r="F46" s="9" t="str">
        <x:v>OBSERVED</x:v>
      </x:c>
      <x:c r="G46" s="9" t="str">
        <x:v>VENDOR ESTIMATE</x:v>
      </x:c>
    </x:row>
    <x:row r="47" ht="48" customHeight="1">
      <x:c r="A47" s="8" t="str">
        <x:v>auto tour naxos</x:v>
      </x:c>
      <x:c r="B47" s="8" t="str">
        <x:v>DE</x:v>
      </x:c>
      <x:c r="C47" s="8" t="n">
        <x:v>0</x:v>
      </x:c>
      <x:c r="D47" s="8" t="str">
        <x:v>Named or ambiguous competing operator. Review separately, not a generic landing-page target</x:v>
      </x:c>
      <x:c r="E47" s="8" t="str">
        <x:v>discover-de</x:v>
      </x:c>
      <x:c r="F47" s="8" t="str">
        <x:v>OBSERVED</x:v>
      </x:c>
      <x:c r="G47" s="8" t="str">
        <x:v>VENDOR ESTIMATE</x:v>
      </x:c>
    </x:row>
    <x:row r="48" ht="48" customHeight="1">
      <x:c r="A48" s="9" t="str">
        <x:v>noleggio auto a naxos</x:v>
      </x:c>
      <x:c r="B48" s="9" t="str">
        <x:v>DE</x:v>
      </x:c>
      <x:c r="C48" s="9" t="n">
        <x:v>0</x:v>
      </x:c>
      <x:c r="D48" s="9" t="str">
        <x:v>Cross-language matching-term result. Validate in its own language cohort</x:v>
      </x:c>
      <x:c r="E48" s="9" t="str">
        <x:v>discover-de</x:v>
      </x:c>
      <x:c r="F48" s="9" t="str">
        <x:v>OBSERVED</x:v>
      </x:c>
      <x:c r="G48" s="9" t="str">
        <x:v>VENDOR ESTIMATE</x:v>
      </x:c>
    </x:row>
    <x:row r="49" ht="48" customHeight="1">
      <x:c r="A49" s="8" t="str">
        <x:v>auto noleggio giardini naxos</x:v>
      </x:c>
      <x:c r="B49" s="8" t="str">
        <x:v>DE</x:v>
      </x:c>
      <x:c r="C49" s="8" t="n">
        <x:v>0</x:v>
      </x:c>
      <x:c r="D49" s="8" t="str">
        <x:v>Different destination: Giardini Naxos, Sicily</x:v>
      </x:c>
      <x:c r="E49" s="8" t="str">
        <x:v>discover-de</x:v>
      </x:c>
      <x:c r="F49" s="8" t="str">
        <x:v>OBSERVED</x:v>
      </x:c>
      <x:c r="G49" s="8" t="str">
        <x:v>VENDOR ESTIMATE</x:v>
      </x:c>
    </x:row>
    <x:row r="50" ht="48" customHeight="1">
      <x:c r="A50" s="9" t="str">
        <x:v>noleggio auto naxos</x:v>
      </x:c>
      <x:c r="B50" s="9" t="str">
        <x:v>DE</x:v>
      </x:c>
      <x:c r="C50" s="9" t="n">
        <x:v>0</x:v>
      </x:c>
      <x:c r="D50" s="9" t="str">
        <x:v>Cross-language matching-term result. Validate in its own language cohort</x:v>
      </x:c>
      <x:c r="E50" s="9" t="str">
        <x:v>discover-de</x:v>
      </x:c>
      <x:c r="F50" s="9" t="str">
        <x:v>OBSERVED</x:v>
      </x:c>
      <x:c r="G50" s="9" t="str">
        <x:v>VENDOR ESTIMATE</x:v>
      </x:c>
    </x:row>
    <x:row r="51" ht="48" customHeight="1">
      <x:c r="A51" s="8" t="str">
        <x:v>auto union naxos</x:v>
      </x:c>
      <x:c r="B51" s="8" t="str">
        <x:v>DE</x:v>
      </x:c>
      <x:c r="C51" s="8" t="n">
        <x:v>0</x:v>
      </x:c>
      <x:c r="D51" s="8" t="str">
        <x:v>Named or ambiguous competing operator. Review separately, not a generic landing-page target</x:v>
      </x:c>
      <x:c r="E51" s="8" t="str">
        <x:v>discover-de</x:v>
      </x:c>
      <x:c r="F51" s="8" t="str">
        <x:v>OBSERVED</x:v>
      </x:c>
      <x:c r="G51" s="8" t="str">
        <x:v>VENDOR ESTIMATE</x:v>
      </x:c>
    </x:row>
    <x:row r="52" ht="48" customHeight="1">
      <x:c r="A52" s="9" t="str">
        <x:v>auto tour rentals naxos</x:v>
      </x:c>
      <x:c r="B52" s="9" t="str">
        <x:v>DE</x:v>
      </x:c>
      <x:c r="C52" s="9" t="n">
        <x:v>0</x:v>
      </x:c>
      <x:c r="D52" s="9" t="str">
        <x:v>Named or ambiguous competing operator. Review separately, not a generic landing-page target</x:v>
      </x:c>
      <x:c r="E52" s="9" t="str">
        <x:v>discover-de</x:v>
      </x:c>
      <x:c r="F52" s="9" t="str">
        <x:v>OBSERVED</x:v>
      </x:c>
      <x:c r="G52" s="9" t="str">
        <x:v>VENDOR ESTIMATE</x:v>
      </x:c>
    </x:row>
    <x:row r="53" ht="48" customHeight="1">
      <x:c r="A53" s="8" t="str">
        <x:v>auto tour rent a car naxos</x:v>
      </x:c>
      <x:c r="B53" s="8" t="str">
        <x:v>DE</x:v>
      </x:c>
      <x:c r="C53" s="8" t="n">
        <x:v>0</x:v>
      </x:c>
      <x:c r="D53" s="8" t="str">
        <x:v>Named or ambiguous competing operator. Review separately, not a generic landing-page target</x:v>
      </x:c>
      <x:c r="E53" s="8" t="str">
        <x:v>discover-de</x:v>
      </x:c>
      <x:c r="F53" s="8" t="str">
        <x:v>OBSERVED</x:v>
      </x:c>
      <x:c r="G53" s="8" t="str">
        <x:v>VENDOR ESTIMATE</x:v>
      </x:c>
    </x:row>
    <x:row r="54" ht="48" customHeight="1">
      <x:c r="A54" s="9" t="str">
        <x:v>noleggio auto naxos porto</x:v>
      </x:c>
      <x:c r="B54" s="9" t="str">
        <x:v>DE</x:v>
      </x:c>
      <x:c r="C54" s="9" t="n">
        <x:v>0</x:v>
      </x:c>
      <x:c r="D54" s="9" t="str">
        <x:v>Cross-language matching-term result. Validate in its own language cohort</x:v>
      </x:c>
      <x:c r="E54" s="9" t="str">
        <x:v>discover-de</x:v>
      </x:c>
      <x:c r="F54" s="9" t="str">
        <x:v>OBSERVED</x:v>
      </x:c>
      <x:c r="G54" s="9" t="str">
        <x:v>VENDOR ESTIMATE</x:v>
      </x:c>
    </x:row>
    <x:row r="55" ht="48" customHeight="1">
      <x:c r="A55" s="8" t="str">
        <x:v>naxos noleggio auto</x:v>
      </x:c>
      <x:c r="B55" s="8" t="str">
        <x:v>DE</x:v>
      </x:c>
      <x:c r="C55" s="8" t="n">
        <x:v>0</x:v>
      </x:c>
      <x:c r="D55" s="8" t="str">
        <x:v>Cross-language matching-term result. Validate in its own language cohort</x:v>
      </x:c>
      <x:c r="E55" s="8" t="str">
        <x:v>discover-de</x:v>
      </x:c>
      <x:c r="F55" s="8" t="str">
        <x:v>OBSERVED</x:v>
      </x:c>
      <x:c r="G55" s="8" t="str">
        <x:v>VENDOR ESTIMATE</x:v>
      </x:c>
    </x:row>
  </x:sheetData>
  <x:mergeCells>
    <x:mergeCell ref="A1:E1"/>
    <x:mergeCell ref="A2:F2"/>
  </x:mergeCells>
  <x:conditionalFormatting sqref="F5:F55">
    <x:cfRule type="containsText" dxfId="20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9455c850853745cf"/>
  </x:tableParts>
</x:worksheet>
</file>

<file path=xl/worksheets/sheet22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44" hidden="0" customWidth="1"/>
    <x:col min="3" max="3" width="22" hidden="0" customWidth="1"/>
    <x:col min="4" max="4" width="23" hidden="0" customWidth="1"/>
    <x:col min="5" max="5" width="32" hidden="0" customWidth="1"/>
    <x:col min="6" max="6" width="24" hidden="0" customWidth="1"/>
    <x:col min="7" max="7" width="28" hidden="0" customWidth="1"/>
    <x:col min="8" max="8" width="98" hidden="0" customWidth="1"/>
  </x:cols>
  <x:sheetData>
    <x:row r="1" ht="34" customHeight="1">
      <x:c r="A1" s="4" t="str">
        <x:v>Seasonality</x:v>
      </x:c>
      <x:c r="B1" s="3"/>
      <x:c r="C1" s="3"/>
      <x:c r="D1" s="3"/>
      <x:c r="E1" s="3"/>
      <x:c r="F1" s="3"/>
      <x:c r="G1" s="3"/>
      <x:c r="H1" s="3"/>
    </x:row>
    <x:row r="2" ht="44" customHeight="1">
      <x:c r="A2" s="5" t="str">
        <x:v>Monthly vendor histories from Sep2025–Aug2026. A 22,384 May value inflates the UK phrase average. Italy is a separate control, not evidence about the UK anomaly cause.</x:v>
      </x:c>
      <x:c r="B2" s="3"/>
      <x:c r="C2" s="3"/>
      <x:c r="D2" s="3"/>
      <x:c r="E2" s="3"/>
      <x:c r="F2" s="3"/>
      <x:c r="G2" s="3"/>
      <x:c r="H2" s="3"/>
    </x:row>
    <x:row r="3" ht="9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7" t="str">
        <x:v>Country</x:v>
      </x:c>
      <x:c r="B4" s="7" t="str">
        <x:v>Keyword</x:v>
      </x:c>
      <x:c r="C4" s="7" t="str">
        <x:v>Month</x:v>
      </x:c>
      <x:c r="D4" s="7" t="str">
        <x:v>Estimated searches</x:v>
      </x:c>
      <x:c r="E4" s="7" t="str">
        <x:v>Source ID</x:v>
      </x:c>
      <x:c r="F4" s="7" t="str">
        <x:v>Evidence status</x:v>
      </x:c>
      <x:c r="G4" s="7" t="str">
        <x:v>Metric type</x:v>
      </x:c>
      <x:c r="H4" s="7" t="str">
        <x:v>Interpretation</x:v>
      </x:c>
    </x:row>
    <x:row r="5" ht="48" customHeight="1">
      <x:c r="A5" s="8" t="str">
        <x:v>GB</x:v>
      </x:c>
      <x:c r="B5" s="8" t="str">
        <x:v>car rental in naxos</x:v>
      </x:c>
      <x:c r="C5" s="8" t="str">
        <x:v>2025-09-01</x:v>
      </x:c>
      <x:c r="D5" s="8" t="n">
        <x:v>0</x:v>
      </x:c>
      <x:c r="E5" s="8" t="str">
        <x:v>seasonality-gb</x:v>
      </x:c>
      <x:c r="F5" s="8" t="str">
        <x:v>OBSERVED</x:v>
      </x:c>
      <x:c r="G5" s="8" t="str">
        <x:v>VENDOR ESTIMATE</x:v>
      </x:c>
      <x:c r="H5" s="8" t="str">
        <x:v>Single phrase sample, not total market seasonality</x:v>
      </x:c>
    </x:row>
    <x:row r="6" ht="48" customHeight="1">
      <x:c r="A6" s="9" t="str">
        <x:v>GB</x:v>
      </x:c>
      <x:c r="B6" s="9" t="str">
        <x:v>car rental in naxos</x:v>
      </x:c>
      <x:c r="C6" s="9" t="str">
        <x:v>2025-10-01</x:v>
      </x:c>
      <x:c r="D6" s="9" t="n">
        <x:v>0</x:v>
      </x:c>
      <x:c r="E6" s="9" t="str">
        <x:v>seasonality-gb</x:v>
      </x:c>
      <x:c r="F6" s="9" t="str">
        <x:v>OBSERVED</x:v>
      </x:c>
      <x:c r="G6" s="9" t="str">
        <x:v>VENDOR ESTIMATE</x:v>
      </x:c>
      <x:c r="H6" s="9" t="str">
        <x:v>Single phrase sample, not total market seasonality</x:v>
      </x:c>
    </x:row>
    <x:row r="7" ht="48" customHeight="1">
      <x:c r="A7" s="8" t="str">
        <x:v>GB</x:v>
      </x:c>
      <x:c r="B7" s="8" t="str">
        <x:v>car rental in naxos</x:v>
      </x:c>
      <x:c r="C7" s="8" t="str">
        <x:v>2025-11-01</x:v>
      </x:c>
      <x:c r="D7" s="8" t="n">
        <x:v>0</x:v>
      </x:c>
      <x:c r="E7" s="8" t="str">
        <x:v>seasonality-gb</x:v>
      </x:c>
      <x:c r="F7" s="8" t="str">
        <x:v>OBSERVED</x:v>
      </x:c>
      <x:c r="G7" s="8" t="str">
        <x:v>VENDOR ESTIMATE</x:v>
      </x:c>
      <x:c r="H7" s="8" t="str">
        <x:v>Single phrase sample, not total market seasonality</x:v>
      </x:c>
    </x:row>
    <x:row r="8" ht="48" customHeight="1">
      <x:c r="A8" s="9" t="str">
        <x:v>GB</x:v>
      </x:c>
      <x:c r="B8" s="9" t="str">
        <x:v>car rental in naxos</x:v>
      </x:c>
      <x:c r="C8" s="9" t="str">
        <x:v>2025-12-01</x:v>
      </x:c>
      <x:c r="D8" s="9" t="n">
        <x:v>12</x:v>
      </x:c>
      <x:c r="E8" s="9" t="str">
        <x:v>seasonality-gb</x:v>
      </x:c>
      <x:c r="F8" s="9" t="str">
        <x:v>OBSERVED</x:v>
      </x:c>
      <x:c r="G8" s="9" t="str">
        <x:v>VENDOR ESTIMATE</x:v>
      </x:c>
      <x:c r="H8" s="9" t="str">
        <x:v>Single phrase sample, not total market seasonality</x:v>
      </x:c>
    </x:row>
    <x:row r="9" ht="48" customHeight="1">
      <x:c r="A9" s="8" t="str">
        <x:v>GB</x:v>
      </x:c>
      <x:c r="B9" s="8" t="str">
        <x:v>car rental in naxos</x:v>
      </x:c>
      <x:c r="C9" s="8" t="str">
        <x:v>2026-01-01</x:v>
      </x:c>
      <x:c r="D9" s="8" t="n">
        <x:v>41</x:v>
      </x:c>
      <x:c r="E9" s="8" t="str">
        <x:v>seasonality-gb</x:v>
      </x:c>
      <x:c r="F9" s="8" t="str">
        <x:v>OBSERVED</x:v>
      </x:c>
      <x:c r="G9" s="8" t="str">
        <x:v>VENDOR ESTIMATE</x:v>
      </x:c>
      <x:c r="H9" s="8" t="str">
        <x:v>Single phrase sample, not total market seasonality</x:v>
      </x:c>
    </x:row>
    <x:row r="10" ht="48" customHeight="1">
      <x:c r="A10" s="9" t="str">
        <x:v>GB</x:v>
      </x:c>
      <x:c r="B10" s="9" t="str">
        <x:v>car rental in naxos</x:v>
      </x:c>
      <x:c r="C10" s="9" t="str">
        <x:v>2026-02-01</x:v>
      </x:c>
      <x:c r="D10" s="9" t="n">
        <x:v>41</x:v>
      </x:c>
      <x:c r="E10" s="9" t="str">
        <x:v>seasonality-gb</x:v>
      </x:c>
      <x:c r="F10" s="9" t="str">
        <x:v>OBSERVED</x:v>
      </x:c>
      <x:c r="G10" s="9" t="str">
        <x:v>VENDOR ESTIMATE</x:v>
      </x:c>
      <x:c r="H10" s="9" t="str">
        <x:v>Single phrase sample, not total market seasonality</x:v>
      </x:c>
    </x:row>
    <x:row r="11" ht="48" customHeight="1">
      <x:c r="A11" s="8" t="str">
        <x:v>GB</x:v>
      </x:c>
      <x:c r="B11" s="8" t="str">
        <x:v>car rental in naxos</x:v>
      </x:c>
      <x:c r="C11" s="8" t="str">
        <x:v>2026-03-01</x:v>
      </x:c>
      <x:c r="D11" s="8" t="n">
        <x:v>50</x:v>
      </x:c>
      <x:c r="E11" s="8" t="str">
        <x:v>seasonality-gb</x:v>
      </x:c>
      <x:c r="F11" s="8" t="str">
        <x:v>OBSERVED</x:v>
      </x:c>
      <x:c r="G11" s="8" t="str">
        <x:v>VENDOR ESTIMATE</x:v>
      </x:c>
      <x:c r="H11" s="8" t="str">
        <x:v>Single phrase sample, not total market seasonality</x:v>
      </x:c>
    </x:row>
    <x:row r="12" ht="48" customHeight="1">
      <x:c r="A12" s="9" t="str">
        <x:v>GB</x:v>
      </x:c>
      <x:c r="B12" s="9" t="str">
        <x:v>car rental in naxos</x:v>
      </x:c>
      <x:c r="C12" s="9" t="str">
        <x:v>2026-04-01</x:v>
      </x:c>
      <x:c r="D12" s="9" t="n">
        <x:v>57</x:v>
      </x:c>
      <x:c r="E12" s="9" t="str">
        <x:v>seasonality-gb</x:v>
      </x:c>
      <x:c r="F12" s="9" t="str">
        <x:v>OBSERVED</x:v>
      </x:c>
      <x:c r="G12" s="9" t="str">
        <x:v>VENDOR ESTIMATE</x:v>
      </x:c>
      <x:c r="H12" s="9" t="str">
        <x:v>Single phrase sample, not total market seasonality</x:v>
      </x:c>
    </x:row>
    <x:row r="13" ht="48" customHeight="1">
      <x:c r="A13" s="8" t="str">
        <x:v>GB</x:v>
      </x:c>
      <x:c r="B13" s="8" t="str">
        <x:v>car rental in naxos</x:v>
      </x:c>
      <x:c r="C13" s="8" t="str">
        <x:v>2026-05-01</x:v>
      </x:c>
      <x:c r="D13" s="8" t="n">
        <x:v>22384</x:v>
      </x:c>
      <x:c r="E13" s="8" t="str">
        <x:v>seasonality-gb</x:v>
      </x:c>
      <x:c r="F13" s="8" t="str">
        <x:v>OBSERVED</x:v>
      </x:c>
      <x:c r="G13" s="8" t="str">
        <x:v>VENDOR ESTIMATE</x:v>
      </x:c>
      <x:c r="H13" s="8" t="str">
        <x:v>Anomalous spike; do not treat as stable seasonal demand</x:v>
      </x:c>
    </x:row>
    <x:row r="14" ht="48" customHeight="1">
      <x:c r="A14" s="9" t="str">
        <x:v>GB</x:v>
      </x:c>
      <x:c r="B14" s="9" t="str">
        <x:v>car rental in naxos</x:v>
      </x:c>
      <x:c r="C14" s="9" t="str">
        <x:v>2026-06-01</x:v>
      </x:c>
      <x:c r="D14" s="9" t="n">
        <x:v>118</x:v>
      </x:c>
      <x:c r="E14" s="9" t="str">
        <x:v>seasonality-gb</x:v>
      </x:c>
      <x:c r="F14" s="9" t="str">
        <x:v>OBSERVED</x:v>
      </x:c>
      <x:c r="G14" s="9" t="str">
        <x:v>VENDOR ESTIMATE</x:v>
      </x:c>
      <x:c r="H14" s="9" t="str">
        <x:v>Single phrase sample, not total market seasonality</x:v>
      </x:c>
    </x:row>
    <x:row r="15" ht="48" customHeight="1">
      <x:c r="A15" s="8" t="str">
        <x:v>GB</x:v>
      </x:c>
      <x:c r="B15" s="8" t="str">
        <x:v>car rental in naxos</x:v>
      </x:c>
      <x:c r="C15" s="8" t="str">
        <x:v>2026-07-01</x:v>
      </x:c>
      <x:c r="D15" s="8" t="n">
        <x:v>119</x:v>
      </x:c>
      <x:c r="E15" s="8" t="str">
        <x:v>seasonality-gb</x:v>
      </x:c>
      <x:c r="F15" s="8" t="str">
        <x:v>OBSERVED</x:v>
      </x:c>
      <x:c r="G15" s="8" t="str">
        <x:v>VENDOR ESTIMATE</x:v>
      </x:c>
      <x:c r="H15" s="8" t="str">
        <x:v>Single phrase sample, not total market seasonality</x:v>
      </x:c>
    </x:row>
    <x:row r="16" ht="48" customHeight="1">
      <x:c r="A16" s="9" t="str">
        <x:v>GB</x:v>
      </x:c>
      <x:c r="B16" s="9" t="str">
        <x:v>car rental in naxos</x:v>
      </x:c>
      <x:c r="C16" s="9" t="str">
        <x:v>2026-08-01</x:v>
      </x:c>
      <x:c r="D16" s="9" t="n">
        <x:v>116</x:v>
      </x:c>
      <x:c r="E16" s="9" t="str">
        <x:v>seasonality-gb</x:v>
      </x:c>
      <x:c r="F16" s="9" t="str">
        <x:v>OBSERVED</x:v>
      </x:c>
      <x:c r="G16" s="9" t="str">
        <x:v>VENDOR ESTIMATE</x:v>
      </x:c>
      <x:c r="H16" s="9" t="str">
        <x:v>Single phrase sample, not total market seasonality</x:v>
      </x:c>
    </x:row>
    <x:row r="17" ht="48" customHeight="1">
      <x:c r="A17" s="8" t="str">
        <x:v>IT</x:v>
      </x:c>
      <x:c r="B17" s="8" t="str">
        <x:v>noleggio auto naxos</x:v>
      </x:c>
      <x:c r="C17" s="8" t="str">
        <x:v>2025-09-01</x:v>
      </x:c>
      <x:c r="D17" s="8" t="n">
        <x:v>279</x:v>
      </x:c>
      <x:c r="E17" s="8" t="str">
        <x:v>seasonality-control</x:v>
      </x:c>
      <x:c r="F17" s="8" t="str">
        <x:v>OBSERVED</x:v>
      </x:c>
      <x:c r="G17" s="8" t="str">
        <x:v>VENDOR ESTIMATE</x:v>
      </x:c>
      <x:c r="H17" s="8" t="str">
        <x:v>Single phrase sample, not total market seasonality</x:v>
      </x:c>
    </x:row>
    <x:row r="18" ht="48" customHeight="1">
      <x:c r="A18" s="9" t="str">
        <x:v>IT</x:v>
      </x:c>
      <x:c r="B18" s="9" t="str">
        <x:v>noleggio auto naxos</x:v>
      </x:c>
      <x:c r="C18" s="9" t="str">
        <x:v>2025-10-01</x:v>
      </x:c>
      <x:c r="D18" s="9" t="n">
        <x:v>92</x:v>
      </x:c>
      <x:c r="E18" s="9" t="str">
        <x:v>seasonality-control</x:v>
      </x:c>
      <x:c r="F18" s="9" t="str">
        <x:v>OBSERVED</x:v>
      </x:c>
      <x:c r="G18" s="9" t="str">
        <x:v>VENDOR ESTIMATE</x:v>
      </x:c>
      <x:c r="H18" s="9" t="str">
        <x:v>Single phrase sample, not total market seasonality</x:v>
      </x:c>
    </x:row>
    <x:row r="19" ht="48" customHeight="1">
      <x:c r="A19" s="8" t="str">
        <x:v>IT</x:v>
      </x:c>
      <x:c r="B19" s="8" t="str">
        <x:v>noleggio auto naxos</x:v>
      </x:c>
      <x:c r="C19" s="8" t="str">
        <x:v>2025-11-01</x:v>
      </x:c>
      <x:c r="D19" s="8" t="n">
        <x:v>130</x:v>
      </x:c>
      <x:c r="E19" s="8" t="str">
        <x:v>seasonality-control</x:v>
      </x:c>
      <x:c r="F19" s="8" t="str">
        <x:v>OBSERVED</x:v>
      </x:c>
      <x:c r="G19" s="8" t="str">
        <x:v>VENDOR ESTIMATE</x:v>
      </x:c>
      <x:c r="H19" s="8" t="str">
        <x:v>Single phrase sample, not total market seasonality</x:v>
      </x:c>
    </x:row>
    <x:row r="20" ht="48" customHeight="1">
      <x:c r="A20" s="9" t="str">
        <x:v>IT</x:v>
      </x:c>
      <x:c r="B20" s="9" t="str">
        <x:v>noleggio auto naxos</x:v>
      </x:c>
      <x:c r="C20" s="9" t="str">
        <x:v>2025-12-01</x:v>
      </x:c>
      <x:c r="D20" s="9" t="n">
        <x:v>131</x:v>
      </x:c>
      <x:c r="E20" s="9" t="str">
        <x:v>seasonality-control</x:v>
      </x:c>
      <x:c r="F20" s="9" t="str">
        <x:v>OBSERVED</x:v>
      </x:c>
      <x:c r="G20" s="9" t="str">
        <x:v>VENDOR ESTIMATE</x:v>
      </x:c>
      <x:c r="H20" s="9" t="str">
        <x:v>Single phrase sample, not total market seasonality</x:v>
      </x:c>
    </x:row>
    <x:row r="21" ht="48" customHeight="1">
      <x:c r="A21" s="8" t="str">
        <x:v>IT</x:v>
      </x:c>
      <x:c r="B21" s="8" t="str">
        <x:v>noleggio auto naxos</x:v>
      </x:c>
      <x:c r="C21" s="8" t="str">
        <x:v>2026-01-01</x:v>
      </x:c>
      <x:c r="D21" s="8" t="n">
        <x:v>530</x:v>
      </x:c>
      <x:c r="E21" s="8" t="str">
        <x:v>seasonality-control</x:v>
      </x:c>
      <x:c r="F21" s="8" t="str">
        <x:v>OBSERVED</x:v>
      </x:c>
      <x:c r="G21" s="8" t="str">
        <x:v>VENDOR ESTIMATE</x:v>
      </x:c>
      <x:c r="H21" s="8" t="str">
        <x:v>Single phrase sample, not total market seasonality</x:v>
      </x:c>
    </x:row>
    <x:row r="22" ht="48" customHeight="1">
      <x:c r="A22" s="9" t="str">
        <x:v>IT</x:v>
      </x:c>
      <x:c r="B22" s="9" t="str">
        <x:v>noleggio auto naxos</x:v>
      </x:c>
      <x:c r="C22" s="9" t="str">
        <x:v>2026-02-01</x:v>
      </x:c>
      <x:c r="D22" s="9" t="n">
        <x:v>678</x:v>
      </x:c>
      <x:c r="E22" s="9" t="str">
        <x:v>seasonality-control</x:v>
      </x:c>
      <x:c r="F22" s="9" t="str">
        <x:v>OBSERVED</x:v>
      </x:c>
      <x:c r="G22" s="9" t="str">
        <x:v>VENDOR ESTIMATE</x:v>
      </x:c>
      <x:c r="H22" s="9" t="str">
        <x:v>Single phrase sample, not total market seasonality</x:v>
      </x:c>
    </x:row>
    <x:row r="23" ht="48" customHeight="1">
      <x:c r="A23" s="8" t="str">
        <x:v>IT</x:v>
      </x:c>
      <x:c r="B23" s="8" t="str">
        <x:v>noleggio auto naxos</x:v>
      </x:c>
      <x:c r="C23" s="8" t="str">
        <x:v>2026-03-01</x:v>
      </x:c>
      <x:c r="D23" s="8" t="n">
        <x:v>524</x:v>
      </x:c>
      <x:c r="E23" s="8" t="str">
        <x:v>seasonality-control</x:v>
      </x:c>
      <x:c r="F23" s="8" t="str">
        <x:v>OBSERVED</x:v>
      </x:c>
      <x:c r="G23" s="8" t="str">
        <x:v>VENDOR ESTIMATE</x:v>
      </x:c>
      <x:c r="H23" s="8" t="str">
        <x:v>Single phrase sample, not total market seasonality</x:v>
      </x:c>
    </x:row>
    <x:row r="24" ht="48" customHeight="1">
      <x:c r="A24" s="9" t="str">
        <x:v>IT</x:v>
      </x:c>
      <x:c r="B24" s="9" t="str">
        <x:v>noleggio auto naxos</x:v>
      </x:c>
      <x:c r="C24" s="9" t="str">
        <x:v>2026-04-01</x:v>
      </x:c>
      <x:c r="D24" s="9" t="n">
        <x:v>387</x:v>
      </x:c>
      <x:c r="E24" s="9" t="str">
        <x:v>seasonality-control</x:v>
      </x:c>
      <x:c r="F24" s="9" t="str">
        <x:v>OBSERVED</x:v>
      </x:c>
      <x:c r="G24" s="9" t="str">
        <x:v>VENDOR ESTIMATE</x:v>
      </x:c>
      <x:c r="H24" s="9" t="str">
        <x:v>Single phrase sample, not total market seasonality</x:v>
      </x:c>
    </x:row>
    <x:row r="25" ht="48" customHeight="1">
      <x:c r="A25" s="8" t="str">
        <x:v>IT</x:v>
      </x:c>
      <x:c r="B25" s="8" t="str">
        <x:v>noleggio auto naxos</x:v>
      </x:c>
      <x:c r="C25" s="8" t="str">
        <x:v>2026-05-01</x:v>
      </x:c>
      <x:c r="D25" s="8" t="n">
        <x:v>550</x:v>
      </x:c>
      <x:c r="E25" s="8" t="str">
        <x:v>seasonality-control</x:v>
      </x:c>
      <x:c r="F25" s="8" t="str">
        <x:v>OBSERVED</x:v>
      </x:c>
      <x:c r="G25" s="8" t="str">
        <x:v>VENDOR ESTIMATE</x:v>
      </x:c>
      <x:c r="H25" s="8" t="str">
        <x:v>Single phrase sample, not total market seasonality</x:v>
      </x:c>
    </x:row>
    <x:row r="26" ht="48" customHeight="1">
      <x:c r="A26" s="9" t="str">
        <x:v>IT</x:v>
      </x:c>
      <x:c r="B26" s="9" t="str">
        <x:v>noleggio auto naxos</x:v>
      </x:c>
      <x:c r="C26" s="9" t="str">
        <x:v>2026-06-01</x:v>
      </x:c>
      <x:c r="D26" s="9" t="n">
        <x:v>994</x:v>
      </x:c>
      <x:c r="E26" s="9" t="str">
        <x:v>seasonality-control</x:v>
      </x:c>
      <x:c r="F26" s="9" t="str">
        <x:v>OBSERVED</x:v>
      </x:c>
      <x:c r="G26" s="9" t="str">
        <x:v>VENDOR ESTIMATE</x:v>
      </x:c>
      <x:c r="H26" s="9" t="str">
        <x:v>Single phrase sample, not total market seasonality</x:v>
      </x:c>
    </x:row>
    <x:row r="27" ht="48" customHeight="1">
      <x:c r="A27" s="8" t="str">
        <x:v>IT</x:v>
      </x:c>
      <x:c r="B27" s="8" t="str">
        <x:v>noleggio auto naxos</x:v>
      </x:c>
      <x:c r="C27" s="8" t="str">
        <x:v>2026-07-01</x:v>
      </x:c>
      <x:c r="D27" s="8" t="n">
        <x:v>855</x:v>
      </x:c>
      <x:c r="E27" s="8" t="str">
        <x:v>seasonality-control</x:v>
      </x:c>
      <x:c r="F27" s="8" t="str">
        <x:v>OBSERVED</x:v>
      </x:c>
      <x:c r="G27" s="8" t="str">
        <x:v>VENDOR ESTIMATE</x:v>
      </x:c>
      <x:c r="H27" s="8" t="str">
        <x:v>Single phrase sample, not total market seasonality</x:v>
      </x:c>
    </x:row>
    <x:row r="28" ht="48" customHeight="1">
      <x:c r="A28" s="9" t="str">
        <x:v>IT</x:v>
      </x:c>
      <x:c r="B28" s="9" t="str">
        <x:v>noleggio auto naxos</x:v>
      </x:c>
      <x:c r="C28" s="9" t="str">
        <x:v>2026-08-01</x:v>
      </x:c>
      <x:c r="D28" s="9" t="n">
        <x:v>879</x:v>
      </x:c>
      <x:c r="E28" s="9" t="str">
        <x:v>seasonality-control</x:v>
      </x:c>
      <x:c r="F28" s="9" t="str">
        <x:v>OBSERVED</x:v>
      </x:c>
      <x:c r="G28" s="9" t="str">
        <x:v>VENDOR ESTIMATE</x:v>
      </x:c>
      <x:c r="H28" s="9" t="str">
        <x:v>Single phrase sample, not total market seasonality</x:v>
      </x:c>
    </x:row>
  </x:sheetData>
  <x:mergeCells>
    <x:mergeCell ref="A1:E1"/>
    <x:mergeCell ref="A2:F2"/>
  </x:mergeCells>
  <x:conditionalFormatting sqref="F5:F28">
    <x:cfRule type="containsText" dxfId="21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970d5a5394274927"/>
  </x:tableParts>
</x:worksheet>
</file>

<file path=xl/worksheets/sheet23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5" hidden="0" customWidth="1"/>
    <x:col min="2" max="2" width="16" hidden="0" customWidth="1"/>
    <x:col min="3" max="3" width="25" hidden="0" customWidth="1"/>
    <x:col min="4" max="4" width="29" hidden="0" customWidth="1"/>
    <x:col min="5" max="5" width="30" hidden="0" customWidth="1"/>
    <x:col min="6" max="6" width="32" hidden="0" customWidth="1"/>
    <x:col min="7" max="7" width="44" hidden="0" customWidth="1"/>
    <x:col min="8" max="8" width="48" hidden="0" customWidth="1"/>
    <x:col min="9" max="9" width="75" hidden="0" customWidth="1"/>
  </x:cols>
  <x:sheetData>
    <x:row r="1" ht="34" customHeight="1">
      <x:c r="A1" s="4" t="str">
        <x:v>Scoring Inputs</x:v>
      </x:c>
      <x:c r="B1" s="3"/>
      <x:c r="C1" s="3"/>
      <x:c r="D1" s="3"/>
      <x:c r="E1" s="3"/>
      <x:c r="F1" s="3"/>
      <x:c r="G1" s="3"/>
      <x:c r="H1" s="3"/>
      <x:c r="I1" s="3"/>
    </x:row>
    <x:row r="2" ht="44" customHeight="1">
      <x:c r="A2" s="5" t="str">
        <x:v>Editable strategic rubric. Values are analyst judgements, not engine metrics. Missing current momentum remains blank. Scores are partial contributions out of100, with coverage shown.</x:v>
      </x:c>
      <x:c r="B2" s="3"/>
      <x:c r="C2" s="3"/>
      <x:c r="D2" s="3"/>
      <x:c r="E2" s="3"/>
      <x:c r="F2" s="3"/>
      <x:c r="G2" s="3"/>
      <x:c r="H2" s="3"/>
      <x:c r="I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42" customHeight="1">
      <x:c r="A4" s="7" t="str">
        <x:v>Component</x:v>
      </x:c>
      <x:c r="B4" s="7" t="str">
        <x:v>Weight</x:v>
      </x:c>
      <x:c r="C4" s="7" t="str">
        <x:v>0</x:v>
      </x:c>
      <x:c r="D4" s="7" t="str">
        <x:v>1</x:v>
      </x:c>
      <x:c r="E4" s="7" t="str">
        <x:v>2</x:v>
      </x:c>
      <x:c r="F4" s="7" t="str">
        <x:v>3</x:v>
      </x:c>
      <x:c r="G4" s="7" t="str">
        <x:v>4</x:v>
      </x:c>
      <x:c r="H4" s="7" t="str">
        <x:v>5</x:v>
      </x:c>
      <x:c r="I4" s="7" t="str">
        <x:v>Input rule</x:v>
      </x:c>
    </x:row>
    <x:row r="5" ht="48" customHeight="1">
      <x:c r="A5" s="8" t="str">
        <x:v>Business value</x:v>
      </x:c>
      <x:c r="B5" s="21" t="n">
        <x:v>0.3</x:v>
      </x:c>
      <x:c r="C5" s="8" t="str">
        <x:v>No fit</x:v>
      </x:c>
      <x:c r="D5" s="8" t="str">
        <x:v>Misaligned</x:v>
      </x:c>
      <x:c r="E5" s="8" t="str">
        <x:v>Adjacent non-offer</x:v>
      </x:c>
      <x:c r="F5" s="8" t="str">
        <x:v>Assists planning</x:v>
      </x:c>
      <x:c r="G5" s="8" t="str">
        <x:v>Qualified consideration</x:v>
      </x:c>
      <x:c r="H5" s="8" t="str">
        <x:v>Direct rental decision</x:v>
      </x:c>
      <x:c r="I5" s="8" t="str">
        <x:v>Judgement from actual offering</x:v>
      </x:c>
    </x:row>
    <x:row r="6" ht="48" customHeight="1">
      <x:c r="A6" s="9" t="str">
        <x:v>SERP and intent fit</x:v>
      </x:c>
      <x:c r="B6" s="22" t="n">
        <x:v>0.2</x:v>
      </x:c>
      <x:c r="C6" s="9" t="str">
        <x:v>Mismatch</x:v>
      </x:c>
      <x:c r="D6" s="9" t="str">
        <x:v>Wrong user task</x:v>
      </x:c>
      <x:c r="E6" s="9" t="str">
        <x:v>Ambiguous</x:v>
      </x:c>
      <x:c r="F6" s="9" t="str">
        <x:v>Plausible</x:v>
      </x:c>
      <x:c r="G6" s="9" t="str">
        <x:v>Strong task/route fit</x:v>
      </x:c>
      <x:c r="H6" s="9" t="str">
        <x:v>Direct observed page-type match</x:v>
      </x:c>
      <x:c r="I6" s="9" t="str">
        <x:v>Sampled Google results when available</x:v>
      </x:c>
    </x:row>
    <x:row r="7" ht="48" customHeight="1">
      <x:c r="A7" s="8" t="str">
        <x:v>Existing momentum</x:v>
      </x:c>
      <x:c r="B7" s="21" t="n">
        <x:v>0.15</x:v>
      </x:c>
      <x:c r="C7" s="8" t="str">
        <x:v>Verified no momentum</x:v>
      </x:c>
      <x:c r="D7" s="8" t="str">
        <x:v>Weak measured visibility</x:v>
      </x:c>
      <x:c r="E7" s="8" t="str">
        <x:v>Early movement</x:v>
      </x:c>
      <x:c r="F7" s="8" t="str">
        <x:v>Relevant demand</x:v>
      </x:c>
      <x:c r="G7" s="8" t="str">
        <x:v>Positions4–20 with qualified engagement</x:v>
      </x:c>
      <x:c r="H7" s="8" t="str">
        <x:v>Strong qualified visibility</x:v>
      </x:c>
      <x:c r="I7" s="8" t="str">
        <x:v>Current first-party evidence unavailable: leave blank</x:v>
      </x:c>
    </x:row>
    <x:row r="8" ht="48" customHeight="1">
      <x:c r="A8" s="9" t="str">
        <x:v>Topic demand / TP</x:v>
      </x:c>
      <x:c r="B8" s="22" t="n">
        <x:v>0.15</x:v>
      </x:c>
      <x:c r="C8" s="9" t="str">
        <x:v>Verified no relevant demand</x:v>
      </x:c>
      <x:c r="D8" s="9" t="str">
        <x:v>Returned zero, useful intent</x:v>
      </x:c>
      <x:c r="E8" s="9" t="str">
        <x:v>Representative1–29</x:v>
      </x:c>
      <x:c r="F8" s="9" t="str">
        <x:v>30–99</x:v>
      </x:c>
      <x:c r="G8" s="9" t="str">
        <x:v>100–299</x:v>
      </x:c>
      <x:c r="H8" s="9" t="str">
        <x:v>300+ representative monthly searches</x:v>
      </x:c>
      <x:c r="I8" s="9" t="str">
        <x:v>One representative term only; do not sum variants</x:v>
      </x:c>
    </x:row>
    <x:row r="9" ht="48" customHeight="1">
      <x:c r="A9" s="8" t="str">
        <x:v>Original-evidence advantage</x:v>
      </x:c>
      <x:c r="B9" s="21" t="n">
        <x:v>0.1</x:v>
      </x:c>
      <x:c r="C9" s="8" t="str">
        <x:v>No credible source</x:v>
      </x:c>
      <x:c r="D9" s="8" t="str">
        <x:v>Generic restatement</x:v>
      </x:c>
      <x:c r="E9" s="8" t="str">
        <x:v>Capability not ready</x:v>
      </x:c>
      <x:c r="F9" s="8" t="str">
        <x:v>Local knowledge</x:v>
      </x:c>
      <x:c r="G9" s="8" t="str">
        <x:v>Inventory or direct operational evidence</x:v>
      </x:c>
      <x:c r="H9" s="8" t="str">
        <x:v>Unique verified original dataset</x:v>
      </x:c>
      <x:c r="I9" s="8" t="str">
        <x:v>Potential must be validated before claims are published</x:v>
      </x:c>
    </x:row>
    <x:row r="10" ht="48" customHeight="1">
      <x:c r="A10" s="9" t="str">
        <x:v>AI citation opportunity</x:v>
      </x:c>
      <x:c r="B10" s="22" t="n">
        <x:v>0.1</x:v>
      </x:c>
      <x:c r="C10" s="9" t="str">
        <x:v>No relevant evidence</x:v>
      </x:c>
      <x:c r="D10" s="9" t="str">
        <x:v>Low plausible usefulness</x:v>
      </x:c>
      <x:c r="E10" s="9" t="str">
        <x:v>Useful hypothesis</x:v>
      </x:c>
      <x:c r="F10" s="9" t="str">
        <x:v>Relevant sampled source pattern</x:v>
      </x:c>
      <x:c r="G10" s="9" t="str">
        <x:v>Observed topic citation plus direct owner fit</x:v>
      </x:c>
      <x:c r="H10" s="9" t="str">
        <x:v>Repeated multi-surface observed owner advantage</x:v>
      </x:c>
      <x:c r="I10" s="9" t="str">
        <x:v>Most topics score2 provisionally; no fictional AI demand</x:v>
      </x:c>
    </x:row>
  </x:sheetData>
  <x:mergeCells>
    <x:mergeCell ref="A1:E1"/>
    <x:mergeCell ref="A2:F2"/>
  </x:mergeCells>
  <x:pageMargins left="0.7" right="0.7" top="0.75" bottom="0.75" header="0.3" footer="0.3"/>
  <x:tableParts count="1">
    <x:tablePart xmlns:r="http://schemas.openxmlformats.org/officeDocument/2006/relationships" r:id="Rbafcac4c8c2a4945"/>
  </x:tableParts>
</x:worksheet>
</file>

<file path=xl/worksheets/sheet24.xml><?xml version="1.0" encoding="utf-8"?>
<x:worksheet xmlns:x="http://schemas.openxmlformats.org/spreadsheetml/2006/main">
  <x:sheetPr>
    <x:tabColor rgb="FF304D4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57" hidden="0" customWidth="1"/>
    <x:col min="3" max="3" width="17" hidden="0" customWidth="1"/>
    <x:col min="4" max="4" width="22" hidden="0" customWidth="1"/>
    <x:col min="5" max="5" width="20" hidden="0" customWidth="1"/>
    <x:col min="6" max="6" width="20" hidden="0" customWidth="1"/>
    <x:col min="7" max="7" width="40" hidden="0" customWidth="1"/>
    <x:col min="8" max="8" width="34" hidden="0" customWidth="1"/>
    <x:col min="9" max="9" width="28" hidden="0" customWidth="1"/>
    <x:col min="10" max="10" width="26" hidden="0" customWidth="1"/>
    <x:col min="11" max="11" width="34" hidden="0" customWidth="1"/>
    <x:col min="12" max="12" width="54" hidden="0" customWidth="1"/>
    <x:col min="13" max="13" width="21" hidden="0" customWidth="1"/>
    <x:col min="14" max="14" width="36" hidden="0" customWidth="1"/>
  </x:cols>
  <x:sheetData>
    <x:row r="1" ht="34" customHeight="1">
      <x:c r="A1" s="4" t="str">
        <x:v>Historic GSC Queries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4" customHeight="1">
      <x:c r="A2" s="5" t="str">
        <x:v>Full 258-row archived query export, preserved for future comparison. The original query table is not country-segmented; do not assign current country ranks or paid volumes.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9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42" customHeight="1">
      <x:c r="A4" s="7" t="str">
        <x:v>Historic query ID</x:v>
      </x:c>
      <x:c r="B4" s="7" t="str">
        <x:v>Query</x:v>
      </x:c>
      <x:c r="C4" s="7" t="str">
        <x:v>Language</x:v>
      </x:c>
      <x:c r="D4" s="7" t="str">
        <x:v>Cluster</x:v>
      </x:c>
      <x:c r="E4" s="7" t="str">
        <x:v>Clicks</x:v>
      </x:c>
      <x:c r="F4" s="7" t="str">
        <x:v>Impressions</x:v>
      </x:c>
      <x:c r="G4" s="7" t="str">
        <x:v>CTR</x:v>
      </x:c>
      <x:c r="H4" s="7" t="str">
        <x:v>Position</x:v>
      </x:c>
      <x:c r="I4" s="7" t="str">
        <x:v>Action</x:v>
      </x:c>
      <x:c r="J4" s="7" t="str">
        <x:v>Missed clicks @ 5% CTR</x:v>
      </x:c>
      <x:c r="K4" s="7" t="str">
        <x:v>Period</x:v>
      </x:c>
      <x:c r="L4" s="7" t="str">
        <x:v>Evidence status</x:v>
      </x:c>
      <x:c r="M4" s="7" t="str">
        <x:v>Metric type</x:v>
      </x:c>
      <x:c r="N4" s="7" t="str">
        <x:v>Source ID</x:v>
      </x:c>
    </x:row>
    <x:row r="5" ht="48" customHeight="1">
      <x:c r="A5" s="8" t="str">
        <x:v>HQ1</x:v>
      </x:c>
      <x:c r="B5" s="8" t="str">
        <x:v>fast motor rental naxos</x:v>
      </x:c>
      <x:c r="C5" s="8" t="str">
        <x:v>English/Other</x:v>
      </x:c>
      <x:c r="D5" s="8" t="str">
        <x:v>Naxos guide</x:v>
      </x:c>
      <x:c r="E5" s="8" t="n">
        <x:v>9</x:v>
      </x:c>
      <x:c r="F5" s="8" t="n">
        <x:v>335</x:v>
      </x:c>
      <x:c r="G5" s="8" t="n">
        <x:v>0.0269</x:v>
      </x:c>
      <x:c r="H5" s="8" t="n">
        <x:v>5.2</x:v>
      </x:c>
      <x:c r="I5" s="8" t="str">
        <x:v>Quick win</x:v>
      </x:c>
      <x:c r="J5" s="8" t="str">
        <x:v>7.75</x:v>
      </x:c>
      <x:c r="K5" s="8" t="str">
        <x:v>2026-06-14 to 2026-08-20</x:v>
      </x:c>
      <x:c r="L5" s="8" t="str">
        <x:v>OBSERVED</x:v>
      </x:c>
      <x:c r="M5" s="8" t="str">
        <x:v>FIRST-PARTY MEASUREMENT</x:v>
      </x:c>
      <x:c r="N5" s="8" t="str">
        <x:v>SRC-GSC-QUERIES</x:v>
      </x:c>
    </x:row>
    <x:row r="6" ht="48" customHeight="1">
      <x:c r="A6" s="9" t="str">
        <x:v>HQ2</x:v>
      </x:c>
      <x:c r="B6" s="9" t="str">
        <x:v>naxos scooter rental</x:v>
      </x:c>
      <x:c r="C6" s="9" t="str">
        <x:v>English/Other</x:v>
      </x:c>
      <x:c r="D6" s="9" t="str">
        <x:v>Scooters &amp; motorbikes</x:v>
      </x:c>
      <x:c r="E6" s="9" t="n">
        <x:v>4</x:v>
      </x:c>
      <x:c r="F6" s="9" t="n">
        <x:v>97</x:v>
      </x:c>
      <x:c r="G6" s="9" t="n">
        <x:v>0.0412</x:v>
      </x:c>
      <x:c r="H6" s="9" t="n">
        <x:v>13.11</x:v>
      </x:c>
      <x:c r="I6" s="9" t="str">
        <x:v>Quick win</x:v>
      </x:c>
      <x:c r="J6" s="9" t="str">
        <x:v>0.8500000000000005</x:v>
      </x:c>
      <x:c r="K6" s="9" t="str">
        <x:v>2026-06-14 to 2026-08-20</x:v>
      </x:c>
      <x:c r="L6" s="9" t="str">
        <x:v>OBSERVED</x:v>
      </x:c>
      <x:c r="M6" s="9" t="str">
        <x:v>FIRST-PARTY MEASUREMENT</x:v>
      </x:c>
      <x:c r="N6" s="9" t="str">
        <x:v>SRC-GSC-QUERIES</x:v>
      </x:c>
    </x:row>
    <x:row r="7" ht="48" customHeight="1">
      <x:c r="A7" s="8" t="str">
        <x:v>HQ3</x:v>
      </x:c>
      <x:c r="B7" s="8" t="str">
        <x:v>fast motor car rental naxos</x:v>
      </x:c>
      <x:c r="C7" s="8" t="str">
        <x:v>English/Other</x:v>
      </x:c>
      <x:c r="D7" s="8" t="str">
        <x:v>Core car rental</x:v>
      </x:c>
      <x:c r="E7" s="8" t="n">
        <x:v>2</x:v>
      </x:c>
      <x:c r="F7" s="8" t="n">
        <x:v>260</x:v>
      </x:c>
      <x:c r="G7" s="8" t="n">
        <x:v>0.0077</x:v>
      </x:c>
      <x:c r="H7" s="8" t="n">
        <x:v>7.8</x:v>
      </x:c>
      <x:c r="I7" s="8" t="str">
        <x:v>Quick win</x:v>
      </x:c>
      <x:c r="J7" s="8" t="str">
        <x:v>11</x:v>
      </x:c>
      <x:c r="K7" s="8" t="str">
        <x:v>2026-06-14 to 2026-08-20</x:v>
      </x:c>
      <x:c r="L7" s="8" t="str">
        <x:v>OBSERVED</x:v>
      </x:c>
      <x:c r="M7" s="8" t="str">
        <x:v>FIRST-PARTY MEASUREMENT</x:v>
      </x:c>
      <x:c r="N7" s="8" t="str">
        <x:v>SRC-GSC-QUERIES</x:v>
      </x:c>
    </x:row>
    <x:row r="8" ht="48" customHeight="1">
      <x:c r="A8" s="9" t="str">
        <x:v>HQ4</x:v>
      </x:c>
      <x:c r="B8" s="9" t="str">
        <x:v>best car rental naxos</x:v>
      </x:c>
      <x:c r="C8" s="9" t="str">
        <x:v>English/Other</x:v>
      </x:c>
      <x:c r="D8" s="9" t="str">
        <x:v>Reviews &amp; comparison</x:v>
      </x:c>
      <x:c r="E8" s="9" t="n">
        <x:v>2</x:v>
      </x:c>
      <x:c r="F8" s="9" t="n">
        <x:v>65</x:v>
      </x:c>
      <x:c r="G8" s="9" t="n">
        <x:v>0.0308</x:v>
      </x:c>
      <x:c r="H8" s="9" t="n">
        <x:v>9.92</x:v>
      </x:c>
      <x:c r="I8" s="9" t="str">
        <x:v>Quick win</x:v>
      </x:c>
      <x:c r="J8" s="9" t="str">
        <x:v>1.25</x:v>
      </x:c>
      <x:c r="K8" s="9" t="str">
        <x:v>2026-06-14 to 2026-08-20</x:v>
      </x:c>
      <x:c r="L8" s="9" t="str">
        <x:v>OBSERVED</x:v>
      </x:c>
      <x:c r="M8" s="9" t="str">
        <x:v>FIRST-PARTY MEASUREMENT</x:v>
      </x:c>
      <x:c r="N8" s="9" t="str">
        <x:v>SRC-GSC-QUERIES</x:v>
      </x:c>
    </x:row>
    <x:row r="9" ht="48" customHeight="1">
      <x:c r="A9" s="8" t="str">
        <x:v>HQ5</x:v>
      </x:c>
      <x:c r="B9" s="8" t="str">
        <x:v>scooter rental naxos</x:v>
      </x:c>
      <x:c r="C9" s="8" t="str">
        <x:v>English/Other</x:v>
      </x:c>
      <x:c r="D9" s="8" t="str">
        <x:v>Scooters &amp; motorbikes</x:v>
      </x:c>
      <x:c r="E9" s="8" t="n">
        <x:v>2</x:v>
      </x:c>
      <x:c r="F9" s="8" t="n">
        <x:v>52</x:v>
      </x:c>
      <x:c r="G9" s="8" t="n">
        <x:v>0.0385</x:v>
      </x:c>
      <x:c r="H9" s="8" t="n">
        <x:v>18.29</x:v>
      </x:c>
      <x:c r="I9" s="8" t="str">
        <x:v>Quick win</x:v>
      </x:c>
      <x:c r="J9" s="8" t="str">
        <x:v>0.6000000000000001</x:v>
      </x:c>
      <x:c r="K9" s="8" t="str">
        <x:v>2026-06-14 to 2026-08-20</x:v>
      </x:c>
      <x:c r="L9" s="8" t="str">
        <x:v>OBSERVED</x:v>
      </x:c>
      <x:c r="M9" s="8" t="str">
        <x:v>FIRST-PARTY MEASUREMENT</x:v>
      </x:c>
      <x:c r="N9" s="8" t="str">
        <x:v>SRC-GSC-QUERIES</x:v>
      </x:c>
    </x:row>
    <x:row r="10" ht="48" customHeight="1">
      <x:c r="A10" s="9" t="str">
        <x:v>HQ6</x:v>
      </x:c>
      <x:c r="B10" s="9" t="str">
        <x:v>ενοικιαση αυτοκινητου ναξοσ χωρισ πιστωτικη καρτα</x:v>
      </x:c>
      <x:c r="C10" s="9" t="str">
        <x:v>Greek</x:v>
      </x:c>
      <x:c r="D10" s="9" t="str">
        <x:v>Insurance &amp; payment</x:v>
      </x:c>
      <x:c r="E10" s="9" t="n">
        <x:v>1</x:v>
      </x:c>
      <x:c r="F10" s="9" t="n">
        <x:v>51</x:v>
      </x:c>
      <x:c r="G10" s="9" t="n">
        <x:v>0.0196</x:v>
      </x:c>
      <x:c r="H10" s="9" t="n">
        <x:v>15.86</x:v>
      </x:c>
      <x:c r="I10" s="9" t="str">
        <x:v>Quick win</x:v>
      </x:c>
      <x:c r="J10" s="9" t="str">
        <x:v>1.5500000000000003</x:v>
      </x:c>
      <x:c r="K10" s="9" t="str">
        <x:v>2026-06-14 to 2026-08-20</x:v>
      </x:c>
      <x:c r="L10" s="9" t="str">
        <x:v>OBSERVED</x:v>
      </x:c>
      <x:c r="M10" s="9" t="str">
        <x:v>FIRST-PARTY MEASUREMENT</x:v>
      </x:c>
      <x:c r="N10" s="9" t="str">
        <x:v>SRC-GSC-QUERIES</x:v>
      </x:c>
    </x:row>
    <x:row r="11" ht="48" customHeight="1">
      <x:c r="A11" s="8" t="str">
        <x:v>HQ7</x:v>
      </x:c>
      <x:c r="B11" s="8" t="str">
        <x:v>rent scooter naxos</x:v>
      </x:c>
      <x:c r="C11" s="8" t="str">
        <x:v>English/Other</x:v>
      </x:c>
      <x:c r="D11" s="8" t="str">
        <x:v>Scooters &amp; motorbikes</x:v>
      </x:c>
      <x:c r="E11" s="8" t="n">
        <x:v>1</x:v>
      </x:c>
      <x:c r="F11" s="8" t="n">
        <x:v>33</x:v>
      </x:c>
      <x:c r="G11" s="8" t="n">
        <x:v>0.030299999999999997</x:v>
      </x:c>
      <x:c r="H11" s="8" t="n">
        <x:v>15.09</x:v>
      </x:c>
      <x:c r="I11" s="8" t="str">
        <x:v>Quick win</x:v>
      </x:c>
      <x:c r="J11" s="8" t="str">
        <x:v>0.6500000000000001</x:v>
      </x:c>
      <x:c r="K11" s="8" t="str">
        <x:v>2026-06-14 to 2026-08-20</x:v>
      </x:c>
      <x:c r="L11" s="8" t="str">
        <x:v>OBSERVED</x:v>
      </x:c>
      <x:c r="M11" s="8" t="str">
        <x:v>FIRST-PARTY MEASUREMENT</x:v>
      </x:c>
      <x:c r="N11" s="8" t="str">
        <x:v>SRC-GSC-QUERIES</x:v>
      </x:c>
    </x:row>
    <x:row r="12" ht="48" customHeight="1">
      <x:c r="A12" s="9" t="str">
        <x:v>HQ8</x:v>
      </x:c>
      <x:c r="B12" s="9" t="str">
        <x:v>scooter rent naxos</x:v>
      </x:c>
      <x:c r="C12" s="9" t="str">
        <x:v>English/Other</x:v>
      </x:c>
      <x:c r="D12" s="9" t="str">
        <x:v>Scooters &amp; motorbikes</x:v>
      </x:c>
      <x:c r="E12" s="9" t="n">
        <x:v>1</x:v>
      </x:c>
      <x:c r="F12" s="9" t="n">
        <x:v>23</x:v>
      </x:c>
      <x:c r="G12" s="9" t="n">
        <x:v>0.0435</x:v>
      </x:c>
      <x:c r="H12" s="9" t="n">
        <x:v>14.09</x:v>
      </x:c>
      <x:c r="I12" s="9" t="str">
        <x:v>Quick win</x:v>
      </x:c>
      <x:c r="J12" s="9" t="str">
        <x:v>0.15000000000000013</x:v>
      </x:c>
      <x:c r="K12" s="9" t="str">
        <x:v>2026-06-14 to 2026-08-20</x:v>
      </x:c>
      <x:c r="L12" s="9" t="str">
        <x:v>OBSERVED</x:v>
      </x:c>
      <x:c r="M12" s="9" t="str">
        <x:v>FIRST-PARTY MEASUREMENT</x:v>
      </x:c>
      <x:c r="N12" s="9" t="str">
        <x:v>SRC-GSC-QUERIES</x:v>
      </x:c>
    </x:row>
    <x:row r="13" ht="48" customHeight="1">
      <x:c r="A13" s="8" t="str">
        <x:v>HQ9</x:v>
      </x:c>
      <x:c r="B13" s="8" t="str">
        <x:v>best naxos car rental</x:v>
      </x:c>
      <x:c r="C13" s="8" t="str">
        <x:v>English/Other</x:v>
      </x:c>
      <x:c r="D13" s="8" t="str">
        <x:v>Core car rental</x:v>
      </x:c>
      <x:c r="E13" s="8" t="n">
        <x:v>1</x:v>
      </x:c>
      <x:c r="F13" s="8" t="n">
        <x:v>22</x:v>
      </x:c>
      <x:c r="G13" s="8" t="n">
        <x:v>0.0455</x:v>
      </x:c>
      <x:c r="H13" s="8" t="n">
        <x:v>8.09</x:v>
      </x:c>
      <x:c r="I13" s="8" t="str">
        <x:v>Quick win</x:v>
      </x:c>
      <x:c r="J13" s="8" t="str">
        <x:v>0.10000000000000009</x:v>
      </x:c>
      <x:c r="K13" s="8" t="str">
        <x:v>2026-06-14 to 2026-08-20</x:v>
      </x:c>
      <x:c r="L13" s="8" t="str">
        <x:v>OBSERVED</x:v>
      </x:c>
      <x:c r="M13" s="8" t="str">
        <x:v>FIRST-PARTY MEASUREMENT</x:v>
      </x:c>
      <x:c r="N13" s="8" t="str">
        <x:v>SRC-GSC-QUERIES</x:v>
      </x:c>
    </x:row>
    <x:row r="14" ht="48" customHeight="1">
      <x:c r="A14" s="9" t="str">
        <x:v>HQ10</x:v>
      </x:c>
      <x:c r="B14" s="9" t="str">
        <x:v>scooter naxos</x:v>
      </x:c>
      <x:c r="C14" s="9" t="str">
        <x:v>English/Other</x:v>
      </x:c>
      <x:c r="D14" s="9" t="str">
        <x:v>Scooters &amp; motorbikes</x:v>
      </x:c>
      <x:c r="E14" s="9" t="n">
        <x:v>1</x:v>
      </x:c>
      <x:c r="F14" s="9" t="n">
        <x:v>19</x:v>
      </x:c>
      <x:c r="G14" s="9" t="n">
        <x:v>0.0526</x:v>
      </x:c>
      <x:c r="H14" s="9" t="n">
        <x:v>13.95</x:v>
      </x:c>
      <x:c r="I14" s="9" t="str">
        <x:v>Quick win</x:v>
      </x:c>
      <x:c r="J14" s="9" t="str">
        <x:v>0</x:v>
      </x:c>
      <x:c r="K14" s="9" t="str">
        <x:v>2026-06-14 to 2026-08-20</x:v>
      </x:c>
      <x:c r="L14" s="9" t="str">
        <x:v>OBSERVED</x:v>
      </x:c>
      <x:c r="M14" s="9" t="str">
        <x:v>FIRST-PARTY MEASUREMENT</x:v>
      </x:c>
      <x:c r="N14" s="9" t="str">
        <x:v>SRC-GSC-QUERIES</x:v>
      </x:c>
    </x:row>
    <x:row r="15" ht="48" customHeight="1">
      <x:c r="A15" s="8" t="str">
        <x:v>HQ11</x:v>
      </x:c>
      <x:c r="B15" s="8" t="str">
        <x:v>best car rental in naxos greece</x:v>
      </x:c>
      <x:c r="C15" s="8" t="str">
        <x:v>English/Other</x:v>
      </x:c>
      <x:c r="D15" s="8" t="str">
        <x:v>Reviews &amp; comparison</x:v>
      </x:c>
      <x:c r="E15" s="8" t="n">
        <x:v>1</x:v>
      </x:c>
      <x:c r="F15" s="8" t="n">
        <x:v>15</x:v>
      </x:c>
      <x:c r="G15" s="8" t="n">
        <x:v>0.0667</x:v>
      </x:c>
      <x:c r="H15" s="8" t="n">
        <x:v>7.2</x:v>
      </x:c>
      <x:c r="I15" s="8" t="str">
        <x:v>Quick win</x:v>
      </x:c>
      <x:c r="J15" s="8" t="str">
        <x:v>0</x:v>
      </x:c>
      <x:c r="K15" s="8" t="str">
        <x:v>2026-06-14 to 2026-08-20</x:v>
      </x:c>
      <x:c r="L15" s="8" t="str">
        <x:v>OBSERVED</x:v>
      </x:c>
      <x:c r="M15" s="8" t="str">
        <x:v>FIRST-PARTY MEASUREMENT</x:v>
      </x:c>
      <x:c r="N15" s="8" t="str">
        <x:v>SRC-GSC-QUERIES</x:v>
      </x:c>
    </x:row>
    <x:row r="16" ht="48" customHeight="1">
      <x:c r="A16" s="9" t="str">
        <x:v>HQ12</x:v>
      </x:c>
      <x:c r="B16" s="9" t="str">
        <x:v>noleggio scooter naxos</x:v>
      </x:c>
      <x:c r="C16" s="9" t="str">
        <x:v>Italian</x:v>
      </x:c>
      <x:c r="D16" s="9" t="str">
        <x:v>Scooters &amp; motorbikes</x:v>
      </x:c>
      <x:c r="E16" s="9" t="n">
        <x:v>1</x:v>
      </x:c>
      <x:c r="F16" s="9" t="n">
        <x:v>9</x:v>
      </x:c>
      <x:c r="G16" s="9" t="n">
        <x:v>0.11109999999999999</x:v>
      </x:c>
      <x:c r="H16" s="9" t="n">
        <x:v>24.33</x:v>
      </x:c>
      <x:c r="I16" s="9" t="str">
        <x:v>Build</x:v>
      </x:c>
      <x:c r="J16" s="9" t="str">
        <x:v>0</x:v>
      </x:c>
      <x:c r="K16" s="9" t="str">
        <x:v>2026-06-14 to 2026-08-20</x:v>
      </x:c>
      <x:c r="L16" s="9" t="str">
        <x:v>OBSERVED</x:v>
      </x:c>
      <x:c r="M16" s="9" t="str">
        <x:v>FIRST-PARTY MEASUREMENT</x:v>
      </x:c>
      <x:c r="N16" s="9" t="str">
        <x:v>SRC-GSC-QUERIES</x:v>
      </x:c>
    </x:row>
    <x:row r="17" ht="48" customHeight="1">
      <x:c r="A17" s="8" t="str">
        <x:v>HQ13</x:v>
      </x:c>
      <x:c r="B17" s="8" t="str">
        <x:v>noleggio scooter naxos prezzi</x:v>
      </x:c>
      <x:c r="C17" s="8" t="str">
        <x:v>Italian</x:v>
      </x:c>
      <x:c r="D17" s="8" t="str">
        <x:v>Scooters &amp; motorbikes</x:v>
      </x:c>
      <x:c r="E17" s="8" t="n">
        <x:v>1</x:v>
      </x:c>
      <x:c r="F17" s="8" t="n">
        <x:v>3</x:v>
      </x:c>
      <x:c r="G17" s="8" t="n">
        <x:v>0.3333</x:v>
      </x:c>
      <x:c r="H17" s="8" t="n">
        <x:v>33.33</x:v>
      </x:c>
      <x:c r="I17" s="8" t="str">
        <x:v>Build</x:v>
      </x:c>
      <x:c r="J17" s="8" t="str">
        <x:v>0</x:v>
      </x:c>
      <x:c r="K17" s="8" t="str">
        <x:v>2026-06-14 to 2026-08-20</x:v>
      </x:c>
      <x:c r="L17" s="8" t="str">
        <x:v>OBSERVED</x:v>
      </x:c>
      <x:c r="M17" s="8" t="str">
        <x:v>FIRST-PARTY MEASUREMENT</x:v>
      </x:c>
      <x:c r="N17" s="8" t="str">
        <x:v>SRC-GSC-QUERIES</x:v>
      </x:c>
    </x:row>
    <x:row r="18" ht="48" customHeight="1">
      <x:c r="A18" s="9" t="str">
        <x:v>HQ14</x:v>
      </x:c>
      <x:c r="B18" s="9" t="str">
        <x:v>naxos rent quad</x:v>
      </x:c>
      <x:c r="C18" s="9" t="str">
        <x:v>English/Other</x:v>
      </x:c>
      <x:c r="D18" s="9" t="str">
        <x:v>ATV, quad &amp; buggy</x:v>
      </x:c>
      <x:c r="E18" s="9" t="n">
        <x:v>1</x:v>
      </x:c>
      <x:c r="F18" s="9" t="n">
        <x:v>3</x:v>
      </x:c>
      <x:c r="G18" s="9" t="n">
        <x:v>0.3333</x:v>
      </x:c>
      <x:c r="H18" s="9" t="n">
        <x:v>36</x:v>
      </x:c>
      <x:c r="I18" s="9" t="str">
        <x:v>Build</x:v>
      </x:c>
      <x:c r="J18" s="9" t="str">
        <x:v>0</x:v>
      </x:c>
      <x:c r="K18" s="9" t="str">
        <x:v>2026-06-14 to 2026-08-20</x:v>
      </x:c>
      <x:c r="L18" s="9" t="str">
        <x:v>OBSERVED</x:v>
      </x:c>
      <x:c r="M18" s="9" t="str">
        <x:v>FIRST-PARTY MEASUREMENT</x:v>
      </x:c>
      <x:c r="N18" s="9" t="str">
        <x:v>SRC-GSC-QUERIES</x:v>
      </x:c>
    </x:row>
    <x:row r="19" ht="48" customHeight="1">
      <x:c r="A19" s="8" t="str">
        <x:v>HQ15</x:v>
      </x:c>
      <x:c r="B19" s="8" t="str">
        <x:v>noleggio motorino naxos</x:v>
      </x:c>
      <x:c r="C19" s="8" t="str">
        <x:v>Italian</x:v>
      </x:c>
      <x:c r="D19" s="8" t="str">
        <x:v>Scooters &amp; motorbikes</x:v>
      </x:c>
      <x:c r="E19" s="8" t="n">
        <x:v>1</x:v>
      </x:c>
      <x:c r="F19" s="8" t="n">
        <x:v>2</x:v>
      </x:c>
      <x:c r="G19" s="8" t="n">
        <x:v>0.5</x:v>
      </x:c>
      <x:c r="H19" s="8" t="n">
        <x:v>29.5</x:v>
      </x:c>
      <x:c r="I19" s="8" t="str">
        <x:v>Build</x:v>
      </x:c>
      <x:c r="J19" s="8" t="str">
        <x:v>0</x:v>
      </x:c>
      <x:c r="K19" s="8" t="str">
        <x:v>2026-06-14 to 2026-08-20</x:v>
      </x:c>
      <x:c r="L19" s="8" t="str">
        <x:v>OBSERVED</x:v>
      </x:c>
      <x:c r="M19" s="8" t="str">
        <x:v>FIRST-PARTY MEASUREMENT</x:v>
      </x:c>
      <x:c r="N19" s="8" t="str">
        <x:v>SRC-GSC-QUERIES</x:v>
      </x:c>
    </x:row>
    <x:row r="20" ht="48" customHeight="1">
      <x:c r="A20" s="9" t="str">
        <x:v>HQ16</x:v>
      </x:c>
      <x:c r="B20" s="9" t="str">
        <x:v>automatic</x:v>
      </x:c>
      <x:c r="C20" s="9" t="str">
        <x:v>English/Other</x:v>
      </x:c>
      <x:c r="D20" s="9" t="str">
        <x:v>Other</x:v>
      </x:c>
      <x:c r="E20" s="9" t="n">
        <x:v>1</x:v>
      </x:c>
      <x:c r="F20" s="9" t="n">
        <x:v>1</x:v>
      </x:c>
      <x:c r="G20" s="9" t="n">
        <x:v>1</x:v>
      </x:c>
      <x:c r="H20" s="9" t="n">
        <x:v>8</x:v>
      </x:c>
      <x:c r="I20" s="9" t="str">
        <x:v>Build</x:v>
      </x:c>
      <x:c r="J20" s="9" t="str">
        <x:v>0</x:v>
      </x:c>
      <x:c r="K20" s="9" t="str">
        <x:v>2026-06-14 to 2026-08-20</x:v>
      </x:c>
      <x:c r="L20" s="9" t="str">
        <x:v>OBSERVED</x:v>
      </x:c>
      <x:c r="M20" s="9" t="str">
        <x:v>FIRST-PARTY MEASUREMENT</x:v>
      </x:c>
      <x:c r="N20" s="9" t="str">
        <x:v>SRC-GSC-QUERIES</x:v>
      </x:c>
    </x:row>
    <x:row r="21" ht="48" customHeight="1">
      <x:c r="A21" s="8" t="str">
        <x:v>HQ17</x:v>
      </x:c>
      <x:c r="B21" s="8" t="str">
        <x:v>naxos rent a scooter</x:v>
      </x:c>
      <x:c r="C21" s="8" t="str">
        <x:v>English/Other</x:v>
      </x:c>
      <x:c r="D21" s="8" t="str">
        <x:v>Scooters &amp; motorbikes</x:v>
      </x:c>
      <x:c r="E21" s="8" t="n">
        <x:v>0</x:v>
      </x:c>
      <x:c r="F21" s="8" t="n">
        <x:v>37</x:v>
      </x:c>
      <x:c r="G21" s="8" t="n">
        <x:v>0</x:v>
      </x:c>
      <x:c r="H21" s="8" t="n">
        <x:v>11.68</x:v>
      </x:c>
      <x:c r="I21" s="8" t="str">
        <x:v>Quick win</x:v>
      </x:c>
      <x:c r="J21" s="8" t="str">
        <x:v>1.85</x:v>
      </x:c>
      <x:c r="K21" s="8" t="str">
        <x:v>2026-06-14 to 2026-08-20</x:v>
      </x:c>
      <x:c r="L21" s="8" t="str">
        <x:v>OBSERVED</x:v>
      </x:c>
      <x:c r="M21" s="8" t="str">
        <x:v>FIRST-PARTY MEASUREMENT</x:v>
      </x:c>
      <x:c r="N21" s="8" t="str">
        <x:v>SRC-GSC-QUERIES</x:v>
      </x:c>
    </x:row>
    <x:row r="22" ht="48" customHeight="1">
      <x:c r="A22" s="9" t="str">
        <x:v>HQ18</x:v>
      </x:c>
      <x:c r="B22" s="9" t="str">
        <x:v>car rental naxos landing pages</x:v>
      </x:c>
      <x:c r="C22" s="9" t="str">
        <x:v>English/Other</x:v>
      </x:c>
      <x:c r="D22" s="9" t="str">
        <x:v>Core car rental</x:v>
      </x:c>
      <x:c r="E22" s="9" t="n">
        <x:v>0</x:v>
      </x:c>
      <x:c r="F22" s="9" t="n">
        <x:v>30</x:v>
      </x:c>
      <x:c r="G22" s="9" t="n">
        <x:v>0</x:v>
      </x:c>
      <x:c r="H22" s="9" t="n">
        <x:v>55.63</x:v>
      </x:c>
      <x:c r="I22" s="9" t="str">
        <x:v>Build</x:v>
      </x:c>
      <x:c r="J22" s="9" t="str">
        <x:v>1.5</x:v>
      </x:c>
      <x:c r="K22" s="9" t="str">
        <x:v>2026-06-14 to 2026-08-20</x:v>
      </x:c>
      <x:c r="L22" s="9" t="str">
        <x:v>OBSERVED</x:v>
      </x:c>
      <x:c r="M22" s="9" t="str">
        <x:v>FIRST-PARTY MEASUREMENT</x:v>
      </x:c>
      <x:c r="N22" s="9" t="str">
        <x:v>SRC-GSC-QUERIES</x:v>
      </x:c>
    </x:row>
    <x:row r="23" ht="48" customHeight="1">
      <x:c r="A23" s="8" t="str">
        <x:v>HQ19</x:v>
      </x:c>
      <x:c r="B23" s="8" t="str">
        <x:v>scooter huren naxos</x:v>
      </x:c>
      <x:c r="C23" s="8" t="str">
        <x:v>English/Other</x:v>
      </x:c>
      <x:c r="D23" s="8" t="str">
        <x:v>Scooters &amp; motorbikes</x:v>
      </x:c>
      <x:c r="E23" s="8" t="n">
        <x:v>0</x:v>
      </x:c>
      <x:c r="F23" s="8" t="n">
        <x:v>28</x:v>
      </x:c>
      <x:c r="G23" s="8" t="n">
        <x:v>0</x:v>
      </x:c>
      <x:c r="H23" s="8" t="n">
        <x:v>13.18</x:v>
      </x:c>
      <x:c r="I23" s="8" t="str">
        <x:v>Quick win</x:v>
      </x:c>
      <x:c r="J23" s="8" t="str">
        <x:v>1.4000000000000001</x:v>
      </x:c>
      <x:c r="K23" s="8" t="str">
        <x:v>2026-06-14 to 2026-08-20</x:v>
      </x:c>
      <x:c r="L23" s="8" t="str">
        <x:v>OBSERVED</x:v>
      </x:c>
      <x:c r="M23" s="8" t="str">
        <x:v>FIRST-PARTY MEASUREMENT</x:v>
      </x:c>
      <x:c r="N23" s="8" t="str">
        <x:v>SRC-GSC-QUERIES</x:v>
      </x:c>
    </x:row>
    <x:row r="24" ht="48" customHeight="1">
      <x:c r="A24" s="9" t="str">
        <x:v>HQ20</x:v>
      </x:c>
      <x:c r="B24" s="9" t="str">
        <x:v>rent a scooter naxos</x:v>
      </x:c>
      <x:c r="C24" s="9" t="str">
        <x:v>English/Other</x:v>
      </x:c>
      <x:c r="D24" s="9" t="str">
        <x:v>Scooters &amp; motorbikes</x:v>
      </x:c>
      <x:c r="E24" s="9" t="n">
        <x:v>0</x:v>
      </x:c>
      <x:c r="F24" s="9" t="n">
        <x:v>25</x:v>
      </x:c>
      <x:c r="G24" s="9" t="n">
        <x:v>0</x:v>
      </x:c>
      <x:c r="H24" s="9" t="n">
        <x:v>16.72</x:v>
      </x:c>
      <x:c r="I24" s="9" t="str">
        <x:v>Quick win</x:v>
      </x:c>
      <x:c r="J24" s="9" t="str">
        <x:v>1.25</x:v>
      </x:c>
      <x:c r="K24" s="9" t="str">
        <x:v>2026-06-14 to 2026-08-20</x:v>
      </x:c>
      <x:c r="L24" s="9" t="str">
        <x:v>OBSERVED</x:v>
      </x:c>
      <x:c r="M24" s="9" t="str">
        <x:v>FIRST-PARTY MEASUREMENT</x:v>
      </x:c>
      <x:c r="N24" s="9" t="str">
        <x:v>SRC-GSC-QUERIES</x:v>
      </x:c>
    </x:row>
    <x:row r="25" ht="48" customHeight="1">
      <x:c r="A25" s="8" t="str">
        <x:v>HQ21</x:v>
      </x:c>
      <x:c r="B25" s="8" t="str">
        <x:v>location scooter naxos</x:v>
      </x:c>
      <x:c r="C25" s="8" t="str">
        <x:v>French</x:v>
      </x:c>
      <x:c r="D25" s="8" t="str">
        <x:v>Scooters &amp; motorbikes</x:v>
      </x:c>
      <x:c r="E25" s="8" t="n">
        <x:v>0</x:v>
      </x:c>
      <x:c r="F25" s="8" t="n">
        <x:v>24</x:v>
      </x:c>
      <x:c r="G25" s="8" t="n">
        <x:v>0</x:v>
      </x:c>
      <x:c r="H25" s="8" t="n">
        <x:v>11.54</x:v>
      </x:c>
      <x:c r="I25" s="8" t="str">
        <x:v>Quick win</x:v>
      </x:c>
      <x:c r="J25" s="8" t="str">
        <x:v>1.2000000000000002</x:v>
      </x:c>
      <x:c r="K25" s="8" t="str">
        <x:v>2026-06-14 to 2026-08-20</x:v>
      </x:c>
      <x:c r="L25" s="8" t="str">
        <x:v>OBSERVED</x:v>
      </x:c>
      <x:c r="M25" s="8" t="str">
        <x:v>FIRST-PARTY MEASUREMENT</x:v>
      </x:c>
      <x:c r="N25" s="8" t="str">
        <x:v>SRC-GSC-QUERIES</x:v>
      </x:c>
    </x:row>
    <x:row r="26" ht="48" customHeight="1">
      <x:c r="A26" s="9" t="str">
        <x:v>HQ22</x:v>
      </x:c>
      <x:c r="B26" s="9" t="str">
        <x:v>international driving permit greece</x:v>
      </x:c>
      <x:c r="C26" s="9" t="str">
        <x:v>English/Other</x:v>
      </x:c>
      <x:c r="D26" s="9" t="str">
        <x:v>Driving licence &amp; rules</x:v>
      </x:c>
      <x:c r="E26" s="9" t="n">
        <x:v>0</x:v>
      </x:c>
      <x:c r="F26" s="9" t="n">
        <x:v>22</x:v>
      </x:c>
      <x:c r="G26" s="9" t="n">
        <x:v>0</x:v>
      </x:c>
      <x:c r="H26" s="9" t="n">
        <x:v>70.73</x:v>
      </x:c>
      <x:c r="I26" s="9" t="str">
        <x:v>Build</x:v>
      </x:c>
      <x:c r="J26" s="9" t="str">
        <x:v>1.1</x:v>
      </x:c>
      <x:c r="K26" s="9" t="str">
        <x:v>2026-06-14 to 2026-08-20</x:v>
      </x:c>
      <x:c r="L26" s="9" t="str">
        <x:v>OBSERVED</x:v>
      </x:c>
      <x:c r="M26" s="9" t="str">
        <x:v>FIRST-PARTY MEASUREMENT</x:v>
      </x:c>
      <x:c r="N26" s="9" t="str">
        <x:v>SRC-GSC-QUERIES</x:v>
      </x:c>
    </x:row>
    <x:row r="27" ht="48" customHeight="1">
      <x:c r="A27" s="8" t="str">
        <x:v>HQ23</x:v>
      </x:c>
      <x:c r="B27" s="8" t="str">
        <x:v>naxos car rental reviews</x:v>
      </x:c>
      <x:c r="C27" s="8" t="str">
        <x:v>English/Other</x:v>
      </x:c>
      <x:c r="D27" s="8" t="str">
        <x:v>Reviews &amp; comparison</x:v>
      </x:c>
      <x:c r="E27" s="8" t="n">
        <x:v>0</x:v>
      </x:c>
      <x:c r="F27" s="8" t="n">
        <x:v>21</x:v>
      </x:c>
      <x:c r="G27" s="8" t="n">
        <x:v>0</x:v>
      </x:c>
      <x:c r="H27" s="8" t="n">
        <x:v>9.1</x:v>
      </x:c>
      <x:c r="I27" s="8" t="str">
        <x:v>Quick win</x:v>
      </x:c>
      <x:c r="J27" s="8" t="str">
        <x:v>1.05</x:v>
      </x:c>
      <x:c r="K27" s="8" t="str">
        <x:v>2026-06-14 to 2026-08-20</x:v>
      </x:c>
      <x:c r="L27" s="8" t="str">
        <x:v>OBSERVED</x:v>
      </x:c>
      <x:c r="M27" s="8" t="str">
        <x:v>FIRST-PARTY MEASUREMENT</x:v>
      </x:c>
      <x:c r="N27" s="8" t="str">
        <x:v>SRC-GSC-QUERIES</x:v>
      </x:c>
    </x:row>
    <x:row r="28" ht="48" customHeight="1">
      <x:c r="A28" s="9" t="str">
        <x:v>HQ24</x:v>
      </x:c>
      <x:c r="B28" s="9" t="str">
        <x:v>best car rental in naxos</x:v>
      </x:c>
      <x:c r="C28" s="9" t="str">
        <x:v>English/Other</x:v>
      </x:c>
      <x:c r="D28" s="9" t="str">
        <x:v>Reviews &amp; comparison</x:v>
      </x:c>
      <x:c r="E28" s="9" t="n">
        <x:v>0</x:v>
      </x:c>
      <x:c r="F28" s="9" t="n">
        <x:v>20</x:v>
      </x:c>
      <x:c r="G28" s="9" t="n">
        <x:v>0</x:v>
      </x:c>
      <x:c r="H28" s="9" t="n">
        <x:v>5.75</x:v>
      </x:c>
      <x:c r="I28" s="9" t="str">
        <x:v>Quick win</x:v>
      </x:c>
      <x:c r="J28" s="9" t="str">
        <x:v>1</x:v>
      </x:c>
      <x:c r="K28" s="9" t="str">
        <x:v>2026-06-14 to 2026-08-20</x:v>
      </x:c>
      <x:c r="L28" s="9" t="str">
        <x:v>OBSERVED</x:v>
      </x:c>
      <x:c r="M28" s="9" t="str">
        <x:v>FIRST-PARTY MEASUREMENT</x:v>
      </x:c>
      <x:c r="N28" s="9" t="str">
        <x:v>SRC-GSC-QUERIES</x:v>
      </x:c>
    </x:row>
    <x:row r="29" ht="48" customHeight="1">
      <x:c r="A29" s="8" t="str">
        <x:v>HQ25</x:v>
      </x:c>
      <x:c r="B29" s="8" t="str">
        <x:v>location de voiture agios prokopios</x:v>
      </x:c>
      <x:c r="C29" s="8" t="str">
        <x:v>French</x:v>
      </x:c>
      <x:c r="D29" s="8" t="str">
        <x:v>Other</x:v>
      </x:c>
      <x:c r="E29" s="8" t="n">
        <x:v>0</x:v>
      </x:c>
      <x:c r="F29" s="8" t="n">
        <x:v>19</x:v>
      </x:c>
      <x:c r="G29" s="8" t="n">
        <x:v>0</x:v>
      </x:c>
      <x:c r="H29" s="8" t="n">
        <x:v>13.11</x:v>
      </x:c>
      <x:c r="I29" s="8" t="str">
        <x:v>Quick win</x:v>
      </x:c>
      <x:c r="J29" s="8" t="str">
        <x:v>0.9500000000000001</x:v>
      </x:c>
      <x:c r="K29" s="8" t="str">
        <x:v>2026-06-14 to 2026-08-20</x:v>
      </x:c>
      <x:c r="L29" s="8" t="str">
        <x:v>OBSERVED</x:v>
      </x:c>
      <x:c r="M29" s="8" t="str">
        <x:v>FIRST-PARTY MEASUREMENT</x:v>
      </x:c>
      <x:c r="N29" s="8" t="str">
        <x:v>SRC-GSC-QUERIES</x:v>
      </x:c>
    </x:row>
    <x:row r="30" ht="48" customHeight="1">
      <x:c r="A30" s="9" t="str">
        <x:v>HQ26</x:v>
      </x:c>
      <x:c r="B30" s="9" t="str">
        <x:v>naxos rent a car</x:v>
      </x:c>
      <x:c r="C30" s="9" t="str">
        <x:v>English/Other</x:v>
      </x:c>
      <x:c r="D30" s="9" t="str">
        <x:v>Core car rental</x:v>
      </x:c>
      <x:c r="E30" s="9" t="n">
        <x:v>0</x:v>
      </x:c>
      <x:c r="F30" s="9" t="n">
        <x:v>17</x:v>
      </x:c>
      <x:c r="G30" s="9" t="n">
        <x:v>0</x:v>
      </x:c>
      <x:c r="H30" s="9" t="n">
        <x:v>21.59</x:v>
      </x:c>
      <x:c r="I30" s="9" t="str">
        <x:v>Build</x:v>
      </x:c>
      <x:c r="J30" s="9" t="str">
        <x:v>0.8500000000000001</x:v>
      </x:c>
      <x:c r="K30" s="9" t="str">
        <x:v>2026-06-14 to 2026-08-20</x:v>
      </x:c>
      <x:c r="L30" s="9" t="str">
        <x:v>OBSERVED</x:v>
      </x:c>
      <x:c r="M30" s="9" t="str">
        <x:v>FIRST-PARTY MEASUREMENT</x:v>
      </x:c>
      <x:c r="N30" s="9" t="str">
        <x:v>SRC-GSC-QUERIES</x:v>
      </x:c>
    </x:row>
    <x:row r="31" ht="48" customHeight="1">
      <x:c r="A31" s="8" t="str">
        <x:v>HQ27</x:v>
      </x:c>
      <x:c r="B31" s="8" t="str">
        <x:v>best car rental naxos greece</x:v>
      </x:c>
      <x:c r="C31" s="8" t="str">
        <x:v>English/Other</x:v>
      </x:c>
      <x:c r="D31" s="8" t="str">
        <x:v>Reviews &amp; comparison</x:v>
      </x:c>
      <x:c r="E31" s="8" t="n">
        <x:v>0</x:v>
      </x:c>
      <x:c r="F31" s="8" t="n">
        <x:v>16</x:v>
      </x:c>
      <x:c r="G31" s="8" t="n">
        <x:v>0</x:v>
      </x:c>
      <x:c r="H31" s="8" t="n">
        <x:v>7.75</x:v>
      </x:c>
      <x:c r="I31" s="8" t="str">
        <x:v>Quick win</x:v>
      </x:c>
      <x:c r="J31" s="8" t="str">
        <x:v>0.8</x:v>
      </x:c>
      <x:c r="K31" s="8" t="str">
        <x:v>2026-06-14 to 2026-08-20</x:v>
      </x:c>
      <x:c r="L31" s="8" t="str">
        <x:v>OBSERVED</x:v>
      </x:c>
      <x:c r="M31" s="8" t="str">
        <x:v>FIRST-PARTY MEASUREMENT</x:v>
      </x:c>
      <x:c r="N31" s="8" t="str">
        <x:v>SRC-GSC-QUERIES</x:v>
      </x:c>
    </x:row>
    <x:row r="32" ht="48" customHeight="1">
      <x:c r="A32" s="9" t="str">
        <x:v>HQ28</x:v>
      </x:c>
      <x:c r="B32" s="9" t="str">
        <x:v>rent a car naxos</x:v>
      </x:c>
      <x:c r="C32" s="9" t="str">
        <x:v>English/Other</x:v>
      </x:c>
      <x:c r="D32" s="9" t="str">
        <x:v>Core car rental</x:v>
      </x:c>
      <x:c r="E32" s="9" t="n">
        <x:v>0</x:v>
      </x:c>
      <x:c r="F32" s="9" t="n">
        <x:v>16</x:v>
      </x:c>
      <x:c r="G32" s="9" t="n">
        <x:v>0</x:v>
      </x:c>
      <x:c r="H32" s="9" t="n">
        <x:v>20.06</x:v>
      </x:c>
      <x:c r="I32" s="9" t="str">
        <x:v>Build</x:v>
      </x:c>
      <x:c r="J32" s="9" t="str">
        <x:v>0.8</x:v>
      </x:c>
      <x:c r="K32" s="9" t="str">
        <x:v>2026-06-14 to 2026-08-20</x:v>
      </x:c>
      <x:c r="L32" s="9" t="str">
        <x:v>OBSERVED</x:v>
      </x:c>
      <x:c r="M32" s="9" t="str">
        <x:v>FIRST-PARTY MEASUREMENT</x:v>
      </x:c>
      <x:c r="N32" s="9" t="str">
        <x:v>SRC-GSC-QUERIES</x:v>
      </x:c>
    </x:row>
    <x:row r="33" ht="48" customHeight="1">
      <x:c r="A33" s="8" t="str">
        <x:v>HQ29</x:v>
      </x:c>
      <x:c r="B33" s="8" t="str">
        <x:v>best car hire naxos</x:v>
      </x:c>
      <x:c r="C33" s="8" t="str">
        <x:v>English/Other</x:v>
      </x:c>
      <x:c r="D33" s="8" t="str">
        <x:v>Reviews &amp; comparison</x:v>
      </x:c>
      <x:c r="E33" s="8" t="n">
        <x:v>0</x:v>
      </x:c>
      <x:c r="F33" s="8" t="n">
        <x:v>15</x:v>
      </x:c>
      <x:c r="G33" s="8" t="n">
        <x:v>0</x:v>
      </x:c>
      <x:c r="H33" s="8" t="n">
        <x:v>9.67</x:v>
      </x:c>
      <x:c r="I33" s="8" t="str">
        <x:v>Quick win</x:v>
      </x:c>
      <x:c r="J33" s="8" t="str">
        <x:v>0.75</x:v>
      </x:c>
      <x:c r="K33" s="8" t="str">
        <x:v>2026-06-14 to 2026-08-20</x:v>
      </x:c>
      <x:c r="L33" s="8" t="str">
        <x:v>OBSERVED</x:v>
      </x:c>
      <x:c r="M33" s="8" t="str">
        <x:v>FIRST-PARTY MEASUREMENT</x:v>
      </x:c>
      <x:c r="N33" s="8" t="str">
        <x:v>SRC-GSC-QUERIES</x:v>
      </x:c>
    </x:row>
    <x:row r="34" ht="48" customHeight="1">
      <x:c r="A34" s="9" t="str">
        <x:v>HQ30</x:v>
      </x:c>
      <x:c r="B34" s="9" t="str">
        <x:v>naxos scooter rental prices</x:v>
      </x:c>
      <x:c r="C34" s="9" t="str">
        <x:v>English/Other</x:v>
      </x:c>
      <x:c r="D34" s="9" t="str">
        <x:v>Scooters &amp; motorbikes</x:v>
      </x:c>
      <x:c r="E34" s="9" t="n">
        <x:v>0</x:v>
      </x:c>
      <x:c r="F34" s="9" t="n">
        <x:v>14</x:v>
      </x:c>
      <x:c r="G34" s="9" t="n">
        <x:v>0</x:v>
      </x:c>
      <x:c r="H34" s="9" t="n">
        <x:v>11.29</x:v>
      </x:c>
      <x:c r="I34" s="9" t="str">
        <x:v>Quick win</x:v>
      </x:c>
      <x:c r="J34" s="9" t="str">
        <x:v>0.7000000000000001</x:v>
      </x:c>
      <x:c r="K34" s="9" t="str">
        <x:v>2026-06-14 to 2026-08-20</x:v>
      </x:c>
      <x:c r="L34" s="9" t="str">
        <x:v>OBSERVED</x:v>
      </x:c>
      <x:c r="M34" s="9" t="str">
        <x:v>FIRST-PARTY MEASUREMENT</x:v>
      </x:c>
      <x:c r="N34" s="9" t="str">
        <x:v>SRC-GSC-QUERIES</x:v>
      </x:c>
    </x:row>
    <x:row r="35" ht="48" customHeight="1">
      <x:c r="A35" s="8" t="str">
        <x:v>HQ31</x:v>
      </x:c>
      <x:c r="B35" s="8" t="str">
        <x:v>naxos scooter</x:v>
      </x:c>
      <x:c r="C35" s="8" t="str">
        <x:v>English/Other</x:v>
      </x:c>
      <x:c r="D35" s="8" t="str">
        <x:v>Scooters &amp; motorbikes</x:v>
      </x:c>
      <x:c r="E35" s="8" t="n">
        <x:v>0</x:v>
      </x:c>
      <x:c r="F35" s="8" t="n">
        <x:v>14</x:v>
      </x:c>
      <x:c r="G35" s="8" t="n">
        <x:v>0</x:v>
      </x:c>
      <x:c r="H35" s="8" t="n">
        <x:v>12.86</x:v>
      </x:c>
      <x:c r="I35" s="8" t="str">
        <x:v>Quick win</x:v>
      </x:c>
      <x:c r="J35" s="8" t="str">
        <x:v>0.7000000000000001</x:v>
      </x:c>
      <x:c r="K35" s="8" t="str">
        <x:v>2026-06-14 to 2026-08-20</x:v>
      </x:c>
      <x:c r="L35" s="8" t="str">
        <x:v>OBSERVED</x:v>
      </x:c>
      <x:c r="M35" s="8" t="str">
        <x:v>FIRST-PARTY MEASUREMENT</x:v>
      </x:c>
      <x:c r="N35" s="8" t="str">
        <x:v>SRC-GSC-QUERIES</x:v>
      </x:c>
    </x:row>
    <x:row r="36" ht="48" customHeight="1">
      <x:c r="A36" s="9" t="str">
        <x:v>HQ32</x:v>
      </x:c>
      <x:c r="B36" s="9" t="str">
        <x:v>naxos scooter rent</x:v>
      </x:c>
      <x:c r="C36" s="9" t="str">
        <x:v>English/Other</x:v>
      </x:c>
      <x:c r="D36" s="9" t="str">
        <x:v>Scooters &amp; motorbikes</x:v>
      </x:c>
      <x:c r="E36" s="9" t="n">
        <x:v>0</x:v>
      </x:c>
      <x:c r="F36" s="9" t="n">
        <x:v>13</x:v>
      </x:c>
      <x:c r="G36" s="9" t="n">
        <x:v>0</x:v>
      </x:c>
      <x:c r="H36" s="9" t="n">
        <x:v>11.92</x:v>
      </x:c>
      <x:c r="I36" s="9" t="str">
        <x:v>Quick win</x:v>
      </x:c>
      <x:c r="J36" s="9" t="str">
        <x:v>0.65</x:v>
      </x:c>
      <x:c r="K36" s="9" t="str">
        <x:v>2026-06-14 to 2026-08-20</x:v>
      </x:c>
      <x:c r="L36" s="9" t="str">
        <x:v>OBSERVED</x:v>
      </x:c>
      <x:c r="M36" s="9" t="str">
        <x:v>FIRST-PARTY MEASUREMENT</x:v>
      </x:c>
      <x:c r="N36" s="9" t="str">
        <x:v>SRC-GSC-QUERIES</x:v>
      </x:c>
    </x:row>
    <x:row r="37" ht="48" customHeight="1">
      <x:c r="A37" s="8" t="str">
        <x:v>HQ33</x:v>
      </x:c>
      <x:c r="B37" s="8" t="str">
        <x:v>scooter hire agia anna</x:v>
      </x:c>
      <x:c r="C37" s="8" t="str">
        <x:v>English/Other</x:v>
      </x:c>
      <x:c r="D37" s="8" t="str">
        <x:v>Scooters &amp; motorbikes</x:v>
      </x:c>
      <x:c r="E37" s="8" t="n">
        <x:v>0</x:v>
      </x:c>
      <x:c r="F37" s="8" t="n">
        <x:v>13</x:v>
      </x:c>
      <x:c r="G37" s="8" t="n">
        <x:v>0</x:v>
      </x:c>
      <x:c r="H37" s="8" t="n">
        <x:v>12.15</x:v>
      </x:c>
      <x:c r="I37" s="8" t="str">
        <x:v>Quick win</x:v>
      </x:c>
      <x:c r="J37" s="8" t="str">
        <x:v>0.65</x:v>
      </x:c>
      <x:c r="K37" s="8" t="str">
        <x:v>2026-06-14 to 2026-08-20</x:v>
      </x:c>
      <x:c r="L37" s="8" t="str">
        <x:v>OBSERVED</x:v>
      </x:c>
      <x:c r="M37" s="8" t="str">
        <x:v>FIRST-PARTY MEASUREMENT</x:v>
      </x:c>
      <x:c r="N37" s="8" t="str">
        <x:v>SRC-GSC-QUERIES</x:v>
      </x:c>
    </x:row>
    <x:row r="38" ht="48" customHeight="1">
      <x:c r="A38" s="9" t="str">
        <x:v>HQ34</x:v>
      </x:c>
      <x:c r="B38" s="9" t="str">
        <x:v>scooter rental agia anna</x:v>
      </x:c>
      <x:c r="C38" s="9" t="str">
        <x:v>English/Other</x:v>
      </x:c>
      <x:c r="D38" s="9" t="str">
        <x:v>Scooters &amp; motorbikes</x:v>
      </x:c>
      <x:c r="E38" s="9" t="n">
        <x:v>0</x:v>
      </x:c>
      <x:c r="F38" s="9" t="n">
        <x:v>13</x:v>
      </x:c>
      <x:c r="G38" s="9" t="n">
        <x:v>0</x:v>
      </x:c>
      <x:c r="H38" s="9" t="n">
        <x:v>12.69</x:v>
      </x:c>
      <x:c r="I38" s="9" t="str">
        <x:v>Quick win</x:v>
      </x:c>
      <x:c r="J38" s="9" t="str">
        <x:v>0.65</x:v>
      </x:c>
      <x:c r="K38" s="9" t="str">
        <x:v>2026-06-14 to 2026-08-20</x:v>
      </x:c>
      <x:c r="L38" s="9" t="str">
        <x:v>OBSERVED</x:v>
      </x:c>
      <x:c r="M38" s="9" t="str">
        <x:v>FIRST-PARTY MEASUREMENT</x:v>
      </x:c>
      <x:c r="N38" s="9" t="str">
        <x:v>SRC-GSC-QUERIES</x:v>
      </x:c>
    </x:row>
    <x:row r="39" ht="48" customHeight="1">
      <x:c r="A39" s="8" t="str">
        <x:v>HQ35</x:v>
      </x:c>
      <x:c r="B39" s="8" t="str">
        <x:v>hertz car rental - naxos, port reviews</x:v>
      </x:c>
      <x:c r="C39" s="8" t="str">
        <x:v>English/Other</x:v>
      </x:c>
      <x:c r="D39" s="8" t="str">
        <x:v>Airport &amp; port pickup</x:v>
      </x:c>
      <x:c r="E39" s="8" t="n">
        <x:v>0</x:v>
      </x:c>
      <x:c r="F39" s="8" t="n">
        <x:v>12</x:v>
      </x:c>
      <x:c r="G39" s="8" t="n">
        <x:v>0</x:v>
      </x:c>
      <x:c r="H39" s="8" t="n">
        <x:v>9.58</x:v>
      </x:c>
      <x:c r="I39" s="8" t="str">
        <x:v>Quick win</x:v>
      </x:c>
      <x:c r="J39" s="8" t="str">
        <x:v>0.6000000000000001</x:v>
      </x:c>
      <x:c r="K39" s="8" t="str">
        <x:v>2026-06-14 to 2026-08-20</x:v>
      </x:c>
      <x:c r="L39" s="8" t="str">
        <x:v>OBSERVED</x:v>
      </x:c>
      <x:c r="M39" s="8" t="str">
        <x:v>FIRST-PARTY MEASUREMENT</x:v>
      </x:c>
      <x:c r="N39" s="8" t="str">
        <x:v>SRC-GSC-QUERIES</x:v>
      </x:c>
    </x:row>
    <x:row r="40" ht="48" customHeight="1">
      <x:c r="A40" s="9" t="str">
        <x:v>HQ36</x:v>
      </x:c>
      <x:c r="B40" s="9" t="str">
        <x:v>naxos rent scooter</x:v>
      </x:c>
      <x:c r="C40" s="9" t="str">
        <x:v>English/Other</x:v>
      </x:c>
      <x:c r="D40" s="9" t="str">
        <x:v>Scooters &amp; motorbikes</x:v>
      </x:c>
      <x:c r="E40" s="9" t="n">
        <x:v>0</x:v>
      </x:c>
      <x:c r="F40" s="9" t="n">
        <x:v>11</x:v>
      </x:c>
      <x:c r="G40" s="9" t="n">
        <x:v>0</x:v>
      </x:c>
      <x:c r="H40" s="9" t="n">
        <x:v>13.64</x:v>
      </x:c>
      <x:c r="I40" s="9" t="str">
        <x:v>Quick win</x:v>
      </x:c>
      <x:c r="J40" s="9" t="str">
        <x:v>0.55</x:v>
      </x:c>
      <x:c r="K40" s="9" t="str">
        <x:v>2026-06-14 to 2026-08-20</x:v>
      </x:c>
      <x:c r="L40" s="9" t="str">
        <x:v>OBSERVED</x:v>
      </x:c>
      <x:c r="M40" s="9" t="str">
        <x:v>FIRST-PARTY MEASUREMENT</x:v>
      </x:c>
      <x:c r="N40" s="9" t="str">
        <x:v>SRC-GSC-QUERIES</x:v>
      </x:c>
    </x:row>
    <x:row r="41" ht="48" customHeight="1">
      <x:c r="A41" s="8" t="str">
        <x:v>HQ37</x:v>
      </x:c>
      <x:c r="B41" s="8" t="str">
        <x:v>rent a car naxos port</x:v>
      </x:c>
      <x:c r="C41" s="8" t="str">
        <x:v>English/Other</x:v>
      </x:c>
      <x:c r="D41" s="8" t="str">
        <x:v>Airport &amp; port pickup</x:v>
      </x:c>
      <x:c r="E41" s="8" t="n">
        <x:v>0</x:v>
      </x:c>
      <x:c r="F41" s="8" t="n">
        <x:v>11</x:v>
      </x:c>
      <x:c r="G41" s="8" t="n">
        <x:v>0</x:v>
      </x:c>
      <x:c r="H41" s="8" t="n">
        <x:v>19.09</x:v>
      </x:c>
      <x:c r="I41" s="8" t="str">
        <x:v>Quick win</x:v>
      </x:c>
      <x:c r="J41" s="8" t="str">
        <x:v>0.55</x:v>
      </x:c>
      <x:c r="K41" s="8" t="str">
        <x:v>2026-06-14 to 2026-08-20</x:v>
      </x:c>
      <x:c r="L41" s="8" t="str">
        <x:v>OBSERVED</x:v>
      </x:c>
      <x:c r="M41" s="8" t="str">
        <x:v>FIRST-PARTY MEASUREMENT</x:v>
      </x:c>
      <x:c r="N41" s="8" t="str">
        <x:v>SRC-GSC-QUERIES</x:v>
      </x:c>
    </x:row>
    <x:row r="42" ht="48" customHeight="1">
      <x:c r="A42" s="9" t="str">
        <x:v>HQ38</x:v>
      </x:c>
      <x:c r="B42" s="9" t="str">
        <x:v>naxos rental scooter</x:v>
      </x:c>
      <x:c r="C42" s="9" t="str">
        <x:v>English/Other</x:v>
      </x:c>
      <x:c r="D42" s="9" t="str">
        <x:v>Scooters &amp; motorbikes</x:v>
      </x:c>
      <x:c r="E42" s="9" t="n">
        <x:v>0</x:v>
      </x:c>
      <x:c r="F42" s="9" t="n">
        <x:v>11</x:v>
      </x:c>
      <x:c r="G42" s="9" t="n">
        <x:v>0</x:v>
      </x:c>
      <x:c r="H42" s="9" t="n">
        <x:v>21.27</x:v>
      </x:c>
      <x:c r="I42" s="9" t="str">
        <x:v>Build</x:v>
      </x:c>
      <x:c r="J42" s="9" t="str">
        <x:v>0.55</x:v>
      </x:c>
      <x:c r="K42" s="9" t="str">
        <x:v>2026-06-14 to 2026-08-20</x:v>
      </x:c>
      <x:c r="L42" s="9" t="str">
        <x:v>OBSERVED</x:v>
      </x:c>
      <x:c r="M42" s="9" t="str">
        <x:v>FIRST-PARTY MEASUREMENT</x:v>
      </x:c>
      <x:c r="N42" s="9" t="str">
        <x:v>SRC-GSC-QUERIES</x:v>
      </x:c>
    </x:row>
    <x:row r="43" ht="48" customHeight="1">
      <x:c r="A43" s="8" t="str">
        <x:v>HQ39</x:v>
      </x:c>
      <x:c r="B43" s="8" t="str">
        <x:v>location voiture naxos</x:v>
      </x:c>
      <x:c r="C43" s="8" t="str">
        <x:v>French</x:v>
      </x:c>
      <x:c r="D43" s="8" t="str">
        <x:v>Core car rental</x:v>
      </x:c>
      <x:c r="E43" s="8" t="n">
        <x:v>0</x:v>
      </x:c>
      <x:c r="F43" s="8" t="n">
        <x:v>11</x:v>
      </x:c>
      <x:c r="G43" s="8" t="n">
        <x:v>0</x:v>
      </x:c>
      <x:c r="H43" s="8" t="n">
        <x:v>46.73</x:v>
      </x:c>
      <x:c r="I43" s="8" t="str">
        <x:v>Build</x:v>
      </x:c>
      <x:c r="J43" s="8" t="str">
        <x:v>0.55</x:v>
      </x:c>
      <x:c r="K43" s="8" t="str">
        <x:v>2026-06-14 to 2026-08-20</x:v>
      </x:c>
      <x:c r="L43" s="8" t="str">
        <x:v>OBSERVED</x:v>
      </x:c>
      <x:c r="M43" s="8" t="str">
        <x:v>FIRST-PARTY MEASUREMENT</x:v>
      </x:c>
      <x:c r="N43" s="8" t="str">
        <x:v>SRC-GSC-QUERIES</x:v>
      </x:c>
    </x:row>
    <x:row r="44" ht="48" customHeight="1">
      <x:c r="A44" s="9" t="str">
        <x:v>HQ40</x:v>
      </x:c>
      <x:c r="B44" s="9" t="str">
        <x:v>naxos car rental</x:v>
      </x:c>
      <x:c r="C44" s="9" t="str">
        <x:v>English/Other</x:v>
      </x:c>
      <x:c r="D44" s="9" t="str">
        <x:v>Core car rental</x:v>
      </x:c>
      <x:c r="E44" s="9" t="n">
        <x:v>0</x:v>
      </x:c>
      <x:c r="F44" s="9" t="n">
        <x:v>10</x:v>
      </x:c>
      <x:c r="G44" s="9" t="n">
        <x:v>0</x:v>
      </x:c>
      <x:c r="H44" s="9" t="n">
        <x:v>5.5</x:v>
      </x:c>
      <x:c r="I44" s="9" t="str">
        <x:v>Quick win</x:v>
      </x:c>
      <x:c r="J44" s="9" t="str">
        <x:v>0.5</x:v>
      </x:c>
      <x:c r="K44" s="9" t="str">
        <x:v>2026-06-14 to 2026-08-20</x:v>
      </x:c>
      <x:c r="L44" s="9" t="str">
        <x:v>OBSERVED</x:v>
      </x:c>
      <x:c r="M44" s="9" t="str">
        <x:v>FIRST-PARTY MEASUREMENT</x:v>
      </x:c>
      <x:c r="N44" s="9" t="str">
        <x:v>SRC-GSC-QUERIES</x:v>
      </x:c>
    </x:row>
    <x:row r="45" ht="48" customHeight="1">
      <x:c r="A45" s="8" t="str">
        <x:v>HQ41</x:v>
      </x:c>
      <x:c r="B45" s="8" t="str">
        <x:v>scooter rental agia anna airport</x:v>
      </x:c>
      <x:c r="C45" s="8" t="str">
        <x:v>English/Other</x:v>
      </x:c>
      <x:c r="D45" s="8" t="str">
        <x:v>Scooters &amp; motorbikes</x:v>
      </x:c>
      <x:c r="E45" s="8" t="n">
        <x:v>0</x:v>
      </x:c>
      <x:c r="F45" s="8" t="n">
        <x:v>10</x:v>
      </x:c>
      <x:c r="G45" s="8" t="n">
        <x:v>0</x:v>
      </x:c>
      <x:c r="H45" s="8" t="n">
        <x:v>15</x:v>
      </x:c>
      <x:c r="I45" s="8" t="str">
        <x:v>Quick win</x:v>
      </x:c>
      <x:c r="J45" s="8" t="str">
        <x:v>0.5</x:v>
      </x:c>
      <x:c r="K45" s="8" t="str">
        <x:v>2026-06-14 to 2026-08-20</x:v>
      </x:c>
      <x:c r="L45" s="8" t="str">
        <x:v>OBSERVED</x:v>
      </x:c>
      <x:c r="M45" s="8" t="str">
        <x:v>FIRST-PARTY MEASUREMENT</x:v>
      </x:c>
      <x:c r="N45" s="8" t="str">
        <x:v>SRC-GSC-QUERIES</x:v>
      </x:c>
    </x:row>
    <x:row r="46" ht="48" customHeight="1">
      <x:c r="A46" s="9" t="str">
        <x:v>HQ42</x:v>
      </x:c>
      <x:c r="B46" s="9" t="str">
        <x:v>scooter hire naxos</x:v>
      </x:c>
      <x:c r="C46" s="9" t="str">
        <x:v>English/Other</x:v>
      </x:c>
      <x:c r="D46" s="9" t="str">
        <x:v>Scooters &amp; motorbikes</x:v>
      </x:c>
      <x:c r="E46" s="9" t="n">
        <x:v>0</x:v>
      </x:c>
      <x:c r="F46" s="9" t="n">
        <x:v>10</x:v>
      </x:c>
      <x:c r="G46" s="9" t="n">
        <x:v>0</x:v>
      </x:c>
      <x:c r="H46" s="9" t="n">
        <x:v>22.6</x:v>
      </x:c>
      <x:c r="I46" s="9" t="str">
        <x:v>Build</x:v>
      </x:c>
      <x:c r="J46" s="9" t="str">
        <x:v>0.5</x:v>
      </x:c>
      <x:c r="K46" s="9" t="str">
        <x:v>2026-06-14 to 2026-08-20</x:v>
      </x:c>
      <x:c r="L46" s="9" t="str">
        <x:v>OBSERVED</x:v>
      </x:c>
      <x:c r="M46" s="9" t="str">
        <x:v>FIRST-PARTY MEASUREMENT</x:v>
      </x:c>
      <x:c r="N46" s="9" t="str">
        <x:v>SRC-GSC-QUERIES</x:v>
      </x:c>
    </x:row>
    <x:row r="47" ht="48" customHeight="1">
      <x:c r="A47" s="8" t="str">
        <x:v>HQ43</x:v>
      </x:c>
      <x:c r="B47" s="8" t="str">
        <x:v>scooter naxos rental</x:v>
      </x:c>
      <x:c r="C47" s="8" t="str">
        <x:v>English/Other</x:v>
      </x:c>
      <x:c r="D47" s="8" t="str">
        <x:v>Scooters &amp; motorbikes</x:v>
      </x:c>
      <x:c r="E47" s="8" t="n">
        <x:v>0</x:v>
      </x:c>
      <x:c r="F47" s="8" t="n">
        <x:v>9</x:v>
      </x:c>
      <x:c r="G47" s="8" t="n">
        <x:v>0</x:v>
      </x:c>
      <x:c r="H47" s="8" t="n">
        <x:v>11.67</x:v>
      </x:c>
      <x:c r="I47" s="8" t="str">
        <x:v>Quick win</x:v>
      </x:c>
      <x:c r="J47" s="8" t="str">
        <x:v>0.45</x:v>
      </x:c>
      <x:c r="K47" s="8" t="str">
        <x:v>2026-06-14 to 2026-08-20</x:v>
      </x:c>
      <x:c r="L47" s="8" t="str">
        <x:v>OBSERVED</x:v>
      </x:c>
      <x:c r="M47" s="8" t="str">
        <x:v>FIRST-PARTY MEASUREMENT</x:v>
      </x:c>
      <x:c r="N47" s="8" t="str">
        <x:v>SRC-GSC-QUERIES</x:v>
      </x:c>
    </x:row>
    <x:row r="48" ht="48" customHeight="1">
      <x:c r="A48" s="9" t="str">
        <x:v>HQ44</x:v>
      </x:c>
      <x:c r="B48" s="9" t="str">
        <x:v>noleggio auto naxos</x:v>
      </x:c>
      <x:c r="C48" s="9" t="str">
        <x:v>Italian</x:v>
      </x:c>
      <x:c r="D48" s="9" t="str">
        <x:v>Core car rental</x:v>
      </x:c>
      <x:c r="E48" s="9" t="n">
        <x:v>0</x:v>
      </x:c>
      <x:c r="F48" s="9" t="n">
        <x:v>9</x:v>
      </x:c>
      <x:c r="G48" s="9" t="n">
        <x:v>0</x:v>
      </x:c>
      <x:c r="H48" s="9" t="n">
        <x:v>44.44</x:v>
      </x:c>
      <x:c r="I48" s="9" t="str">
        <x:v>Build</x:v>
      </x:c>
      <x:c r="J48" s="9" t="str">
        <x:v>0.45</x:v>
      </x:c>
      <x:c r="K48" s="9" t="str">
        <x:v>2026-06-14 to 2026-08-20</x:v>
      </x:c>
      <x:c r="L48" s="9" t="str">
        <x:v>OBSERVED</x:v>
      </x:c>
      <x:c r="M48" s="9" t="str">
        <x:v>FIRST-PARTY MEASUREMENT</x:v>
      </x:c>
      <x:c r="N48" s="9" t="str">
        <x:v>SRC-GSC-QUERIES</x:v>
      </x:c>
    </x:row>
    <x:row r="49" ht="48" customHeight="1">
      <x:c r="A49" s="8" t="str">
        <x:v>HQ45</x:v>
      </x:c>
      <x:c r="B49" s="8" t="str">
        <x:v>autovermietung naxos</x:v>
      </x:c>
      <x:c r="C49" s="8" t="str">
        <x:v>English/Other</x:v>
      </x:c>
      <x:c r="D49" s="8" t="str">
        <x:v>Naxos guide</x:v>
      </x:c>
      <x:c r="E49" s="8" t="n">
        <x:v>0</x:v>
      </x:c>
      <x:c r="F49" s="8" t="n">
        <x:v>9</x:v>
      </x:c>
      <x:c r="G49" s="8" t="n">
        <x:v>0</x:v>
      </x:c>
      <x:c r="H49" s="8" t="n">
        <x:v>46.78</x:v>
      </x:c>
      <x:c r="I49" s="8" t="str">
        <x:v>Build</x:v>
      </x:c>
      <x:c r="J49" s="8" t="str">
        <x:v>0.45</x:v>
      </x:c>
      <x:c r="K49" s="8" t="str">
        <x:v>2026-06-14 to 2026-08-20</x:v>
      </x:c>
      <x:c r="L49" s="8" t="str">
        <x:v>OBSERVED</x:v>
      </x:c>
      <x:c r="M49" s="8" t="str">
        <x:v>FIRST-PARTY MEASUREMENT</x:v>
      </x:c>
      <x:c r="N49" s="8" t="str">
        <x:v>SRC-GSC-QUERIES</x:v>
      </x:c>
    </x:row>
    <x:row r="50" ht="48" customHeight="1">
      <x:c r="A50" s="9" t="str">
        <x:v>HQ46</x:v>
      </x:c>
      <x:c r="B50" s="9" t="str">
        <x:v>cma rent a car naxos reviews</x:v>
      </x:c>
      <x:c r="C50" s="9" t="str">
        <x:v>English/Other</x:v>
      </x:c>
      <x:c r="D50" s="9" t="str">
        <x:v>Reviews &amp; comparison</x:v>
      </x:c>
      <x:c r="E50" s="9" t="n">
        <x:v>0</x:v>
      </x:c>
      <x:c r="F50" s="9" t="n">
        <x:v>8</x:v>
      </x:c>
      <x:c r="G50" s="9" t="n">
        <x:v>0</x:v>
      </x:c>
      <x:c r="H50" s="9" t="n">
        <x:v>9</x:v>
      </x:c>
      <x:c r="I50" s="9" t="str">
        <x:v>Quick win</x:v>
      </x:c>
      <x:c r="J50" s="9" t="str">
        <x:v>0.4</x:v>
      </x:c>
      <x:c r="K50" s="9" t="str">
        <x:v>2026-06-14 to 2026-08-20</x:v>
      </x:c>
      <x:c r="L50" s="9" t="str">
        <x:v>OBSERVED</x:v>
      </x:c>
      <x:c r="M50" s="9" t="str">
        <x:v>FIRST-PARTY MEASUREMENT</x:v>
      </x:c>
      <x:c r="N50" s="9" t="str">
        <x:v>SRC-GSC-QUERIES</x:v>
      </x:c>
    </x:row>
    <x:row r="51" ht="48" customHeight="1">
      <x:c r="A51" s="8" t="str">
        <x:v>HQ47</x:v>
      </x:c>
      <x:c r="B51" s="8" t="str">
        <x:v>rent scooter naxos greece</x:v>
      </x:c>
      <x:c r="C51" s="8" t="str">
        <x:v>English/Other</x:v>
      </x:c>
      <x:c r="D51" s="8" t="str">
        <x:v>Scooters &amp; motorbikes</x:v>
      </x:c>
      <x:c r="E51" s="8" t="n">
        <x:v>0</x:v>
      </x:c>
      <x:c r="F51" s="8" t="n">
        <x:v>8</x:v>
      </x:c>
      <x:c r="G51" s="8" t="n">
        <x:v>0</x:v>
      </x:c>
      <x:c r="H51" s="8" t="n">
        <x:v>23.5</x:v>
      </x:c>
      <x:c r="I51" s="8" t="str">
        <x:v>Build</x:v>
      </x:c>
      <x:c r="J51" s="8" t="str">
        <x:v>0.4</x:v>
      </x:c>
      <x:c r="K51" s="8" t="str">
        <x:v>2026-06-14 to 2026-08-20</x:v>
      </x:c>
      <x:c r="L51" s="8" t="str">
        <x:v>OBSERVED</x:v>
      </x:c>
      <x:c r="M51" s="8" t="str">
        <x:v>FIRST-PARTY MEASUREMENT</x:v>
      </x:c>
      <x:c r="N51" s="8" t="str">
        <x:v>SRC-GSC-QUERIES</x:v>
      </x:c>
    </x:row>
    <x:row r="52" ht="48" customHeight="1">
      <x:c r="A52" s="9" t="str">
        <x:v>HQ48</x:v>
      </x:c>
      <x:c r="B52" s="9" t="str">
        <x:v>avis naxos reviews</x:v>
      </x:c>
      <x:c r="C52" s="9" t="str">
        <x:v>English/Other</x:v>
      </x:c>
      <x:c r="D52" s="9" t="str">
        <x:v>Reviews &amp; comparison</x:v>
      </x:c>
      <x:c r="E52" s="9" t="n">
        <x:v>0</x:v>
      </x:c>
      <x:c r="F52" s="9" t="n">
        <x:v>7</x:v>
      </x:c>
      <x:c r="G52" s="9" t="n">
        <x:v>0</x:v>
      </x:c>
      <x:c r="H52" s="9" t="n">
        <x:v>9.14</x:v>
      </x:c>
      <x:c r="I52" s="9" t="str">
        <x:v>Quick win</x:v>
      </x:c>
      <x:c r="J52" s="9" t="str">
        <x:v>0.35000000000000003</x:v>
      </x:c>
      <x:c r="K52" s="9" t="str">
        <x:v>2026-06-14 to 2026-08-20</x:v>
      </x:c>
      <x:c r="L52" s="9" t="str">
        <x:v>OBSERVED</x:v>
      </x:c>
      <x:c r="M52" s="9" t="str">
        <x:v>FIRST-PARTY MEASUREMENT</x:v>
      </x:c>
      <x:c r="N52" s="9" t="str">
        <x:v>SRC-GSC-QUERIES</x:v>
      </x:c>
    </x:row>
    <x:row r="53" ht="48" customHeight="1">
      <x:c r="A53" s="8" t="str">
        <x:v>HQ49</x:v>
      </x:c>
      <x:c r="B53" s="8" t="str">
        <x:v>naxos noleggio scooter</x:v>
      </x:c>
      <x:c r="C53" s="8" t="str">
        <x:v>Italian</x:v>
      </x:c>
      <x:c r="D53" s="8" t="str">
        <x:v>Scooters &amp; motorbikes</x:v>
      </x:c>
      <x:c r="E53" s="8" t="n">
        <x:v>0</x:v>
      </x:c>
      <x:c r="F53" s="8" t="n">
        <x:v>7</x:v>
      </x:c>
      <x:c r="G53" s="8" t="n">
        <x:v>0</x:v>
      </x:c>
      <x:c r="H53" s="8" t="n">
        <x:v>29.14</x:v>
      </x:c>
      <x:c r="I53" s="8" t="str">
        <x:v>Build</x:v>
      </x:c>
      <x:c r="J53" s="8" t="str">
        <x:v>0.35000000000000003</x:v>
      </x:c>
      <x:c r="K53" s="8" t="str">
        <x:v>2026-06-14 to 2026-08-20</x:v>
      </x:c>
      <x:c r="L53" s="8" t="str">
        <x:v>OBSERVED</x:v>
      </x:c>
      <x:c r="M53" s="8" t="str">
        <x:v>FIRST-PARTY MEASUREMENT</x:v>
      </x:c>
      <x:c r="N53" s="8" t="str">
        <x:v>SRC-GSC-QUERIES</x:v>
      </x:c>
    </x:row>
    <x:row r="54" ht="48" customHeight="1">
      <x:c r="A54" s="9" t="str">
        <x:v>HQ50</x:v>
      </x:c>
      <x:c r="B54" s="9" t="str">
        <x:v>car rental naxos</x:v>
      </x:c>
      <x:c r="C54" s="9" t="str">
        <x:v>English/Other</x:v>
      </x:c>
      <x:c r="D54" s="9" t="str">
        <x:v>Core car rental</x:v>
      </x:c>
      <x:c r="E54" s="9" t="n">
        <x:v>0</x:v>
      </x:c>
      <x:c r="F54" s="9" t="n">
        <x:v>6</x:v>
      </x:c>
      <x:c r="G54" s="9" t="n">
        <x:v>0</x:v>
      </x:c>
      <x:c r="H54" s="9" t="n">
        <x:v>1.83</x:v>
      </x:c>
      <x:c r="I54" s="9" t="str">
        <x:v>Defend</x:v>
      </x:c>
      <x:c r="J54" s="9" t="str">
        <x:v>0.30000000000000004</x:v>
      </x:c>
      <x:c r="K54" s="9" t="str">
        <x:v>2026-06-14 to 2026-08-20</x:v>
      </x:c>
      <x:c r="L54" s="9" t="str">
        <x:v>OBSERVED</x:v>
      </x:c>
      <x:c r="M54" s="9" t="str">
        <x:v>FIRST-PARTY MEASUREMENT</x:v>
      </x:c>
      <x:c r="N54" s="9" t="str">
        <x:v>SRC-GSC-QUERIES</x:v>
      </x:c>
    </x:row>
    <x:row r="55" ht="48" customHeight="1">
      <x:c r="A55" s="8" t="str">
        <x:v>HQ51</x:v>
      </x:c>
      <x:c r="B55" s="8" t="str">
        <x:v>naxos way car rental</x:v>
      </x:c>
      <x:c r="C55" s="8" t="str">
        <x:v>English/Other</x:v>
      </x:c>
      <x:c r="D55" s="8" t="str">
        <x:v>Core car rental</x:v>
      </x:c>
      <x:c r="E55" s="8" t="n">
        <x:v>0</x:v>
      </x:c>
      <x:c r="F55" s="8" t="n">
        <x:v>6</x:v>
      </x:c>
      <x:c r="G55" s="8" t="n">
        <x:v>0</x:v>
      </x:c>
      <x:c r="H55" s="8" t="n">
        <x:v>8.17</x:v>
      </x:c>
      <x:c r="I55" s="8" t="str">
        <x:v>Quick win</x:v>
      </x:c>
      <x:c r="J55" s="8" t="str">
        <x:v>0.30000000000000004</x:v>
      </x:c>
      <x:c r="K55" s="8" t="str">
        <x:v>2026-06-14 to 2026-08-20</x:v>
      </x:c>
      <x:c r="L55" s="8" t="str">
        <x:v>OBSERVED</x:v>
      </x:c>
      <x:c r="M55" s="8" t="str">
        <x:v>FIRST-PARTY MEASUREMENT</x:v>
      </x:c>
      <x:c r="N55" s="8" t="str">
        <x:v>SRC-GSC-QUERIES</x:v>
      </x:c>
    </x:row>
    <x:row r="56" ht="48" customHeight="1">
      <x:c r="A56" s="9" t="str">
        <x:v>HQ52</x:v>
      </x:c>
      <x:c r="B56" s="9" t="str">
        <x:v>giotis rentals naxos</x:v>
      </x:c>
      <x:c r="C56" s="9" t="str">
        <x:v>English/Other</x:v>
      </x:c>
      <x:c r="D56" s="9" t="str">
        <x:v>Naxos guide</x:v>
      </x:c>
      <x:c r="E56" s="9" t="n">
        <x:v>0</x:v>
      </x:c>
      <x:c r="F56" s="9" t="n">
        <x:v>6</x:v>
      </x:c>
      <x:c r="G56" s="9" t="n">
        <x:v>0</x:v>
      </x:c>
      <x:c r="H56" s="9" t="n">
        <x:v>8.5</x:v>
      </x:c>
      <x:c r="I56" s="9" t="str">
        <x:v>Quick win</x:v>
      </x:c>
      <x:c r="J56" s="9" t="str">
        <x:v>0.30000000000000004</x:v>
      </x:c>
      <x:c r="K56" s="9" t="str">
        <x:v>2026-06-14 to 2026-08-20</x:v>
      </x:c>
      <x:c r="L56" s="9" t="str">
        <x:v>OBSERVED</x:v>
      </x:c>
      <x:c r="M56" s="9" t="str">
        <x:v>FIRST-PARTY MEASUREMENT</x:v>
      </x:c>
      <x:c r="N56" s="9" t="str">
        <x:v>SRC-GSC-QUERIES</x:v>
      </x:c>
    </x:row>
    <x:row r="57" ht="48" customHeight="1">
      <x:c r="A57" s="8" t="str">
        <x:v>HQ53</x:v>
      </x:c>
      <x:c r="B57" s="8" t="str">
        <x:v>scooter2ride naxos</x:v>
      </x:c>
      <x:c r="C57" s="8" t="str">
        <x:v>English/Other</x:v>
      </x:c>
      <x:c r="D57" s="8" t="str">
        <x:v>Scooters &amp; motorbikes</x:v>
      </x:c>
      <x:c r="E57" s="8" t="n">
        <x:v>0</x:v>
      </x:c>
      <x:c r="F57" s="8" t="n">
        <x:v>6</x:v>
      </x:c>
      <x:c r="G57" s="8" t="n">
        <x:v>0</x:v>
      </x:c>
      <x:c r="H57" s="8" t="n">
        <x:v>9.83</x:v>
      </x:c>
      <x:c r="I57" s="8" t="str">
        <x:v>Quick win</x:v>
      </x:c>
      <x:c r="J57" s="8" t="str">
        <x:v>0.30000000000000004</x:v>
      </x:c>
      <x:c r="K57" s="8" t="str">
        <x:v>2026-06-14 to 2026-08-20</x:v>
      </x:c>
      <x:c r="L57" s="8" t="str">
        <x:v>OBSERVED</x:v>
      </x:c>
      <x:c r="M57" s="8" t="str">
        <x:v>FIRST-PARTY MEASUREMENT</x:v>
      </x:c>
      <x:c r="N57" s="8" t="str">
        <x:v>SRC-GSC-QUERIES</x:v>
      </x:c>
    </x:row>
    <x:row r="58" ht="48" customHeight="1">
      <x:c r="A58" s="9" t="str">
        <x:v>HQ54</x:v>
      </x:c>
      <x:c r="B58" s="9" t="str">
        <x:v>naxos rent a car reviews</x:v>
      </x:c>
      <x:c r="C58" s="9" t="str">
        <x:v>English/Other</x:v>
      </x:c>
      <x:c r="D58" s="9" t="str">
        <x:v>Reviews &amp; comparison</x:v>
      </x:c>
      <x:c r="E58" s="9" t="n">
        <x:v>0</x:v>
      </x:c>
      <x:c r="F58" s="9" t="n">
        <x:v>6</x:v>
      </x:c>
      <x:c r="G58" s="9" t="n">
        <x:v>0</x:v>
      </x:c>
      <x:c r="H58" s="9" t="n">
        <x:v>10.17</x:v>
      </x:c>
      <x:c r="I58" s="9" t="str">
        <x:v>Quick win</x:v>
      </x:c>
      <x:c r="J58" s="9" t="str">
        <x:v>0.30000000000000004</x:v>
      </x:c>
      <x:c r="K58" s="9" t="str">
        <x:v>2026-06-14 to 2026-08-20</x:v>
      </x:c>
      <x:c r="L58" s="9" t="str">
        <x:v>OBSERVED</x:v>
      </x:c>
      <x:c r="M58" s="9" t="str">
        <x:v>FIRST-PARTY MEASUREMENT</x:v>
      </x:c>
      <x:c r="N58" s="9" t="str">
        <x:v>SRC-GSC-QUERIES</x:v>
      </x:c>
    </x:row>
    <x:row r="59" ht="48" customHeight="1">
      <x:c r="A59" s="8" t="str">
        <x:v>HQ55</x:v>
      </x:c>
      <x:c r="B59" s="8" t="str">
        <x:v>ναξοσ ενοικιαση αυτοκινητου</x:v>
      </x:c>
      <x:c r="C59" s="8" t="str">
        <x:v>Greek</x:v>
      </x:c>
      <x:c r="D59" s="8" t="str">
        <x:v>Core car rental</x:v>
      </x:c>
      <x:c r="E59" s="8" t="n">
        <x:v>0</x:v>
      </x:c>
      <x:c r="F59" s="8" t="n">
        <x:v>6</x:v>
      </x:c>
      <x:c r="G59" s="8" t="n">
        <x:v>0</x:v>
      </x:c>
      <x:c r="H59" s="8" t="n">
        <x:v>11.33</x:v>
      </x:c>
      <x:c r="I59" s="8" t="str">
        <x:v>Quick win</x:v>
      </x:c>
      <x:c r="J59" s="8" t="str">
        <x:v>0.30000000000000004</x:v>
      </x:c>
      <x:c r="K59" s="8" t="str">
        <x:v>2026-06-14 to 2026-08-20</x:v>
      </x:c>
      <x:c r="L59" s="8" t="str">
        <x:v>OBSERVED</x:v>
      </x:c>
      <x:c r="M59" s="8" t="str">
        <x:v>FIRST-PARTY MEASUREMENT</x:v>
      </x:c>
      <x:c r="N59" s="8" t="str">
        <x:v>SRC-GSC-QUERIES</x:v>
      </x:c>
    </x:row>
    <x:row r="60" ht="48" customHeight="1">
      <x:c r="A60" s="9" t="str">
        <x:v>HQ56</x:v>
      </x:c>
      <x:c r="B60" s="9" t="str">
        <x:v>naxos moped rental</x:v>
      </x:c>
      <x:c r="C60" s="9" t="str">
        <x:v>English/Other</x:v>
      </x:c>
      <x:c r="D60" s="9" t="str">
        <x:v>Scooters &amp; motorbikes</x:v>
      </x:c>
      <x:c r="E60" s="9" t="n">
        <x:v>0</x:v>
      </x:c>
      <x:c r="F60" s="9" t="n">
        <x:v>6</x:v>
      </x:c>
      <x:c r="G60" s="9" t="n">
        <x:v>0</x:v>
      </x:c>
      <x:c r="H60" s="9" t="n">
        <x:v>14.83</x:v>
      </x:c>
      <x:c r="I60" s="9" t="str">
        <x:v>Quick win</x:v>
      </x:c>
      <x:c r="J60" s="9" t="str">
        <x:v>0.30000000000000004</x:v>
      </x:c>
      <x:c r="K60" s="9" t="str">
        <x:v>2026-06-14 to 2026-08-20</x:v>
      </x:c>
      <x:c r="L60" s="9" t="str">
        <x:v>OBSERVED</x:v>
      </x:c>
      <x:c r="M60" s="9" t="str">
        <x:v>FIRST-PARTY MEASUREMENT</x:v>
      </x:c>
      <x:c r="N60" s="9" t="str">
        <x:v>SRC-GSC-QUERIES</x:v>
      </x:c>
    </x:row>
    <x:row r="61" ht="48" customHeight="1">
      <x:c r="A61" s="8" t="str">
        <x:v>HQ57</x:v>
      </x:c>
      <x:c r="B61" s="8" t="str">
        <x:v>moped rental naxos</x:v>
      </x:c>
      <x:c r="C61" s="8" t="str">
        <x:v>English/Other</x:v>
      </x:c>
      <x:c r="D61" s="8" t="str">
        <x:v>Scooters &amp; motorbikes</x:v>
      </x:c>
      <x:c r="E61" s="8" t="n">
        <x:v>0</x:v>
      </x:c>
      <x:c r="F61" s="8" t="n">
        <x:v>6</x:v>
      </x:c>
      <x:c r="G61" s="8" t="n">
        <x:v>0</x:v>
      </x:c>
      <x:c r="H61" s="8" t="n">
        <x:v>22.67</x:v>
      </x:c>
      <x:c r="I61" s="8" t="str">
        <x:v>Build</x:v>
      </x:c>
      <x:c r="J61" s="8" t="str">
        <x:v>0.30000000000000004</x:v>
      </x:c>
      <x:c r="K61" s="8" t="str">
        <x:v>2026-06-14 to 2026-08-20</x:v>
      </x:c>
      <x:c r="L61" s="8" t="str">
        <x:v>OBSERVED</x:v>
      </x:c>
      <x:c r="M61" s="8" t="str">
        <x:v>FIRST-PARTY MEASUREMENT</x:v>
      </x:c>
      <x:c r="N61" s="8" t="str">
        <x:v>SRC-GSC-QUERIES</x:v>
      </x:c>
    </x:row>
    <x:row r="62" ht="48" customHeight="1">
      <x:c r="A62" s="9" t="str">
        <x:v>HQ58</x:v>
      </x:c>
      <x:c r="B62" s="9" t="str">
        <x:v>scooter rental giardini naxos</x:v>
      </x:c>
      <x:c r="C62" s="9" t="str">
        <x:v>English/Other</x:v>
      </x:c>
      <x:c r="D62" s="9" t="str">
        <x:v>Scooters &amp; motorbikes</x:v>
      </x:c>
      <x:c r="E62" s="9" t="n">
        <x:v>0</x:v>
      </x:c>
      <x:c r="F62" s="9" t="n">
        <x:v>6</x:v>
      </x:c>
      <x:c r="G62" s="9" t="n">
        <x:v>0</x:v>
      </x:c>
      <x:c r="H62" s="9" t="n">
        <x:v>27.5</x:v>
      </x:c>
      <x:c r="I62" s="9" t="str">
        <x:v>Build</x:v>
      </x:c>
      <x:c r="J62" s="9" t="str">
        <x:v>0.30000000000000004</x:v>
      </x:c>
      <x:c r="K62" s="9" t="str">
        <x:v>2026-06-14 to 2026-08-20</x:v>
      </x:c>
      <x:c r="L62" s="9" t="str">
        <x:v>OBSERVED</x:v>
      </x:c>
      <x:c r="M62" s="9" t="str">
        <x:v>FIRST-PARTY MEASUREMENT</x:v>
      </x:c>
      <x:c r="N62" s="9" t="str">
        <x:v>SRC-GSC-QUERIES</x:v>
      </x:c>
    </x:row>
    <x:row r="63" ht="48" customHeight="1">
      <x:c r="A63" s="8" t="str">
        <x:v>HQ59</x:v>
      </x:c>
      <x:c r="B63" s="8" t="str">
        <x:v>wheelso car rental - naxos reviews</x:v>
      </x:c>
      <x:c r="C63" s="8" t="str">
        <x:v>English/Other</x:v>
      </x:c>
      <x:c r="D63" s="8" t="str">
        <x:v>Reviews &amp; comparison</x:v>
      </x:c>
      <x:c r="E63" s="8" t="n">
        <x:v>0</x:v>
      </x:c>
      <x:c r="F63" s="8" t="n">
        <x:v>5</x:v>
      </x:c>
      <x:c r="G63" s="8" t="n">
        <x:v>0</x:v>
      </x:c>
      <x:c r="H63" s="8" t="n">
        <x:v>10.8</x:v>
      </x:c>
      <x:c r="I63" s="8" t="str">
        <x:v>Quick win</x:v>
      </x:c>
      <x:c r="J63" s="8" t="str">
        <x:v>0.25</x:v>
      </x:c>
      <x:c r="K63" s="8" t="str">
        <x:v>2026-06-14 to 2026-08-20</x:v>
      </x:c>
      <x:c r="L63" s="8" t="str">
        <x:v>OBSERVED</x:v>
      </x:c>
      <x:c r="M63" s="8" t="str">
        <x:v>FIRST-PARTY MEASUREMENT</x:v>
      </x:c>
      <x:c r="N63" s="8" t="str">
        <x:v>SRC-GSC-QUERIES</x:v>
      </x:c>
    </x:row>
    <x:row r="64" ht="48" customHeight="1">
      <x:c r="A64" s="9" t="str">
        <x:v>HQ60</x:v>
      </x:c>
      <x:c r="B64" s="9" t="str">
        <x:v>naxos location scooter</x:v>
      </x:c>
      <x:c r="C64" s="9" t="str">
        <x:v>French</x:v>
      </x:c>
      <x:c r="D64" s="9" t="str">
        <x:v>Scooters &amp; motorbikes</x:v>
      </x:c>
      <x:c r="E64" s="9" t="n">
        <x:v>0</x:v>
      </x:c>
      <x:c r="F64" s="9" t="n">
        <x:v>5</x:v>
      </x:c>
      <x:c r="G64" s="9" t="n">
        <x:v>0</x:v>
      </x:c>
      <x:c r="H64" s="9" t="n">
        <x:v>11.6</x:v>
      </x:c>
      <x:c r="I64" s="9" t="str">
        <x:v>Quick win</x:v>
      </x:c>
      <x:c r="J64" s="9" t="str">
        <x:v>0.25</x:v>
      </x:c>
      <x:c r="K64" s="9" t="str">
        <x:v>2026-06-14 to 2026-08-20</x:v>
      </x:c>
      <x:c r="L64" s="9" t="str">
        <x:v>OBSERVED</x:v>
      </x:c>
      <x:c r="M64" s="9" t="str">
        <x:v>FIRST-PARTY MEASUREMENT</x:v>
      </x:c>
      <x:c r="N64" s="9" t="str">
        <x:v>SRC-GSC-QUERIES</x:v>
      </x:c>
    </x:row>
    <x:row r="65" ht="48" customHeight="1">
      <x:c r="A65" s="8" t="str">
        <x:v>HQ61</x:v>
      </x:c>
      <x:c r="B65" s="8" t="str">
        <x:v>hertz naxos port</x:v>
      </x:c>
      <x:c r="C65" s="8" t="str">
        <x:v>English/Other</x:v>
      </x:c>
      <x:c r="D65" s="8" t="str">
        <x:v>Airport &amp; port pickup</x:v>
      </x:c>
      <x:c r="E65" s="8" t="n">
        <x:v>0</x:v>
      </x:c>
      <x:c r="F65" s="8" t="n">
        <x:v>5</x:v>
      </x:c>
      <x:c r="G65" s="8" t="n">
        <x:v>0</x:v>
      </x:c>
      <x:c r="H65" s="8" t="n">
        <x:v>12</x:v>
      </x:c>
      <x:c r="I65" s="8" t="str">
        <x:v>Quick win</x:v>
      </x:c>
      <x:c r="J65" s="8" t="str">
        <x:v>0.25</x:v>
      </x:c>
      <x:c r="K65" s="8" t="str">
        <x:v>2026-06-14 to 2026-08-20</x:v>
      </x:c>
      <x:c r="L65" s="8" t="str">
        <x:v>OBSERVED</x:v>
      </x:c>
      <x:c r="M65" s="8" t="str">
        <x:v>FIRST-PARTY MEASUREMENT</x:v>
      </x:c>
      <x:c r="N65" s="8" t="str">
        <x:v>SRC-GSC-QUERIES</x:v>
      </x:c>
    </x:row>
    <x:row r="66" ht="48" customHeight="1">
      <x:c r="A66" s="9" t="str">
        <x:v>HQ62</x:v>
      </x:c>
      <x:c r="B66" s="9" t="str">
        <x:v>φθηνη ενοικιαση αυτοκινητου ναξοσ</x:v>
      </x:c>
      <x:c r="C66" s="9" t="str">
        <x:v>Greek</x:v>
      </x:c>
      <x:c r="D66" s="9" t="str">
        <x:v>Price &amp; value</x:v>
      </x:c>
      <x:c r="E66" s="9" t="n">
        <x:v>0</x:v>
      </x:c>
      <x:c r="F66" s="9" t="n">
        <x:v>5</x:v>
      </x:c>
      <x:c r="G66" s="9" t="n">
        <x:v>0</x:v>
      </x:c>
      <x:c r="H66" s="9" t="n">
        <x:v>17.6</x:v>
      </x:c>
      <x:c r="I66" s="9" t="str">
        <x:v>Quick win</x:v>
      </x:c>
      <x:c r="J66" s="9" t="str">
        <x:v>0.25</x:v>
      </x:c>
      <x:c r="K66" s="9" t="str">
        <x:v>2026-06-14 to 2026-08-20</x:v>
      </x:c>
      <x:c r="L66" s="9" t="str">
        <x:v>OBSERVED</x:v>
      </x:c>
      <x:c r="M66" s="9" t="str">
        <x:v>FIRST-PARTY MEASUREMENT</x:v>
      </x:c>
      <x:c r="N66" s="9" t="str">
        <x:v>SRC-GSC-QUERIES</x:v>
      </x:c>
    </x:row>
    <x:row r="67" ht="48" customHeight="1">
      <x:c r="A67" s="8" t="str">
        <x:v>HQ63</x:v>
      </x:c>
      <x:c r="B67" s="8" t="str">
        <x:v>naxos car rentals</x:v>
      </x:c>
      <x:c r="C67" s="8" t="str">
        <x:v>English/Other</x:v>
      </x:c>
      <x:c r="D67" s="8" t="str">
        <x:v>Core car rental</x:v>
      </x:c>
      <x:c r="E67" s="8" t="n">
        <x:v>0</x:v>
      </x:c>
      <x:c r="F67" s="8" t="n">
        <x:v>5</x:v>
      </x:c>
      <x:c r="G67" s="8" t="n">
        <x:v>0</x:v>
      </x:c>
      <x:c r="H67" s="8" t="n">
        <x:v>19.2</x:v>
      </x:c>
      <x:c r="I67" s="8" t="str">
        <x:v>Quick win</x:v>
      </x:c>
      <x:c r="J67" s="8" t="str">
        <x:v>0.25</x:v>
      </x:c>
      <x:c r="K67" s="8" t="str">
        <x:v>2026-06-14 to 2026-08-20</x:v>
      </x:c>
      <x:c r="L67" s="8" t="str">
        <x:v>OBSERVED</x:v>
      </x:c>
      <x:c r="M67" s="8" t="str">
        <x:v>FIRST-PARTY MEASUREMENT</x:v>
      </x:c>
      <x:c r="N67" s="8" t="str">
        <x:v>SRC-GSC-QUERIES</x:v>
      </x:c>
    </x:row>
    <x:row r="68" ht="48" customHeight="1">
      <x:c r="A68" s="9" t="str">
        <x:v>HQ64</x:v>
      </x:c>
      <x:c r="B68" s="9" t="str">
        <x:v>naxos buggy rental</x:v>
      </x:c>
      <x:c r="C68" s="9" t="str">
        <x:v>English/Other</x:v>
      </x:c>
      <x:c r="D68" s="9" t="str">
        <x:v>ATV, quad &amp; buggy</x:v>
      </x:c>
      <x:c r="E68" s="9" t="n">
        <x:v>0</x:v>
      </x:c>
      <x:c r="F68" s="9" t="n">
        <x:v>5</x:v>
      </x:c>
      <x:c r="G68" s="9" t="n">
        <x:v>0</x:v>
      </x:c>
      <x:c r="H68" s="9" t="n">
        <x:v>22.4</x:v>
      </x:c>
      <x:c r="I68" s="9" t="str">
        <x:v>Build</x:v>
      </x:c>
      <x:c r="J68" s="9" t="str">
        <x:v>0.25</x:v>
      </x:c>
      <x:c r="K68" s="9" t="str">
        <x:v>2026-06-14 to 2026-08-20</x:v>
      </x:c>
      <x:c r="L68" s="9" t="str">
        <x:v>OBSERVED</x:v>
      </x:c>
      <x:c r="M68" s="9" t="str">
        <x:v>FIRST-PARTY MEASUREMENT</x:v>
      </x:c>
      <x:c r="N68" s="9" t="str">
        <x:v>SRC-GSC-QUERIES</x:v>
      </x:c>
    </x:row>
    <x:row r="69" ht="48" customHeight="1">
      <x:c r="A69" s="8" t="str">
        <x:v>HQ65</x:v>
      </x:c>
      <x:c r="B69" s="8" t="str">
        <x:v>ενοικιαση αυτοκινητου ναξοσ</x:v>
      </x:c>
      <x:c r="C69" s="8" t="str">
        <x:v>Greek</x:v>
      </x:c>
      <x:c r="D69" s="8" t="str">
        <x:v>Core car rental</x:v>
      </x:c>
      <x:c r="E69" s="8" t="n">
        <x:v>0</x:v>
      </x:c>
      <x:c r="F69" s="8" t="n">
        <x:v>5</x:v>
      </x:c>
      <x:c r="G69" s="8" t="n">
        <x:v>0</x:v>
      </x:c>
      <x:c r="H69" s="8" t="n">
        <x:v>23.6</x:v>
      </x:c>
      <x:c r="I69" s="8" t="str">
        <x:v>Build</x:v>
      </x:c>
      <x:c r="J69" s="8" t="str">
        <x:v>0.25</x:v>
      </x:c>
      <x:c r="K69" s="8" t="str">
        <x:v>2026-06-14 to 2026-08-20</x:v>
      </x:c>
      <x:c r="L69" s="8" t="str">
        <x:v>OBSERVED</x:v>
      </x:c>
      <x:c r="M69" s="8" t="str">
        <x:v>FIRST-PARTY MEASUREMENT</x:v>
      </x:c>
      <x:c r="N69" s="8" t="str">
        <x:v>SRC-GSC-QUERIES</x:v>
      </x:c>
    </x:row>
    <x:row r="70" ht="48" customHeight="1">
      <x:c r="A70" s="9" t="str">
        <x:v>HQ66</x:v>
      </x:c>
      <x:c r="B70" s="9" t="str">
        <x:v>moped rental agia anna</x:v>
      </x:c>
      <x:c r="C70" s="9" t="str">
        <x:v>English/Other</x:v>
      </x:c>
      <x:c r="D70" s="9" t="str">
        <x:v>Scooters &amp; motorbikes</x:v>
      </x:c>
      <x:c r="E70" s="9" t="n">
        <x:v>0</x:v>
      </x:c>
      <x:c r="F70" s="9" t="n">
        <x:v>5</x:v>
      </x:c>
      <x:c r="G70" s="9" t="n">
        <x:v>0</x:v>
      </x:c>
      <x:c r="H70" s="9" t="n">
        <x:v>26.2</x:v>
      </x:c>
      <x:c r="I70" s="9" t="str">
        <x:v>Build</x:v>
      </x:c>
      <x:c r="J70" s="9" t="str">
        <x:v>0.25</x:v>
      </x:c>
      <x:c r="K70" s="9" t="str">
        <x:v>2026-06-14 to 2026-08-20</x:v>
      </x:c>
      <x:c r="L70" s="9" t="str">
        <x:v>OBSERVED</x:v>
      </x:c>
      <x:c r="M70" s="9" t="str">
        <x:v>FIRST-PARTY MEASUREMENT</x:v>
      </x:c>
      <x:c r="N70" s="9" t="str">
        <x:v>SRC-GSC-QUERIES</x:v>
      </x:c>
    </x:row>
    <x:row r="71" ht="48" customHeight="1">
      <x:c r="A71" s="8" t="str">
        <x:v>HQ67</x:v>
      </x:c>
      <x:c r="B71" s="8" t="str">
        <x:v>ενοικιαση αυτοκινητου ναξος</x:v>
      </x:c>
      <x:c r="C71" s="8" t="str">
        <x:v>Greek</x:v>
      </x:c>
      <x:c r="D71" s="8" t="str">
        <x:v>Core car rental</x:v>
      </x:c>
      <x:c r="E71" s="8" t="n">
        <x:v>0</x:v>
      </x:c>
      <x:c r="F71" s="8" t="n">
        <x:v>5</x:v>
      </x:c>
      <x:c r="G71" s="8" t="n">
        <x:v>0</x:v>
      </x:c>
      <x:c r="H71" s="8" t="n">
        <x:v>29.4</x:v>
      </x:c>
      <x:c r="I71" s="8" t="str">
        <x:v>Build</x:v>
      </x:c>
      <x:c r="J71" s="8" t="str">
        <x:v>0.25</x:v>
      </x:c>
      <x:c r="K71" s="8" t="str">
        <x:v>2026-06-14 to 2026-08-20</x:v>
      </x:c>
      <x:c r="L71" s="8" t="str">
        <x:v>OBSERVED</x:v>
      </x:c>
      <x:c r="M71" s="8" t="str">
        <x:v>FIRST-PARTY MEASUREMENT</x:v>
      </x:c>
      <x:c r="N71" s="8" t="str">
        <x:v>SRC-GSC-QUERIES</x:v>
      </x:c>
    </x:row>
    <x:row r="72" ht="48" customHeight="1">
      <x:c r="A72" s="9" t="str">
        <x:v>HQ68</x:v>
      </x:c>
      <x:c r="B72" s="9" t="str">
        <x:v>greece</x:v>
      </x:c>
      <x:c r="C72" s="9" t="str">
        <x:v>English/Other</x:v>
      </x:c>
      <x:c r="D72" s="9" t="str">
        <x:v>Other</x:v>
      </x:c>
      <x:c r="E72" s="9" t="n">
        <x:v>0</x:v>
      </x:c>
      <x:c r="F72" s="9" t="n">
        <x:v>4</x:v>
      </x:c>
      <x:c r="G72" s="9" t="n">
        <x:v>0</x:v>
      </x:c>
      <x:c r="H72" s="9" t="n">
        <x:v>2.25</x:v>
      </x:c>
      <x:c r="I72" s="9" t="str">
        <x:v>Defend</x:v>
      </x:c>
      <x:c r="J72" s="9" t="str">
        <x:v>0.2</x:v>
      </x:c>
      <x:c r="K72" s="9" t="str">
        <x:v>2026-06-14 to 2026-08-20</x:v>
      </x:c>
      <x:c r="L72" s="9" t="str">
        <x:v>OBSERVED</x:v>
      </x:c>
      <x:c r="M72" s="9" t="str">
        <x:v>FIRST-PARTY MEASUREMENT</x:v>
      </x:c>
      <x:c r="N72" s="9" t="str">
        <x:v>SRC-GSC-QUERIES</x:v>
      </x:c>
    </x:row>
    <x:row r="73" ht="48" customHeight="1">
      <x:c r="A73" s="8" t="str">
        <x:v>HQ69</x:v>
      </x:c>
      <x:c r="B73" s="8" t="str">
        <x:v>naxos top drive reviews</x:v>
      </x:c>
      <x:c r="C73" s="8" t="str">
        <x:v>English/Other</x:v>
      </x:c>
      <x:c r="D73" s="8" t="str">
        <x:v>Reviews &amp; comparison</x:v>
      </x:c>
      <x:c r="E73" s="8" t="n">
        <x:v>0</x:v>
      </x:c>
      <x:c r="F73" s="8" t="n">
        <x:v>4</x:v>
      </x:c>
      <x:c r="G73" s="8" t="n">
        <x:v>0</x:v>
      </x:c>
      <x:c r="H73" s="8" t="n">
        <x:v>9.5</x:v>
      </x:c>
      <x:c r="I73" s="8" t="str">
        <x:v>Build</x:v>
      </x:c>
      <x:c r="J73" s="8" t="str">
        <x:v>0.2</x:v>
      </x:c>
      <x:c r="K73" s="8" t="str">
        <x:v>2026-06-14 to 2026-08-20</x:v>
      </x:c>
      <x:c r="L73" s="8" t="str">
        <x:v>OBSERVED</x:v>
      </x:c>
      <x:c r="M73" s="8" t="str">
        <x:v>FIRST-PARTY MEASUREMENT</x:v>
      </x:c>
      <x:c r="N73" s="8" t="str">
        <x:v>SRC-GSC-QUERIES</x:v>
      </x:c>
    </x:row>
    <x:row r="74" ht="48" customHeight="1">
      <x:c r="A74" s="9" t="str">
        <x:v>HQ70</x:v>
      </x:c>
      <x:c r="B74" s="9" t="str">
        <x:v>naxos scooter hire</x:v>
      </x:c>
      <x:c r="C74" s="9" t="str">
        <x:v>English/Other</x:v>
      </x:c>
      <x:c r="D74" s="9" t="str">
        <x:v>Scooters &amp; motorbikes</x:v>
      </x:c>
      <x:c r="E74" s="9" t="n">
        <x:v>0</x:v>
      </x:c>
      <x:c r="F74" s="9" t="n">
        <x:v>4</x:v>
      </x:c>
      <x:c r="G74" s="9" t="n">
        <x:v>0</x:v>
      </x:c>
      <x:c r="H74" s="9" t="n">
        <x:v>11.5</x:v>
      </x:c>
      <x:c r="I74" s="9" t="str">
        <x:v>Build</x:v>
      </x:c>
      <x:c r="J74" s="9" t="str">
        <x:v>0.2</x:v>
      </x:c>
      <x:c r="K74" s="9" t="str">
        <x:v>2026-06-14 to 2026-08-20</x:v>
      </x:c>
      <x:c r="L74" s="9" t="str">
        <x:v>OBSERVED</x:v>
      </x:c>
      <x:c r="M74" s="9" t="str">
        <x:v>FIRST-PARTY MEASUREMENT</x:v>
      </x:c>
      <x:c r="N74" s="9" t="str">
        <x:v>SRC-GSC-QUERIES</x:v>
      </x:c>
    </x:row>
    <x:row r="75" ht="48" customHeight="1">
      <x:c r="A75" s="8" t="str">
        <x:v>HQ71</x:v>
      </x:c>
      <x:c r="B75" s="8" t="str">
        <x:v>naxos auto rent reviews</x:v>
      </x:c>
      <x:c r="C75" s="8" t="str">
        <x:v>Italian</x:v>
      </x:c>
      <x:c r="D75" s="8" t="str">
        <x:v>Reviews &amp; comparison</x:v>
      </x:c>
      <x:c r="E75" s="8" t="n">
        <x:v>0</x:v>
      </x:c>
      <x:c r="F75" s="8" t="n">
        <x:v>4</x:v>
      </x:c>
      <x:c r="G75" s="8" t="n">
        <x:v>0</x:v>
      </x:c>
      <x:c r="H75" s="8" t="n">
        <x:v>14.75</x:v>
      </x:c>
      <x:c r="I75" s="8" t="str">
        <x:v>Build</x:v>
      </x:c>
      <x:c r="J75" s="8" t="str">
        <x:v>0.2</x:v>
      </x:c>
      <x:c r="K75" s="8" t="str">
        <x:v>2026-06-14 to 2026-08-20</x:v>
      </x:c>
      <x:c r="L75" s="8" t="str">
        <x:v>OBSERVED</x:v>
      </x:c>
      <x:c r="M75" s="8" t="str">
        <x:v>FIRST-PARTY MEASUREMENT</x:v>
      </x:c>
      <x:c r="N75" s="8" t="str">
        <x:v>SRC-GSC-QUERIES</x:v>
      </x:c>
    </x:row>
    <x:row r="76" ht="48" customHeight="1">
      <x:c r="A76" s="9" t="str">
        <x:v>HQ72</x:v>
      </x:c>
      <x:c r="B76" s="9" t="str">
        <x:v>φθηνα ενοικιαζομενα αυτοκινητα ναξοσ</x:v>
      </x:c>
      <x:c r="C76" s="9" t="str">
        <x:v>Greek</x:v>
      </x:c>
      <x:c r="D76" s="9" t="str">
        <x:v>Price &amp; value</x:v>
      </x:c>
      <x:c r="E76" s="9" t="n">
        <x:v>0</x:v>
      </x:c>
      <x:c r="F76" s="9" t="n">
        <x:v>4</x:v>
      </x:c>
      <x:c r="G76" s="9" t="n">
        <x:v>0</x:v>
      </x:c>
      <x:c r="H76" s="9" t="n">
        <x:v>17</x:v>
      </x:c>
      <x:c r="I76" s="9" t="str">
        <x:v>Build</x:v>
      </x:c>
      <x:c r="J76" s="9" t="str">
        <x:v>0.2</x:v>
      </x:c>
      <x:c r="K76" s="9" t="str">
        <x:v>2026-06-14 to 2026-08-20</x:v>
      </x:c>
      <x:c r="L76" s="9" t="str">
        <x:v>OBSERVED</x:v>
      </x:c>
      <x:c r="M76" s="9" t="str">
        <x:v>FIRST-PARTY MEASUREMENT</x:v>
      </x:c>
      <x:c r="N76" s="9" t="str">
        <x:v>SRC-GSC-QUERIES</x:v>
      </x:c>
    </x:row>
    <x:row r="77" ht="48" customHeight="1">
      <x:c r="A77" s="8" t="str">
        <x:v>HQ73</x:v>
      </x:c>
      <x:c r="B77" s="8" t="str">
        <x:v>ναξοσ ενοικιαζομενα αυτοκινητα</x:v>
      </x:c>
      <x:c r="C77" s="8" t="str">
        <x:v>Greek</x:v>
      </x:c>
      <x:c r="D77" s="8" t="str">
        <x:v>Core car rental</x:v>
      </x:c>
      <x:c r="E77" s="8" t="n">
        <x:v>0</x:v>
      </x:c>
      <x:c r="F77" s="8" t="n">
        <x:v>4</x:v>
      </x:c>
      <x:c r="G77" s="8" t="n">
        <x:v>0</x:v>
      </x:c>
      <x:c r="H77" s="8" t="n">
        <x:v>18.5</x:v>
      </x:c>
      <x:c r="I77" s="8" t="str">
        <x:v>Build</x:v>
      </x:c>
      <x:c r="J77" s="8" t="str">
        <x:v>0.2</x:v>
      </x:c>
      <x:c r="K77" s="8" t="str">
        <x:v>2026-06-14 to 2026-08-20</x:v>
      </x:c>
      <x:c r="L77" s="8" t="str">
        <x:v>OBSERVED</x:v>
      </x:c>
      <x:c r="M77" s="8" t="str">
        <x:v>FIRST-PARTY MEASUREMENT</x:v>
      </x:c>
      <x:c r="N77" s="8" t="str">
        <x:v>SRC-GSC-QUERIES</x:v>
      </x:c>
    </x:row>
    <x:row r="78" ht="48" customHeight="1">
      <x:c r="A78" s="9" t="str">
        <x:v>HQ74</x:v>
      </x:c>
      <x:c r="B78" s="9" t="str">
        <x:v>naxos auto rent</x:v>
      </x:c>
      <x:c r="C78" s="9" t="str">
        <x:v>Italian</x:v>
      </x:c>
      <x:c r="D78" s="9" t="str">
        <x:v>Naxos guide</x:v>
      </x:c>
      <x:c r="E78" s="9" t="n">
        <x:v>0</x:v>
      </x:c>
      <x:c r="F78" s="9" t="n">
        <x:v>4</x:v>
      </x:c>
      <x:c r="G78" s="9" t="n">
        <x:v>0</x:v>
      </x:c>
      <x:c r="H78" s="9" t="n">
        <x:v>22</x:v>
      </x:c>
      <x:c r="I78" s="9" t="str">
        <x:v>Build</x:v>
      </x:c>
      <x:c r="J78" s="9" t="str">
        <x:v>0.2</x:v>
      </x:c>
      <x:c r="K78" s="9" t="str">
        <x:v>2026-06-14 to 2026-08-20</x:v>
      </x:c>
      <x:c r="L78" s="9" t="str">
        <x:v>OBSERVED</x:v>
      </x:c>
      <x:c r="M78" s="9" t="str">
        <x:v>FIRST-PARTY MEASUREMENT</x:v>
      </x:c>
      <x:c r="N78" s="9" t="str">
        <x:v>SRC-GSC-QUERIES</x:v>
      </x:c>
    </x:row>
    <x:row r="79" ht="48" customHeight="1">
      <x:c r="A79" s="8" t="str">
        <x:v>HQ75</x:v>
      </x:c>
      <x:c r="B79" s="8" t="str">
        <x:v>noleggio motorini naxos</x:v>
      </x:c>
      <x:c r="C79" s="8" t="str">
        <x:v>Italian</x:v>
      </x:c>
      <x:c r="D79" s="8" t="str">
        <x:v>Naxos guide</x:v>
      </x:c>
      <x:c r="E79" s="8" t="n">
        <x:v>0</x:v>
      </x:c>
      <x:c r="F79" s="8" t="n">
        <x:v>4</x:v>
      </x:c>
      <x:c r="G79" s="8" t="n">
        <x:v>0</x:v>
      </x:c>
      <x:c r="H79" s="8" t="n">
        <x:v>27.25</x:v>
      </x:c>
      <x:c r="I79" s="8" t="str">
        <x:v>Build</x:v>
      </x:c>
      <x:c r="J79" s="8" t="str">
        <x:v>0.2</x:v>
      </x:c>
      <x:c r="K79" s="8" t="str">
        <x:v>2026-06-14 to 2026-08-20</x:v>
      </x:c>
      <x:c r="L79" s="8" t="str">
        <x:v>OBSERVED</x:v>
      </x:c>
      <x:c r="M79" s="8" t="str">
        <x:v>FIRST-PARTY MEASUREMENT</x:v>
      </x:c>
      <x:c r="N79" s="8" t="str">
        <x:v>SRC-GSC-QUERIES</x:v>
      </x:c>
    </x:row>
    <x:row r="80" ht="48" customHeight="1">
      <x:c r="A80" s="9" t="str">
        <x:v>HQ76</x:v>
      </x:c>
      <x:c r="B80" s="9" t="str">
        <x:v>ενοικιαζομενα μηχανακια ναξοσ</x:v>
      </x:c>
      <x:c r="C80" s="9" t="str">
        <x:v>Greek</x:v>
      </x:c>
      <x:c r="D80" s="9" t="str">
        <x:v>Scooters &amp; motorbikes</x:v>
      </x:c>
      <x:c r="E80" s="9" t="n">
        <x:v>0</x:v>
      </x:c>
      <x:c r="F80" s="9" t="n">
        <x:v>4</x:v>
      </x:c>
      <x:c r="G80" s="9" t="n">
        <x:v>0</x:v>
      </x:c>
      <x:c r="H80" s="9" t="n">
        <x:v>27.75</x:v>
      </x:c>
      <x:c r="I80" s="9" t="str">
        <x:v>Build</x:v>
      </x:c>
      <x:c r="J80" s="9" t="str">
        <x:v>0.2</x:v>
      </x:c>
      <x:c r="K80" s="9" t="str">
        <x:v>2026-06-14 to 2026-08-20</x:v>
      </x:c>
      <x:c r="L80" s="9" t="str">
        <x:v>OBSERVED</x:v>
      </x:c>
      <x:c r="M80" s="9" t="str">
        <x:v>FIRST-PARTY MEASUREMENT</x:v>
      </x:c>
      <x:c r="N80" s="9" t="str">
        <x:v>SRC-GSC-QUERIES</x:v>
      </x:c>
    </x:row>
    <x:row r="81" ht="48" customHeight="1">
      <x:c r="A81" s="8" t="str">
        <x:v>HQ77</x:v>
      </x:c>
      <x:c r="B81" s="8" t="str">
        <x:v>buggy rental naxos</x:v>
      </x:c>
      <x:c r="C81" s="8" t="str">
        <x:v>English/Other</x:v>
      </x:c>
      <x:c r="D81" s="8" t="str">
        <x:v>ATV, quad &amp; buggy</x:v>
      </x:c>
      <x:c r="E81" s="8" t="n">
        <x:v>0</x:v>
      </x:c>
      <x:c r="F81" s="8" t="n">
        <x:v>4</x:v>
      </x:c>
      <x:c r="G81" s="8" t="n">
        <x:v>0</x:v>
      </x:c>
      <x:c r="H81" s="8" t="n">
        <x:v>30.25</x:v>
      </x:c>
      <x:c r="I81" s="8" t="str">
        <x:v>Build</x:v>
      </x:c>
      <x:c r="J81" s="8" t="str">
        <x:v>0.2</x:v>
      </x:c>
      <x:c r="K81" s="8" t="str">
        <x:v>2026-06-14 to 2026-08-20</x:v>
      </x:c>
      <x:c r="L81" s="8" t="str">
        <x:v>OBSERVED</x:v>
      </x:c>
      <x:c r="M81" s="8" t="str">
        <x:v>FIRST-PARTY MEASUREMENT</x:v>
      </x:c>
      <x:c r="N81" s="8" t="str">
        <x:v>SRC-GSC-QUERIES</x:v>
      </x:c>
    </x:row>
    <x:row r="82" ht="48" customHeight="1">
      <x:c r="A82" s="9" t="str">
        <x:v>HQ78</x:v>
      </x:c>
      <x:c r="B82" s="9" t="str">
        <x:v>noleggio quad naxos</x:v>
      </x:c>
      <x:c r="C82" s="9" t="str">
        <x:v>Italian</x:v>
      </x:c>
      <x:c r="D82" s="9" t="str">
        <x:v>ATV, quad &amp; buggy</x:v>
      </x:c>
      <x:c r="E82" s="9" t="n">
        <x:v>0</x:v>
      </x:c>
      <x:c r="F82" s="9" t="n">
        <x:v>4</x:v>
      </x:c>
      <x:c r="G82" s="9" t="n">
        <x:v>0</x:v>
      </x:c>
      <x:c r="H82" s="9" t="n">
        <x:v>32.5</x:v>
      </x:c>
      <x:c r="I82" s="9" t="str">
        <x:v>Build</x:v>
      </x:c>
      <x:c r="J82" s="9" t="str">
        <x:v>0.2</x:v>
      </x:c>
      <x:c r="K82" s="9" t="str">
        <x:v>2026-06-14 to 2026-08-20</x:v>
      </x:c>
      <x:c r="L82" s="9" t="str">
        <x:v>OBSERVED</x:v>
      </x:c>
      <x:c r="M82" s="9" t="str">
        <x:v>FIRST-PARTY MEASUREMENT</x:v>
      </x:c>
      <x:c r="N82" s="9" t="str">
        <x:v>SRC-GSC-QUERIES</x:v>
      </x:c>
    </x:row>
    <x:row r="83" ht="48" customHeight="1">
      <x:c r="A83" s="8" t="str">
        <x:v>HQ79</x:v>
      </x:c>
      <x:c r="B83" s="8" t="str">
        <x:v>rent quad naxos</x:v>
      </x:c>
      <x:c r="C83" s="8" t="str">
        <x:v>English/Other</x:v>
      </x:c>
      <x:c r="D83" s="8" t="str">
        <x:v>ATV, quad &amp; buggy</x:v>
      </x:c>
      <x:c r="E83" s="8" t="n">
        <x:v>0</x:v>
      </x:c>
      <x:c r="F83" s="8" t="n">
        <x:v>4</x:v>
      </x:c>
      <x:c r="G83" s="8" t="n">
        <x:v>0</x:v>
      </x:c>
      <x:c r="H83" s="8" t="n">
        <x:v>37.25</x:v>
      </x:c>
      <x:c r="I83" s="8" t="str">
        <x:v>Build</x:v>
      </x:c>
      <x:c r="J83" s="8" t="str">
        <x:v>0.2</x:v>
      </x:c>
      <x:c r="K83" s="8" t="str">
        <x:v>2026-06-14 to 2026-08-20</x:v>
      </x:c>
      <x:c r="L83" s="8" t="str">
        <x:v>OBSERVED</x:v>
      </x:c>
      <x:c r="M83" s="8" t="str">
        <x:v>FIRST-PARTY MEASUREMENT</x:v>
      </x:c>
      <x:c r="N83" s="8" t="str">
        <x:v>SRC-GSC-QUERIES</x:v>
      </x:c>
    </x:row>
    <x:row r="84" ht="48" customHeight="1">
      <x:c r="A84" s="9" t="str">
        <x:v>HQ80</x:v>
      </x:c>
      <x:c r="B84" s="9" t="str">
        <x:v>car rental naxos _landing pages</x:v>
      </x:c>
      <x:c r="C84" s="9" t="str">
        <x:v>English/Other</x:v>
      </x:c>
      <x:c r="D84" s="9" t="str">
        <x:v>Core car rental</x:v>
      </x:c>
      <x:c r="E84" s="9" t="n">
        <x:v>0</x:v>
      </x:c>
      <x:c r="F84" s="9" t="n">
        <x:v>4</x:v>
      </x:c>
      <x:c r="G84" s="9" t="n">
        <x:v>0</x:v>
      </x:c>
      <x:c r="H84" s="9" t="n">
        <x:v>87.5</x:v>
      </x:c>
      <x:c r="I84" s="9" t="str">
        <x:v>Build</x:v>
      </x:c>
      <x:c r="J84" s="9" t="str">
        <x:v>0.2</x:v>
      </x:c>
      <x:c r="K84" s="9" t="str">
        <x:v>2026-06-14 to 2026-08-20</x:v>
      </x:c>
      <x:c r="L84" s="9" t="str">
        <x:v>OBSERVED</x:v>
      </x:c>
      <x:c r="M84" s="9" t="str">
        <x:v>FIRST-PARTY MEASUREMENT</x:v>
      </x:c>
      <x:c r="N84" s="9" t="str">
        <x:v>SRC-GSC-QUERIES</x:v>
      </x:c>
    </x:row>
    <x:row r="85" ht="48" customHeight="1">
      <x:c r="A85" s="8" t="str">
        <x:v>HQ81</x:v>
      </x:c>
      <x:c r="B85" s="8" t="str">
        <x:v>car rental in naxos</x:v>
      </x:c>
      <x:c r="C85" s="8" t="str">
        <x:v>English/Other</x:v>
      </x:c>
      <x:c r="D85" s="8" t="str">
        <x:v>Core car rental</x:v>
      </x:c>
      <x:c r="E85" s="8" t="n">
        <x:v>0</x:v>
      </x:c>
      <x:c r="F85" s="8" t="n">
        <x:v>3</x:v>
      </x:c>
      <x:c r="G85" s="8" t="n">
        <x:v>0</x:v>
      </x:c>
      <x:c r="H85" s="8" t="n">
        <x:v>2</x:v>
      </x:c>
      <x:c r="I85" s="8" t="str">
        <x:v>Defend</x:v>
      </x:c>
      <x:c r="J85" s="8" t="str">
        <x:v>0.15000000000000002</x:v>
      </x:c>
      <x:c r="K85" s="8" t="str">
        <x:v>2026-06-14 to 2026-08-20</x:v>
      </x:c>
      <x:c r="L85" s="8" t="str">
        <x:v>OBSERVED</x:v>
      </x:c>
      <x:c r="M85" s="8" t="str">
        <x:v>FIRST-PARTY MEASUREMENT</x:v>
      </x:c>
      <x:c r="N85" s="8" t="str">
        <x:v>SRC-GSC-QUERIES</x:v>
      </x:c>
    </x:row>
    <x:row r="86" ht="48" customHeight="1">
      <x:c r="A86" s="9" t="str">
        <x:v>HQ82</x:v>
      </x:c>
      <x:c r="B86" s="9" t="str">
        <x:v>naxos car rental recommendations</x:v>
      </x:c>
      <x:c r="C86" s="9" t="str">
        <x:v>English/Other</x:v>
      </x:c>
      <x:c r="D86" s="9" t="str">
        <x:v>Reviews &amp; comparison</x:v>
      </x:c>
      <x:c r="E86" s="9" t="n">
        <x:v>0</x:v>
      </x:c>
      <x:c r="F86" s="9" t="n">
        <x:v>3</x:v>
      </x:c>
      <x:c r="G86" s="9" t="n">
        <x:v>0</x:v>
      </x:c>
      <x:c r="H86" s="9" t="n">
        <x:v>6.67</x:v>
      </x:c>
      <x:c r="I86" s="9" t="str">
        <x:v>Build</x:v>
      </x:c>
      <x:c r="J86" s="9" t="str">
        <x:v>0.15000000000000002</x:v>
      </x:c>
      <x:c r="K86" s="9" t="str">
        <x:v>2026-06-14 to 2026-08-20</x:v>
      </x:c>
      <x:c r="L86" s="9" t="str">
        <x:v>OBSERVED</x:v>
      </x:c>
      <x:c r="M86" s="9" t="str">
        <x:v>FIRST-PARTY MEASUREMENT</x:v>
      </x:c>
      <x:c r="N86" s="9" t="str">
        <x:v>SRC-GSC-QUERIES</x:v>
      </x:c>
    </x:row>
    <x:row r="87" ht="48" customHeight="1">
      <x:c r="A87" s="8" t="str">
        <x:v>HQ83</x:v>
      </x:c>
      <x:c r="B87" s="8" t="str">
        <x:v>car rental naxos port</x:v>
      </x:c>
      <x:c r="C87" s="8" t="str">
        <x:v>English/Other</x:v>
      </x:c>
      <x:c r="D87" s="8" t="str">
        <x:v>Airport &amp; port pickup</x:v>
      </x:c>
      <x:c r="E87" s="8" t="n">
        <x:v>0</x:v>
      </x:c>
      <x:c r="F87" s="8" t="n">
        <x:v>3</x:v>
      </x:c>
      <x:c r="G87" s="8" t="n">
        <x:v>0</x:v>
      </x:c>
      <x:c r="H87" s="8" t="n">
        <x:v>7</x:v>
      </x:c>
      <x:c r="I87" s="8" t="str">
        <x:v>Build</x:v>
      </x:c>
      <x:c r="J87" s="8" t="str">
        <x:v>0.15000000000000002</x:v>
      </x:c>
      <x:c r="K87" s="8" t="str">
        <x:v>2026-06-14 to 2026-08-20</x:v>
      </x:c>
      <x:c r="L87" s="8" t="str">
        <x:v>OBSERVED</x:v>
      </x:c>
      <x:c r="M87" s="8" t="str">
        <x:v>FIRST-PARTY MEASUREMENT</x:v>
      </x:c>
      <x:c r="N87" s="8" t="str">
        <x:v>SRC-GSC-QUERIES</x:v>
      </x:c>
    </x:row>
    <x:row r="88" ht="48" customHeight="1">
      <x:c r="A88" s="9" t="str">
        <x:v>HQ84</x:v>
      </x:c>
      <x:c r="B88" s="9" t="str">
        <x:v>ενοικιαζομενα αυτοκινητα ναξος</x:v>
      </x:c>
      <x:c r="C88" s="9" t="str">
        <x:v>Greek</x:v>
      </x:c>
      <x:c r="D88" s="9" t="str">
        <x:v>Core car rental</x:v>
      </x:c>
      <x:c r="E88" s="9" t="n">
        <x:v>0</x:v>
      </x:c>
      <x:c r="F88" s="9" t="n">
        <x:v>3</x:v>
      </x:c>
      <x:c r="G88" s="9" t="n">
        <x:v>0</x:v>
      </x:c>
      <x:c r="H88" s="9" t="n">
        <x:v>7.33</x:v>
      </x:c>
      <x:c r="I88" s="9" t="str">
        <x:v>Build</x:v>
      </x:c>
      <x:c r="J88" s="9" t="str">
        <x:v>0.15000000000000002</x:v>
      </x:c>
      <x:c r="K88" s="9" t="str">
        <x:v>2026-06-14 to 2026-08-20</x:v>
      </x:c>
      <x:c r="L88" s="9" t="str">
        <x:v>OBSERVED</x:v>
      </x:c>
      <x:c r="M88" s="9" t="str">
        <x:v>FIRST-PARTY MEASUREMENT</x:v>
      </x:c>
      <x:c r="N88" s="9" t="str">
        <x:v>SRC-GSC-QUERIES</x:v>
      </x:c>
    </x:row>
    <x:row r="89" ht="48" customHeight="1">
      <x:c r="A89" s="8" t="str">
        <x:v>HQ85</x:v>
      </x:c>
      <x:c r="B89" s="8" t="str">
        <x:v>naxos car rental port</x:v>
      </x:c>
      <x:c r="C89" s="8" t="str">
        <x:v>English/Other</x:v>
      </x:c>
      <x:c r="D89" s="8" t="str">
        <x:v>Airport &amp; port pickup</x:v>
      </x:c>
      <x:c r="E89" s="8" t="n">
        <x:v>0</x:v>
      </x:c>
      <x:c r="F89" s="8" t="n">
        <x:v>3</x:v>
      </x:c>
      <x:c r="G89" s="8" t="n">
        <x:v>0</x:v>
      </x:c>
      <x:c r="H89" s="8" t="n">
        <x:v>9</x:v>
      </x:c>
      <x:c r="I89" s="8" t="str">
        <x:v>Build</x:v>
      </x:c>
      <x:c r="J89" s="8" t="str">
        <x:v>0.15000000000000002</x:v>
      </x:c>
      <x:c r="K89" s="8" t="str">
        <x:v>2026-06-14 to 2026-08-20</x:v>
      </x:c>
      <x:c r="L89" s="8" t="str">
        <x:v>OBSERVED</x:v>
      </x:c>
      <x:c r="M89" s="8" t="str">
        <x:v>FIRST-PARTY MEASUREMENT</x:v>
      </x:c>
      <x:c r="N89" s="8" t="str">
        <x:v>SRC-GSC-QUERIES</x:v>
      </x:c>
    </x:row>
    <x:row r="90" ht="48" customHeight="1">
      <x:c r="A90" s="9" t="str">
        <x:v>HQ86</x:v>
      </x:c>
      <x:c r="B90" s="9" t="str">
        <x:v>naxos port car rental</x:v>
      </x:c>
      <x:c r="C90" s="9" t="str">
        <x:v>English/Other</x:v>
      </x:c>
      <x:c r="D90" s="9" t="str">
        <x:v>Airport &amp; port pickup</x:v>
      </x:c>
      <x:c r="E90" s="9" t="n">
        <x:v>0</x:v>
      </x:c>
      <x:c r="F90" s="9" t="n">
        <x:v>3</x:v>
      </x:c>
      <x:c r="G90" s="9" t="n">
        <x:v>0</x:v>
      </x:c>
      <x:c r="H90" s="9" t="n">
        <x:v>13.33</x:v>
      </x:c>
      <x:c r="I90" s="9" t="str">
        <x:v>Build</x:v>
      </x:c>
      <x:c r="J90" s="9" t="str">
        <x:v>0.15000000000000002</x:v>
      </x:c>
      <x:c r="K90" s="9" t="str">
        <x:v>2026-06-14 to 2026-08-20</x:v>
      </x:c>
      <x:c r="L90" s="9" t="str">
        <x:v>OBSERVED</x:v>
      </x:c>
      <x:c r="M90" s="9" t="str">
        <x:v>FIRST-PARTY MEASUREMENT</x:v>
      </x:c>
      <x:c r="N90" s="9" t="str">
        <x:v>SRC-GSC-QUERIES</x:v>
      </x:c>
    </x:row>
    <x:row r="91" ht="48" customHeight="1">
      <x:c r="A91" s="8" t="str">
        <x:v>HQ87</x:v>
      </x:c>
      <x:c r="B91" s="8" t="str">
        <x:v>ναξοσ αυτοκινητα ενοικιαζομενα</x:v>
      </x:c>
      <x:c r="C91" s="8" t="str">
        <x:v>Greek</x:v>
      </x:c>
      <x:c r="D91" s="8" t="str">
        <x:v>Core car rental</x:v>
      </x:c>
      <x:c r="E91" s="8" t="n">
        <x:v>0</x:v>
      </x:c>
      <x:c r="F91" s="8" t="n">
        <x:v>3</x:v>
      </x:c>
      <x:c r="G91" s="8" t="n">
        <x:v>0</x:v>
      </x:c>
      <x:c r="H91" s="8" t="n">
        <x:v>15.67</x:v>
      </x:c>
      <x:c r="I91" s="8" t="str">
        <x:v>Build</x:v>
      </x:c>
      <x:c r="J91" s="8" t="str">
        <x:v>0.15000000000000002</x:v>
      </x:c>
      <x:c r="K91" s="8" t="str">
        <x:v>2026-06-14 to 2026-08-20</x:v>
      </x:c>
      <x:c r="L91" s="8" t="str">
        <x:v>OBSERVED</x:v>
      </x:c>
      <x:c r="M91" s="8" t="str">
        <x:v>FIRST-PARTY MEASUREMENT</x:v>
      </x:c>
      <x:c r="N91" s="8" t="str">
        <x:v>SRC-GSC-QUERIES</x:v>
      </x:c>
    </x:row>
    <x:row r="92" ht="48" customHeight="1">
      <x:c r="A92" s="9" t="str">
        <x:v>HQ88</x:v>
      </x:c>
      <x:c r="B92" s="9" t="str">
        <x:v>autovermietung naxos agia anna</x:v>
      </x:c>
      <x:c r="C92" s="9" t="str">
        <x:v>English/Other</x:v>
      </x:c>
      <x:c r="D92" s="9" t="str">
        <x:v>Naxos guide</x:v>
      </x:c>
      <x:c r="E92" s="9" t="n">
        <x:v>0</x:v>
      </x:c>
      <x:c r="F92" s="9" t="n">
        <x:v>3</x:v>
      </x:c>
      <x:c r="G92" s="9" t="n">
        <x:v>0</x:v>
      </x:c>
      <x:c r="H92" s="9" t="n">
        <x:v>17</x:v>
      </x:c>
      <x:c r="I92" s="9" t="str">
        <x:v>Build</x:v>
      </x:c>
      <x:c r="J92" s="9" t="str">
        <x:v>0.15000000000000002</x:v>
      </x:c>
      <x:c r="K92" s="9" t="str">
        <x:v>2026-06-14 to 2026-08-20</x:v>
      </x:c>
      <x:c r="L92" s="9" t="str">
        <x:v>OBSERVED</x:v>
      </x:c>
      <x:c r="M92" s="9" t="str">
        <x:v>FIRST-PARTY MEASUREMENT</x:v>
      </x:c>
      <x:c r="N92" s="9" t="str">
        <x:v>SRC-GSC-QUERIES</x:v>
      </x:c>
    </x:row>
    <x:row r="93" ht="48" customHeight="1">
      <x:c r="A93" s="8" t="str">
        <x:v>HQ89</x:v>
      </x:c>
      <x:c r="B93" s="8" t="str">
        <x:v>scooter rental naxos airport</x:v>
      </x:c>
      <x:c r="C93" s="8" t="str">
        <x:v>English/Other</x:v>
      </x:c>
      <x:c r="D93" s="8" t="str">
        <x:v>Scooters &amp; motorbikes</x:v>
      </x:c>
      <x:c r="E93" s="8" t="n">
        <x:v>0</x:v>
      </x:c>
      <x:c r="F93" s="8" t="n">
        <x:v>3</x:v>
      </x:c>
      <x:c r="G93" s="8" t="n">
        <x:v>0</x:v>
      </x:c>
      <x:c r="H93" s="8" t="n">
        <x:v>17.67</x:v>
      </x:c>
      <x:c r="I93" s="8" t="str">
        <x:v>Build</x:v>
      </x:c>
      <x:c r="J93" s="8" t="str">
        <x:v>0.15000000000000002</x:v>
      </x:c>
      <x:c r="K93" s="8" t="str">
        <x:v>2026-06-14 to 2026-08-20</x:v>
      </x:c>
      <x:c r="L93" s="8" t="str">
        <x:v>OBSERVED</x:v>
      </x:c>
      <x:c r="M93" s="8" t="str">
        <x:v>FIRST-PARTY MEASUREMENT</x:v>
      </x:c>
      <x:c r="N93" s="8" t="str">
        <x:v>SRC-GSC-QUERIES</x:v>
      </x:c>
    </x:row>
    <x:row r="94" ht="48" customHeight="1">
      <x:c r="A94" s="9" t="str">
        <x:v>HQ90</x:v>
      </x:c>
      <x:c r="B94" s="9" t="str">
        <x:v>ενοικιαση αμαξιου ναξοσ</x:v>
      </x:c>
      <x:c r="C94" s="9" t="str">
        <x:v>Greek</x:v>
      </x:c>
      <x:c r="D94" s="9" t="str">
        <x:v>Core car rental</x:v>
      </x:c>
      <x:c r="E94" s="9" t="n">
        <x:v>0</x:v>
      </x:c>
      <x:c r="F94" s="9" t="n">
        <x:v>3</x:v>
      </x:c>
      <x:c r="G94" s="9" t="n">
        <x:v>0</x:v>
      </x:c>
      <x:c r="H94" s="9" t="n">
        <x:v>18.33</x:v>
      </x:c>
      <x:c r="I94" s="9" t="str">
        <x:v>Build</x:v>
      </x:c>
      <x:c r="J94" s="9" t="str">
        <x:v>0.15000000000000002</x:v>
      </x:c>
      <x:c r="K94" s="9" t="str">
        <x:v>2026-06-14 to 2026-08-20</x:v>
      </x:c>
      <x:c r="L94" s="9" t="str">
        <x:v>OBSERVED</x:v>
      </x:c>
      <x:c r="M94" s="9" t="str">
        <x:v>FIRST-PARTY MEASUREMENT</x:v>
      </x:c>
      <x:c r="N94" s="9" t="str">
        <x:v>SRC-GSC-QUERIES</x:v>
      </x:c>
    </x:row>
    <x:row r="95" ht="48" customHeight="1">
      <x:c r="A95" s="8" t="str">
        <x:v>HQ91</x:v>
      </x:c>
      <x:c r="B95" s="8" t="str">
        <x:v>motorbike rental naxos airport</x:v>
      </x:c>
      <x:c r="C95" s="8" t="str">
        <x:v>English/Other</x:v>
      </x:c>
      <x:c r="D95" s="8" t="str">
        <x:v>Scooters &amp; motorbikes</x:v>
      </x:c>
      <x:c r="E95" s="8" t="n">
        <x:v>0</x:v>
      </x:c>
      <x:c r="F95" s="8" t="n">
        <x:v>3</x:v>
      </x:c>
      <x:c r="G95" s="8" t="n">
        <x:v>0</x:v>
      </x:c>
      <x:c r="H95" s="8" t="n">
        <x:v>21.67</x:v>
      </x:c>
      <x:c r="I95" s="8" t="str">
        <x:v>Build</x:v>
      </x:c>
      <x:c r="J95" s="8" t="str">
        <x:v>0.15000000000000002</x:v>
      </x:c>
      <x:c r="K95" s="8" t="str">
        <x:v>2026-06-14 to 2026-08-20</x:v>
      </x:c>
      <x:c r="L95" s="8" t="str">
        <x:v>OBSERVED</x:v>
      </x:c>
      <x:c r="M95" s="8" t="str">
        <x:v>FIRST-PARTY MEASUREMENT</x:v>
      </x:c>
      <x:c r="N95" s="8" t="str">
        <x:v>SRC-GSC-QUERIES</x:v>
      </x:c>
    </x:row>
    <x:row r="96" ht="48" customHeight="1">
      <x:c r="A96" s="9" t="str">
        <x:v>HQ92</x:v>
      </x:c>
      <x:c r="B96" s="9" t="str">
        <x:v>noleggio moto naxos</x:v>
      </x:c>
      <x:c r="C96" s="9" t="str">
        <x:v>Italian</x:v>
      </x:c>
      <x:c r="D96" s="9" t="str">
        <x:v>Naxos guide</x:v>
      </x:c>
      <x:c r="E96" s="9" t="n">
        <x:v>0</x:v>
      </x:c>
      <x:c r="F96" s="9" t="n">
        <x:v>3</x:v>
      </x:c>
      <x:c r="G96" s="9" t="n">
        <x:v>0</x:v>
      </x:c>
      <x:c r="H96" s="9" t="n">
        <x:v>22.33</x:v>
      </x:c>
      <x:c r="I96" s="9" t="str">
        <x:v>Build</x:v>
      </x:c>
      <x:c r="J96" s="9" t="str">
        <x:v>0.15000000000000002</x:v>
      </x:c>
      <x:c r="K96" s="9" t="str">
        <x:v>2026-06-14 to 2026-08-20</x:v>
      </x:c>
      <x:c r="L96" s="9" t="str">
        <x:v>OBSERVED</x:v>
      </x:c>
      <x:c r="M96" s="9" t="str">
        <x:v>FIRST-PARTY MEASUREMENT</x:v>
      </x:c>
      <x:c r="N96" s="9" t="str">
        <x:v>SRC-GSC-QUERIES</x:v>
      </x:c>
    </x:row>
    <x:row r="97" ht="48" customHeight="1">
      <x:c r="A97" s="8" t="str">
        <x:v>HQ93</x:v>
      </x:c>
      <x:c r="B97" s="8" t="str">
        <x:v>naxos atv rental</x:v>
      </x:c>
      <x:c r="C97" s="8" t="str">
        <x:v>English/Other</x:v>
      </x:c>
      <x:c r="D97" s="8" t="str">
        <x:v>ATV, quad &amp; buggy</x:v>
      </x:c>
      <x:c r="E97" s="8" t="n">
        <x:v>0</x:v>
      </x:c>
      <x:c r="F97" s="8" t="n">
        <x:v>3</x:v>
      </x:c>
      <x:c r="G97" s="8" t="n">
        <x:v>0</x:v>
      </x:c>
      <x:c r="H97" s="8" t="n">
        <x:v>26.67</x:v>
      </x:c>
      <x:c r="I97" s="8" t="str">
        <x:v>Build</x:v>
      </x:c>
      <x:c r="J97" s="8" t="str">
        <x:v>0.15000000000000002</x:v>
      </x:c>
      <x:c r="K97" s="8" t="str">
        <x:v>2026-06-14 to 2026-08-20</x:v>
      </x:c>
      <x:c r="L97" s="8" t="str">
        <x:v>OBSERVED</x:v>
      </x:c>
      <x:c r="M97" s="8" t="str">
        <x:v>FIRST-PARTY MEASUREMENT</x:v>
      </x:c>
      <x:c r="N97" s="8" t="str">
        <x:v>SRC-GSC-QUERIES</x:v>
      </x:c>
    </x:row>
    <x:row r="98" ht="48" customHeight="1">
      <x:c r="A98" s="9" t="str">
        <x:v>HQ94</x:v>
      </x:c>
      <x:c r="B98" s="9" t="str">
        <x:v>ενοικίαση αυτοκινήτου νάξος</x:v>
      </x:c>
      <x:c r="C98" s="9" t="str">
        <x:v>Greek</x:v>
      </x:c>
      <x:c r="D98" s="9" t="str">
        <x:v>Other</x:v>
      </x:c>
      <x:c r="E98" s="9" t="n">
        <x:v>0</x:v>
      </x:c>
      <x:c r="F98" s="9" t="n">
        <x:v>3</x:v>
      </x:c>
      <x:c r="G98" s="9" t="n">
        <x:v>0</x:v>
      </x:c>
      <x:c r="H98" s="9" t="n">
        <x:v>29</x:v>
      </x:c>
      <x:c r="I98" s="9" t="str">
        <x:v>Build</x:v>
      </x:c>
      <x:c r="J98" s="9" t="str">
        <x:v>0.15000000000000002</x:v>
      </x:c>
      <x:c r="K98" s="9" t="str">
        <x:v>2026-06-14 to 2026-08-20</x:v>
      </x:c>
      <x:c r="L98" s="9" t="str">
        <x:v>OBSERVED</x:v>
      </x:c>
      <x:c r="M98" s="9" t="str">
        <x:v>FIRST-PARTY MEASUREMENT</x:v>
      </x:c>
      <x:c r="N98" s="9" t="str">
        <x:v>SRC-GSC-QUERIES</x:v>
      </x:c>
    </x:row>
    <x:row r="99" ht="48" customHeight="1">
      <x:c r="A99" s="8" t="str">
        <x:v>HQ95</x:v>
      </x:c>
      <x:c r="B99" s="8" t="str">
        <x:v>naxos roller mieten</x:v>
      </x:c>
      <x:c r="C99" s="8" t="str">
        <x:v>German</x:v>
      </x:c>
      <x:c r="D99" s="8" t="str">
        <x:v>Scooters &amp; motorbikes</x:v>
      </x:c>
      <x:c r="E99" s="8" t="n">
        <x:v>0</x:v>
      </x:c>
      <x:c r="F99" s="8" t="n">
        <x:v>3</x:v>
      </x:c>
      <x:c r="G99" s="8" t="n">
        <x:v>0</x:v>
      </x:c>
      <x:c r="H99" s="8" t="n">
        <x:v>30.67</x:v>
      </x:c>
      <x:c r="I99" s="8" t="str">
        <x:v>Build</x:v>
      </x:c>
      <x:c r="J99" s="8" t="str">
        <x:v>0.15000000000000002</x:v>
      </x:c>
      <x:c r="K99" s="8" t="str">
        <x:v>2026-06-14 to 2026-08-20</x:v>
      </x:c>
      <x:c r="L99" s="8" t="str">
        <x:v>OBSERVED</x:v>
      </x:c>
      <x:c r="M99" s="8" t="str">
        <x:v>FIRST-PARTY MEASUREMENT</x:v>
      </x:c>
      <x:c r="N99" s="8" t="str">
        <x:v>SRC-GSC-QUERIES</x:v>
      </x:c>
    </x:row>
    <x:row r="100" ht="48" customHeight="1">
      <x:c r="A100" s="9" t="str">
        <x:v>HQ96</x:v>
      </x:c>
      <x:c r="B100" s="9" t="str">
        <x:v>naxos rent atv</x:v>
      </x:c>
      <x:c r="C100" s="9" t="str">
        <x:v>English/Other</x:v>
      </x:c>
      <x:c r="D100" s="9" t="str">
        <x:v>ATV, quad &amp; buggy</x:v>
      </x:c>
      <x:c r="E100" s="9" t="n">
        <x:v>0</x:v>
      </x:c>
      <x:c r="F100" s="9" t="n">
        <x:v>3</x:v>
      </x:c>
      <x:c r="G100" s="9" t="n">
        <x:v>0</x:v>
      </x:c>
      <x:c r="H100" s="9" t="n">
        <x:v>32.67</x:v>
      </x:c>
      <x:c r="I100" s="9" t="str">
        <x:v>Build</x:v>
      </x:c>
      <x:c r="J100" s="9" t="str">
        <x:v>0.15000000000000002</x:v>
      </x:c>
      <x:c r="K100" s="9" t="str">
        <x:v>2026-06-14 to 2026-08-20</x:v>
      </x:c>
      <x:c r="L100" s="9" t="str">
        <x:v>OBSERVED</x:v>
      </x:c>
      <x:c r="M100" s="9" t="str">
        <x:v>FIRST-PARTY MEASUREMENT</x:v>
      </x:c>
      <x:c r="N100" s="9" t="str">
        <x:v>SRC-GSC-QUERIES</x:v>
      </x:c>
    </x:row>
    <x:row r="101" ht="48" customHeight="1">
      <x:c r="A101" s="8" t="str">
        <x:v>HQ97</x:v>
      </x:c>
      <x:c r="B101" s="8" t="str">
        <x:v>moto rent naxos</x:v>
      </x:c>
      <x:c r="C101" s="8" t="str">
        <x:v>English/Other</x:v>
      </x:c>
      <x:c r="D101" s="8" t="str">
        <x:v>Naxos guide</x:v>
      </x:c>
      <x:c r="E101" s="8" t="n">
        <x:v>0</x:v>
      </x:c>
      <x:c r="F101" s="8" t="n">
        <x:v>3</x:v>
      </x:c>
      <x:c r="G101" s="8" t="n">
        <x:v>0</x:v>
      </x:c>
      <x:c r="H101" s="8" t="n">
        <x:v>36.33</x:v>
      </x:c>
      <x:c r="I101" s="8" t="str">
        <x:v>Build</x:v>
      </x:c>
      <x:c r="J101" s="8" t="str">
        <x:v>0.15000000000000002</x:v>
      </x:c>
      <x:c r="K101" s="8" t="str">
        <x:v>2026-06-14 to 2026-08-20</x:v>
      </x:c>
      <x:c r="L101" s="8" t="str">
        <x:v>OBSERVED</x:v>
      </x:c>
      <x:c r="M101" s="8" t="str">
        <x:v>FIRST-PARTY MEASUREMENT</x:v>
      </x:c>
      <x:c r="N101" s="8" t="str">
        <x:v>SRC-GSC-QUERIES</x:v>
      </x:c>
    </x:row>
    <x:row r="102" ht="48" customHeight="1">
      <x:c r="A102" s="9" t="str">
        <x:v>HQ98</x:v>
      </x:c>
      <x:c r="B102" s="9" t="str">
        <x:v>motorcycle rental naxos</x:v>
      </x:c>
      <x:c r="C102" s="9" t="str">
        <x:v>English/Other</x:v>
      </x:c>
      <x:c r="D102" s="9" t="str">
        <x:v>Naxos guide</x:v>
      </x:c>
      <x:c r="E102" s="9" t="n">
        <x:v>0</x:v>
      </x:c>
      <x:c r="F102" s="9" t="n">
        <x:v>3</x:v>
      </x:c>
      <x:c r="G102" s="9" t="n">
        <x:v>0</x:v>
      </x:c>
      <x:c r="H102" s="9" t="n">
        <x:v>37</x:v>
      </x:c>
      <x:c r="I102" s="9" t="str">
        <x:v>Build</x:v>
      </x:c>
      <x:c r="J102" s="9" t="str">
        <x:v>0.15000000000000002</x:v>
      </x:c>
      <x:c r="K102" s="9" t="str">
        <x:v>2026-06-14 to 2026-08-20</x:v>
      </x:c>
      <x:c r="L102" s="9" t="str">
        <x:v>OBSERVED</x:v>
      </x:c>
      <x:c r="M102" s="9" t="str">
        <x:v>FIRST-PARTY MEASUREMENT</x:v>
      </x:c>
      <x:c r="N102" s="9" t="str">
        <x:v>SRC-GSC-QUERIES</x:v>
      </x:c>
    </x:row>
    <x:row r="103" ht="48" customHeight="1">
      <x:c r="A103" s="8" t="str">
        <x:v>HQ99</x:v>
      </x:c>
      <x:c r="B103" s="8" t="str">
        <x:v>alquiler coche en naxos</x:v>
      </x:c>
      <x:c r="C103" s="8" t="str">
        <x:v>Spanish</x:v>
      </x:c>
      <x:c r="D103" s="8" t="str">
        <x:v>Naxos guide</x:v>
      </x:c>
      <x:c r="E103" s="8" t="n">
        <x:v>0</x:v>
      </x:c>
      <x:c r="F103" s="8" t="n">
        <x:v>2</x:v>
      </x:c>
      <x:c r="G103" s="8" t="n">
        <x:v>0</x:v>
      </x:c>
      <x:c r="H103" s="8" t="n">
        <x:v>1</x:v>
      </x:c>
      <x:c r="I103" s="8" t="str">
        <x:v>Defend</x:v>
      </x:c>
      <x:c r="J103" s="8" t="str">
        <x:v>0.1</x:v>
      </x:c>
      <x:c r="K103" s="8" t="str">
        <x:v>2026-06-14 to 2026-08-20</x:v>
      </x:c>
      <x:c r="L103" s="8" t="str">
        <x:v>OBSERVED</x:v>
      </x:c>
      <x:c r="M103" s="8" t="str">
        <x:v>FIRST-PARTY MEASUREMENT</x:v>
      </x:c>
      <x:c r="N103" s="8" t="str">
        <x:v>SRC-GSC-QUERIES</x:v>
      </x:c>
    </x:row>
    <x:row r="104" ht="48" customHeight="1">
      <x:c r="A104" s="9" t="str">
        <x:v>HQ100</x:v>
      </x:c>
      <x:c r="B104" s="9" t="str">
        <x:v>noleggio auto naxos porto</x:v>
      </x:c>
      <x:c r="C104" s="9" t="str">
        <x:v>Italian</x:v>
      </x:c>
      <x:c r="D104" s="9" t="str">
        <x:v>Airport &amp; port pickup</x:v>
      </x:c>
      <x:c r="E104" s="9" t="n">
        <x:v>0</x:v>
      </x:c>
      <x:c r="F104" s="9" t="n">
        <x:v>2</x:v>
      </x:c>
      <x:c r="G104" s="9" t="n">
        <x:v>0</x:v>
      </x:c>
      <x:c r="H104" s="9" t="n">
        <x:v>1</x:v>
      </x:c>
      <x:c r="I104" s="9" t="str">
        <x:v>Defend</x:v>
      </x:c>
      <x:c r="J104" s="9" t="str">
        <x:v>0.1</x:v>
      </x:c>
      <x:c r="K104" s="9" t="str">
        <x:v>2026-06-14 to 2026-08-20</x:v>
      </x:c>
      <x:c r="L104" s="9" t="str">
        <x:v>OBSERVED</x:v>
      </x:c>
      <x:c r="M104" s="9" t="str">
        <x:v>FIRST-PARTY MEASUREMENT</x:v>
      </x:c>
      <x:c r="N104" s="9" t="str">
        <x:v>SRC-GSC-QUERIES</x:v>
      </x:c>
    </x:row>
    <x:row r="105" ht="48" customHeight="1">
      <x:c r="A105" s="8" t="str">
        <x:v>HQ101</x:v>
      </x:c>
      <x:c r="B105" s="8" t="str">
        <x:v>noleggio auto a naxos</x:v>
      </x:c>
      <x:c r="C105" s="8" t="str">
        <x:v>Italian</x:v>
      </x:c>
      <x:c r="D105" s="8" t="str">
        <x:v>Core car rental</x:v>
      </x:c>
      <x:c r="E105" s="8" t="n">
        <x:v>0</x:v>
      </x:c>
      <x:c r="F105" s="8" t="n">
        <x:v>2</x:v>
      </x:c>
      <x:c r="G105" s="8" t="n">
        <x:v>0</x:v>
      </x:c>
      <x:c r="H105" s="8" t="n">
        <x:v>1.5</x:v>
      </x:c>
      <x:c r="I105" s="8" t="str">
        <x:v>Defend</x:v>
      </x:c>
      <x:c r="J105" s="8" t="str">
        <x:v>0.1</x:v>
      </x:c>
      <x:c r="K105" s="8" t="str">
        <x:v>2026-06-14 to 2026-08-20</x:v>
      </x:c>
      <x:c r="L105" s="8" t="str">
        <x:v>OBSERVED</x:v>
      </x:c>
      <x:c r="M105" s="8" t="str">
        <x:v>FIRST-PARTY MEASUREMENT</x:v>
      </x:c>
      <x:c r="N105" s="8" t="str">
        <x:v>SRC-GSC-QUERIES</x:v>
      </x:c>
    </x:row>
    <x:row r="106" ht="48" customHeight="1">
      <x:c r="A106" s="9" t="str">
        <x:v>HQ102</x:v>
      </x:c>
      <x:c r="B106" s="9" t="str">
        <x:v>car rentals naxos</x:v>
      </x:c>
      <x:c r="C106" s="9" t="str">
        <x:v>English/Other</x:v>
      </x:c>
      <x:c r="D106" s="9" t="str">
        <x:v>Core car rental</x:v>
      </x:c>
      <x:c r="E106" s="9" t="n">
        <x:v>0</x:v>
      </x:c>
      <x:c r="F106" s="9" t="n">
        <x:v>2</x:v>
      </x:c>
      <x:c r="G106" s="9" t="n">
        <x:v>0</x:v>
      </x:c>
      <x:c r="H106" s="9" t="n">
        <x:v>2</x:v>
      </x:c>
      <x:c r="I106" s="9" t="str">
        <x:v>Defend</x:v>
      </x:c>
      <x:c r="J106" s="9" t="str">
        <x:v>0.1</x:v>
      </x:c>
      <x:c r="K106" s="9" t="str">
        <x:v>2026-06-14 to 2026-08-20</x:v>
      </x:c>
      <x:c r="L106" s="9" t="str">
        <x:v>OBSERVED</x:v>
      </x:c>
      <x:c r="M106" s="9" t="str">
        <x:v>FIRST-PARTY MEASUREMENT</x:v>
      </x:c>
      <x:c r="N106" s="9" t="str">
        <x:v>SRC-GSC-QUERIES</x:v>
      </x:c>
    </x:row>
    <x:row r="107" ht="48" customHeight="1">
      <x:c r="A107" s="8" t="str">
        <x:v>HQ103</x:v>
      </x:c>
      <x:c r="B107" s="8" t="str">
        <x:v>best car rental naxos port</x:v>
      </x:c>
      <x:c r="C107" s="8" t="str">
        <x:v>English/Other</x:v>
      </x:c>
      <x:c r="D107" s="8" t="str">
        <x:v>Airport &amp; port pickup</x:v>
      </x:c>
      <x:c r="E107" s="8" t="n">
        <x:v>0</x:v>
      </x:c>
      <x:c r="F107" s="8" t="n">
        <x:v>2</x:v>
      </x:c>
      <x:c r="G107" s="8" t="n">
        <x:v>0</x:v>
      </x:c>
      <x:c r="H107" s="8" t="n">
        <x:v>3.5</x:v>
      </x:c>
      <x:c r="I107" s="8" t="str">
        <x:v>Defend</x:v>
      </x:c>
      <x:c r="J107" s="8" t="str">
        <x:v>0.1</x:v>
      </x:c>
      <x:c r="K107" s="8" t="str">
        <x:v>2026-06-14 to 2026-08-20</x:v>
      </x:c>
      <x:c r="L107" s="8" t="str">
        <x:v>OBSERVED</x:v>
      </x:c>
      <x:c r="M107" s="8" t="str">
        <x:v>FIRST-PARTY MEASUREMENT</x:v>
      </x:c>
      <x:c r="N107" s="8" t="str">
        <x:v>SRC-GSC-QUERIES</x:v>
      </x:c>
    </x:row>
    <x:row r="108" ht="48" customHeight="1">
      <x:c r="A108" s="9" t="str">
        <x:v>HQ104</x:v>
      </x:c>
      <x:c r="B108" s="9" t="str">
        <x:v>naxos</x:v>
      </x:c>
      <x:c r="C108" s="9" t="str">
        <x:v>English/Other</x:v>
      </x:c>
      <x:c r="D108" s="9" t="str">
        <x:v>Naxos guide</x:v>
      </x:c>
      <x:c r="E108" s="9" t="n">
        <x:v>0</x:v>
      </x:c>
      <x:c r="F108" s="9" t="n">
        <x:v>2</x:v>
      </x:c>
      <x:c r="G108" s="9" t="n">
        <x:v>0</x:v>
      </x:c>
      <x:c r="H108" s="9" t="n">
        <x:v>4</x:v>
      </x:c>
      <x:c r="I108" s="9" t="str">
        <x:v>Build</x:v>
      </x:c>
      <x:c r="J108" s="9" t="str">
        <x:v>0.1</x:v>
      </x:c>
      <x:c r="K108" s="9" t="str">
        <x:v>2026-06-14 to 2026-08-20</x:v>
      </x:c>
      <x:c r="L108" s="9" t="str">
        <x:v>OBSERVED</x:v>
      </x:c>
      <x:c r="M108" s="9" t="str">
        <x:v>FIRST-PARTY MEASUREMENT</x:v>
      </x:c>
      <x:c r="N108" s="9" t="str">
        <x:v>SRC-GSC-QUERIES</x:v>
      </x:c>
    </x:row>
    <x:row r="109" ht="48" customHeight="1">
      <x:c r="A109" s="8" t="str">
        <x:v>HQ105</x:v>
      </x:c>
      <x:c r="B109" s="8" t="str">
        <x:v>motor naxos</x:v>
      </x:c>
      <x:c r="C109" s="8" t="str">
        <x:v>English/Other</x:v>
      </x:c>
      <x:c r="D109" s="8" t="str">
        <x:v>Naxos guide</x:v>
      </x:c>
      <x:c r="E109" s="8" t="n">
        <x:v>0</x:v>
      </x:c>
      <x:c r="F109" s="8" t="n">
        <x:v>2</x:v>
      </x:c>
      <x:c r="G109" s="8" t="n">
        <x:v>0</x:v>
      </x:c>
      <x:c r="H109" s="8" t="n">
        <x:v>6</x:v>
      </x:c>
      <x:c r="I109" s="8" t="str">
        <x:v>Build</x:v>
      </x:c>
      <x:c r="J109" s="8" t="str">
        <x:v>0.1</x:v>
      </x:c>
      <x:c r="K109" s="8" t="str">
        <x:v>2026-06-14 to 2026-08-20</x:v>
      </x:c>
      <x:c r="L109" s="8" t="str">
        <x:v>OBSERVED</x:v>
      </x:c>
      <x:c r="M109" s="8" t="str">
        <x:v>FIRST-PARTY MEASUREMENT</x:v>
      </x:c>
      <x:c r="N109" s="8" t="str">
        <x:v>SRC-GSC-QUERIES</x:v>
      </x:c>
    </x:row>
    <x:row r="110" ht="48" customHeight="1">
      <x:c r="A110" s="9" t="str">
        <x:v>HQ106</x:v>
      </x:c>
      <x:c r="B110" s="9" t="str">
        <x:v>rental car naxos</x:v>
      </x:c>
      <x:c r="C110" s="9" t="str">
        <x:v>English/Other</x:v>
      </x:c>
      <x:c r="D110" s="9" t="str">
        <x:v>Core car rental</x:v>
      </x:c>
      <x:c r="E110" s="9" t="n">
        <x:v>0</x:v>
      </x:c>
      <x:c r="F110" s="9" t="n">
        <x:v>2</x:v>
      </x:c>
      <x:c r="G110" s="9" t="n">
        <x:v>0</x:v>
      </x:c>
      <x:c r="H110" s="9" t="n">
        <x:v>6</x:v>
      </x:c>
      <x:c r="I110" s="9" t="str">
        <x:v>Build</x:v>
      </x:c>
      <x:c r="J110" s="9" t="str">
        <x:v>0.1</x:v>
      </x:c>
      <x:c r="K110" s="9" t="str">
        <x:v>2026-06-14 to 2026-08-20</x:v>
      </x:c>
      <x:c r="L110" s="9" t="str">
        <x:v>OBSERVED</x:v>
      </x:c>
      <x:c r="M110" s="9" t="str">
        <x:v>FIRST-PARTY MEASUREMENT</x:v>
      </x:c>
      <x:c r="N110" s="9" t="str">
        <x:v>SRC-GSC-QUERIES</x:v>
      </x:c>
    </x:row>
    <x:row r="111" ht="48" customHeight="1">
      <x:c r="A111" s="8" t="str">
        <x:v>HQ107</x:v>
      </x:c>
      <x:c r="B111" s="8" t="str">
        <x:v>car rental naxos greece</x:v>
      </x:c>
      <x:c r="C111" s="8" t="str">
        <x:v>English/Other</x:v>
      </x:c>
      <x:c r="D111" s="8" t="str">
        <x:v>Core car rental</x:v>
      </x:c>
      <x:c r="E111" s="8" t="n">
        <x:v>0</x:v>
      </x:c>
      <x:c r="F111" s="8" t="n">
        <x:v>2</x:v>
      </x:c>
      <x:c r="G111" s="8" t="n">
        <x:v>0</x:v>
      </x:c>
      <x:c r="H111" s="8" t="n">
        <x:v>7</x:v>
      </x:c>
      <x:c r="I111" s="8" t="str">
        <x:v>Build</x:v>
      </x:c>
      <x:c r="J111" s="8" t="str">
        <x:v>0.1</x:v>
      </x:c>
      <x:c r="K111" s="8" t="str">
        <x:v>2026-06-14 to 2026-08-20</x:v>
      </x:c>
      <x:c r="L111" s="8" t="str">
        <x:v>OBSERVED</x:v>
      </x:c>
      <x:c r="M111" s="8" t="str">
        <x:v>FIRST-PARTY MEASUREMENT</x:v>
      </x:c>
      <x:c r="N111" s="8" t="str">
        <x:v>SRC-GSC-QUERIES</x:v>
      </x:c>
    </x:row>
    <x:row r="112" ht="48" customHeight="1">
      <x:c r="A112" s="9" t="str">
        <x:v>HQ108</x:v>
      </x:c>
      <x:c r="B112" s="9" t="str">
        <x:v>car rent naxos</x:v>
      </x:c>
      <x:c r="C112" s="9" t="str">
        <x:v>English/Other</x:v>
      </x:c>
      <x:c r="D112" s="9" t="str">
        <x:v>Naxos guide</x:v>
      </x:c>
      <x:c r="E112" s="9" t="n">
        <x:v>0</x:v>
      </x:c>
      <x:c r="F112" s="9" t="n">
        <x:v>2</x:v>
      </x:c>
      <x:c r="G112" s="9" t="n">
        <x:v>0</x:v>
      </x:c>
      <x:c r="H112" s="9" t="n">
        <x:v>7.5</x:v>
      </x:c>
      <x:c r="I112" s="9" t="str">
        <x:v>Build</x:v>
      </x:c>
      <x:c r="J112" s="9" t="str">
        <x:v>0.1</x:v>
      </x:c>
      <x:c r="K112" s="9" t="str">
        <x:v>2026-06-14 to 2026-08-20</x:v>
      </x:c>
      <x:c r="L112" s="9" t="str">
        <x:v>OBSERVED</x:v>
      </x:c>
      <x:c r="M112" s="9" t="str">
        <x:v>FIRST-PARTY MEASUREMENT</x:v>
      </x:c>
      <x:c r="N112" s="9" t="str">
        <x:v>SRC-GSC-QUERIES</x:v>
      </x:c>
    </x:row>
    <x:row r="113" ht="48" customHeight="1">
      <x:c r="A113" s="8" t="str">
        <x:v>HQ109</x:v>
      </x:c>
      <x:c r="B113" s="8" t="str">
        <x:v>יוון</x:v>
      </x:c>
      <x:c r="C113" s="8" t="str">
        <x:v>English/Other</x:v>
      </x:c>
      <x:c r="D113" s="8" t="str">
        <x:v>Other</x:v>
      </x:c>
      <x:c r="E113" s="8" t="n">
        <x:v>0</x:v>
      </x:c>
      <x:c r="F113" s="8" t="n">
        <x:v>2</x:v>
      </x:c>
      <x:c r="G113" s="8" t="n">
        <x:v>0</x:v>
      </x:c>
      <x:c r="H113" s="8" t="n">
        <x:v>7.5</x:v>
      </x:c>
      <x:c r="I113" s="8" t="str">
        <x:v>Build</x:v>
      </x:c>
      <x:c r="J113" s="8" t="str">
        <x:v>0.1</x:v>
      </x:c>
      <x:c r="K113" s="8" t="str">
        <x:v>2026-06-14 to 2026-08-20</x:v>
      </x:c>
      <x:c r="L113" s="8" t="str">
        <x:v>OBSERVED</x:v>
      </x:c>
      <x:c r="M113" s="8" t="str">
        <x:v>FIRST-PARTY MEASUREMENT</x:v>
      </x:c>
      <x:c r="N113" s="8" t="str">
        <x:v>SRC-GSC-QUERIES</x:v>
      </x:c>
    </x:row>
    <x:row r="114" ht="48" customHeight="1">
      <x:c r="A114" s="9" t="str">
        <x:v>HQ110</x:v>
      </x:c>
      <x:c r="B114" s="9" t="str">
        <x:v>naxos scooter rental price per day 2026</x:v>
      </x:c>
      <x:c r="C114" s="9" t="str">
        <x:v>English/Other</x:v>
      </x:c>
      <x:c r="D114" s="9" t="str">
        <x:v>Scooters &amp; motorbikes</x:v>
      </x:c>
      <x:c r="E114" s="9" t="n">
        <x:v>0</x:v>
      </x:c>
      <x:c r="F114" s="9" t="n">
        <x:v>2</x:v>
      </x:c>
      <x:c r="G114" s="9" t="n">
        <x:v>0</x:v>
      </x:c>
      <x:c r="H114" s="9" t="n">
        <x:v>8</x:v>
      </x:c>
      <x:c r="I114" s="9" t="str">
        <x:v>Build</x:v>
      </x:c>
      <x:c r="J114" s="9" t="str">
        <x:v>0.1</x:v>
      </x:c>
      <x:c r="K114" s="9" t="str">
        <x:v>2026-06-14 to 2026-08-20</x:v>
      </x:c>
      <x:c r="L114" s="9" t="str">
        <x:v>OBSERVED</x:v>
      </x:c>
      <x:c r="M114" s="9" t="str">
        <x:v>FIRST-PARTY MEASUREMENT</x:v>
      </x:c>
      <x:c r="N114" s="9" t="str">
        <x:v>SRC-GSC-QUERIES</x:v>
      </x:c>
    </x:row>
    <x:row r="115" ht="48" customHeight="1">
      <x:c r="A115" s="8" t="str">
        <x:v>HQ111</x:v>
      </x:c>
      <x:c r="B115" s="8" t="str">
        <x:v>yes</x:v>
      </x:c>
      <x:c r="C115" s="8" t="str">
        <x:v>English/Other</x:v>
      </x:c>
      <x:c r="D115" s="8" t="str">
        <x:v>Other</x:v>
      </x:c>
      <x:c r="E115" s="8" t="n">
        <x:v>0</x:v>
      </x:c>
      <x:c r="F115" s="8" t="n">
        <x:v>2</x:v>
      </x:c>
      <x:c r="G115" s="8" t="n">
        <x:v>0</x:v>
      </x:c>
      <x:c r="H115" s="8" t="n">
        <x:v>8.5</x:v>
      </x:c>
      <x:c r="I115" s="8" t="str">
        <x:v>Build</x:v>
      </x:c>
      <x:c r="J115" s="8" t="str">
        <x:v>0.1</x:v>
      </x:c>
      <x:c r="K115" s="8" t="str">
        <x:v>2026-06-14 to 2026-08-20</x:v>
      </x:c>
      <x:c r="L115" s="8" t="str">
        <x:v>OBSERVED</x:v>
      </x:c>
      <x:c r="M115" s="8" t="str">
        <x:v>FIRST-PARTY MEASUREMENT</x:v>
      </x:c>
      <x:c r="N115" s="8" t="str">
        <x:v>SRC-GSC-QUERIES</x:v>
      </x:c>
    </x:row>
    <x:row r="116" ht="48" customHeight="1">
      <x:c r="A116" s="9" t="str">
        <x:v>HQ112</x:v>
      </x:c>
      <x:c r="B116" s="9" t="str">
        <x:v>jnx port</x:v>
      </x:c>
      <x:c r="C116" s="9" t="str">
        <x:v>English/Other</x:v>
      </x:c>
      <x:c r="D116" s="9" t="str">
        <x:v>Airport &amp; port pickup</x:v>
      </x:c>
      <x:c r="E116" s="9" t="n">
        <x:v>0</x:v>
      </x:c>
      <x:c r="F116" s="9" t="n">
        <x:v>2</x:v>
      </x:c>
      <x:c r="G116" s="9" t="n">
        <x:v>0</x:v>
      </x:c>
      <x:c r="H116" s="9" t="n">
        <x:v>9.5</x:v>
      </x:c>
      <x:c r="I116" s="9" t="str">
        <x:v>Build</x:v>
      </x:c>
      <x:c r="J116" s="9" t="str">
        <x:v>0.1</x:v>
      </x:c>
      <x:c r="K116" s="9" t="str">
        <x:v>2026-06-14 to 2026-08-20</x:v>
      </x:c>
      <x:c r="L116" s="9" t="str">
        <x:v>OBSERVED</x:v>
      </x:c>
      <x:c r="M116" s="9" t="str">
        <x:v>FIRST-PARTY MEASUREMENT</x:v>
      </x:c>
      <x:c r="N116" s="9" t="str">
        <x:v>SRC-GSC-QUERIES</x:v>
      </x:c>
    </x:row>
    <x:row r="117" ht="48" customHeight="1">
      <x:c r="A117" s="8" t="str">
        <x:v>HQ113</x:v>
      </x:c>
      <x:c r="B117" s="8" t="str">
        <x:v>greece motorway speed limit passenger cars 2026</x:v>
      </x:c>
      <x:c r="C117" s="8" t="str">
        <x:v>English/Other</x:v>
      </x:c>
      <x:c r="D117" s="8" t="str">
        <x:v>Other</x:v>
      </x:c>
      <x:c r="E117" s="8" t="n">
        <x:v>0</x:v>
      </x:c>
      <x:c r="F117" s="8" t="n">
        <x:v>2</x:v>
      </x:c>
      <x:c r="G117" s="8" t="n">
        <x:v>0</x:v>
      </x:c>
      <x:c r="H117" s="8" t="n">
        <x:v>10</x:v>
      </x:c>
      <x:c r="I117" s="8" t="str">
        <x:v>Build</x:v>
      </x:c>
      <x:c r="J117" s="8" t="str">
        <x:v>0.1</x:v>
      </x:c>
      <x:c r="K117" s="8" t="str">
        <x:v>2026-06-14 to 2026-08-20</x:v>
      </x:c>
      <x:c r="L117" s="8" t="str">
        <x:v>OBSERVED</x:v>
      </x:c>
      <x:c r="M117" s="8" t="str">
        <x:v>FIRST-PARTY MEASUREMENT</x:v>
      </x:c>
      <x:c r="N117" s="8" t="str">
        <x:v>SRC-GSC-QUERIES</x:v>
      </x:c>
    </x:row>
    <x:row r="118" ht="48" customHeight="1">
      <x:c r="A118" s="9" t="str">
        <x:v>HQ114</x:v>
      </x:c>
      <x:c r="B118" s="9" t="str">
        <x:v>mars rent a car naxos</x:v>
      </x:c>
      <x:c r="C118" s="9" t="str">
        <x:v>English/Other</x:v>
      </x:c>
      <x:c r="D118" s="9" t="str">
        <x:v>Core car rental</x:v>
      </x:c>
      <x:c r="E118" s="9" t="n">
        <x:v>0</x:v>
      </x:c>
      <x:c r="F118" s="9" t="n">
        <x:v>2</x:v>
      </x:c>
      <x:c r="G118" s="9" t="n">
        <x:v>0</x:v>
      </x:c>
      <x:c r="H118" s="9" t="n">
        <x:v>10</x:v>
      </x:c>
      <x:c r="I118" s="9" t="str">
        <x:v>Build</x:v>
      </x:c>
      <x:c r="J118" s="9" t="str">
        <x:v>0.1</x:v>
      </x:c>
      <x:c r="K118" s="9" t="str">
        <x:v>2026-06-14 to 2026-08-20</x:v>
      </x:c>
      <x:c r="L118" s="9" t="str">
        <x:v>OBSERVED</x:v>
      </x:c>
      <x:c r="M118" s="9" t="str">
        <x:v>FIRST-PARTY MEASUREMENT</x:v>
      </x:c>
      <x:c r="N118" s="9" t="str">
        <x:v>SRC-GSC-QUERIES</x:v>
      </x:c>
    </x:row>
    <x:row r="119" ht="48" customHeight="1">
      <x:c r="A119" s="8" t="str">
        <x:v>HQ115</x:v>
      </x:c>
      <x:c r="B119" s="8" t="str">
        <x:v>mietwagen naxos hafen</x:v>
      </x:c>
      <x:c r="C119" s="8" t="str">
        <x:v>German</x:v>
      </x:c>
      <x:c r="D119" s="8" t="str">
        <x:v>Airport &amp; port pickup</x:v>
      </x:c>
      <x:c r="E119" s="8" t="n">
        <x:v>0</x:v>
      </x:c>
      <x:c r="F119" s="8" t="n">
        <x:v>2</x:v>
      </x:c>
      <x:c r="G119" s="8" t="n">
        <x:v>0</x:v>
      </x:c>
      <x:c r="H119" s="8" t="n">
        <x:v>10</x:v>
      </x:c>
      <x:c r="I119" s="8" t="str">
        <x:v>Build</x:v>
      </x:c>
      <x:c r="J119" s="8" t="str">
        <x:v>0.1</x:v>
      </x:c>
      <x:c r="K119" s="8" t="str">
        <x:v>2026-06-14 to 2026-08-20</x:v>
      </x:c>
      <x:c r="L119" s="8" t="str">
        <x:v>OBSERVED</x:v>
      </x:c>
      <x:c r="M119" s="8" t="str">
        <x:v>FIRST-PARTY MEASUREMENT</x:v>
      </x:c>
      <x:c r="N119" s="8" t="str">
        <x:v>SRC-GSC-QUERIES</x:v>
      </x:c>
    </x:row>
    <x:row r="120" ht="48" customHeight="1">
      <x:c r="A120" s="9" t="str">
        <x:v>HQ116</x:v>
      </x:c>
      <x:c r="B120" s="9" t="str">
        <x:v>naxos motors</x:v>
      </x:c>
      <x:c r="C120" s="9" t="str">
        <x:v>English/Other</x:v>
      </x:c>
      <x:c r="D120" s="9" t="str">
        <x:v>Naxos guide</x:v>
      </x:c>
      <x:c r="E120" s="9" t="n">
        <x:v>0</x:v>
      </x:c>
      <x:c r="F120" s="9" t="n">
        <x:v>2</x:v>
      </x:c>
      <x:c r="G120" s="9" t="n">
        <x:v>0</x:v>
      </x:c>
      <x:c r="H120" s="9" t="n">
        <x:v>10</x:v>
      </x:c>
      <x:c r="I120" s="9" t="str">
        <x:v>Build</x:v>
      </x:c>
      <x:c r="J120" s="9" t="str">
        <x:v>0.1</x:v>
      </x:c>
      <x:c r="K120" s="9" t="str">
        <x:v>2026-06-14 to 2026-08-20</x:v>
      </x:c>
      <x:c r="L120" s="9" t="str">
        <x:v>OBSERVED</x:v>
      </x:c>
      <x:c r="M120" s="9" t="str">
        <x:v>FIRST-PARTY MEASUREMENT</x:v>
      </x:c>
      <x:c r="N120" s="9" t="str">
        <x:v>SRC-GSC-QUERIES</x:v>
      </x:c>
    </x:row>
    <x:row r="121" ht="48" customHeight="1">
      <x:c r="A121" s="8" t="str">
        <x:v>HQ117</x:v>
      </x:c>
      <x:c r="B121" s="8" t="str">
        <x:v>naxos rent a car by matha rent reviews</x:v>
      </x:c>
      <x:c r="C121" s="8" t="str">
        <x:v>English/Other</x:v>
      </x:c>
      <x:c r="D121" s="8" t="str">
        <x:v>Reviews &amp; comparison</x:v>
      </x:c>
      <x:c r="E121" s="8" t="n">
        <x:v>0</x:v>
      </x:c>
      <x:c r="F121" s="8" t="n">
        <x:v>2</x:v>
      </x:c>
      <x:c r="G121" s="8" t="n">
        <x:v>0</x:v>
      </x:c>
      <x:c r="H121" s="8" t="n">
        <x:v>11</x:v>
      </x:c>
      <x:c r="I121" s="8" t="str">
        <x:v>Build</x:v>
      </x:c>
      <x:c r="J121" s="8" t="str">
        <x:v>0.1</x:v>
      </x:c>
      <x:c r="K121" s="8" t="str">
        <x:v>2026-06-14 to 2026-08-20</x:v>
      </x:c>
      <x:c r="L121" s="8" t="str">
        <x:v>OBSERVED</x:v>
      </x:c>
      <x:c r="M121" s="8" t="str">
        <x:v>FIRST-PARTY MEASUREMENT</x:v>
      </x:c>
      <x:c r="N121" s="8" t="str">
        <x:v>SRC-GSC-QUERIES</x:v>
      </x:c>
    </x:row>
    <x:row r="122" ht="48" customHeight="1">
      <x:c r="A122" s="9" t="str">
        <x:v>HQ118</x:v>
      </x:c>
      <x:c r="B122" s="9" t="str">
        <x:v>jnx port greece</x:v>
      </x:c>
      <x:c r="C122" s="9" t="str">
        <x:v>English/Other</x:v>
      </x:c>
      <x:c r="D122" s="9" t="str">
        <x:v>Airport &amp; port pickup</x:v>
      </x:c>
      <x:c r="E122" s="9" t="n">
        <x:v>0</x:v>
      </x:c>
      <x:c r="F122" s="9" t="n">
        <x:v>2</x:v>
      </x:c>
      <x:c r="G122" s="9" t="n">
        <x:v>0</x:v>
      </x:c>
      <x:c r="H122" s="9" t="n">
        <x:v>12</x:v>
      </x:c>
      <x:c r="I122" s="9" t="str">
        <x:v>Build</x:v>
      </x:c>
      <x:c r="J122" s="9" t="str">
        <x:v>0.1</x:v>
      </x:c>
      <x:c r="K122" s="9" t="str">
        <x:v>2026-06-14 to 2026-08-20</x:v>
      </x:c>
      <x:c r="L122" s="9" t="str">
        <x:v>OBSERVED</x:v>
      </x:c>
      <x:c r="M122" s="9" t="str">
        <x:v>FIRST-PARTY MEASUREMENT</x:v>
      </x:c>
      <x:c r="N122" s="9" t="str">
        <x:v>SRC-GSC-QUERIES</x:v>
      </x:c>
    </x:row>
    <x:row r="123" ht="48" customHeight="1">
      <x:c r="A123" s="8" t="str">
        <x:v>HQ119</x:v>
      </x:c>
      <x:c r="B123" s="8" t="str">
        <x:v>ενοικιαση αυτοκινητου ναξοσ τιμεσ</x:v>
      </x:c>
      <x:c r="C123" s="8" t="str">
        <x:v>Greek</x:v>
      </x:c>
      <x:c r="D123" s="8" t="str">
        <x:v>Price &amp; value</x:v>
      </x:c>
      <x:c r="E123" s="8" t="n">
        <x:v>0</x:v>
      </x:c>
      <x:c r="F123" s="8" t="n">
        <x:v>2</x:v>
      </x:c>
      <x:c r="G123" s="8" t="n">
        <x:v>0</x:v>
      </x:c>
      <x:c r="H123" s="8" t="n">
        <x:v>12.5</x:v>
      </x:c>
      <x:c r="I123" s="8" t="str">
        <x:v>Build</x:v>
      </x:c>
      <x:c r="J123" s="8" t="str">
        <x:v>0.1</x:v>
      </x:c>
      <x:c r="K123" s="8" t="str">
        <x:v>2026-06-14 to 2026-08-20</x:v>
      </x:c>
      <x:c r="L123" s="8" t="str">
        <x:v>OBSERVED</x:v>
      </x:c>
      <x:c r="M123" s="8" t="str">
        <x:v>FIRST-PARTY MEASUREMENT</x:v>
      </x:c>
      <x:c r="N123" s="8" t="str">
        <x:v>SRC-GSC-QUERIES</x:v>
      </x:c>
    </x:row>
    <x:row r="124" ht="48" customHeight="1">
      <x:c r="A124" s="9" t="str">
        <x:v>HQ120</x:v>
      </x:c>
      <x:c r="B124" s="9" t="str">
        <x:v>best car rental naxos airport</x:v>
      </x:c>
      <x:c r="C124" s="9" t="str">
        <x:v>English/Other</x:v>
      </x:c>
      <x:c r="D124" s="9" t="str">
        <x:v>Airport &amp; port pickup</x:v>
      </x:c>
      <x:c r="E124" s="9" t="n">
        <x:v>0</x:v>
      </x:c>
      <x:c r="F124" s="9" t="n">
        <x:v>2</x:v>
      </x:c>
      <x:c r="G124" s="9" t="n">
        <x:v>0</x:v>
      </x:c>
      <x:c r="H124" s="9" t="n">
        <x:v>13</x:v>
      </x:c>
      <x:c r="I124" s="9" t="str">
        <x:v>Build</x:v>
      </x:c>
      <x:c r="J124" s="9" t="str">
        <x:v>0.1</x:v>
      </x:c>
      <x:c r="K124" s="9" t="str">
        <x:v>2026-06-14 to 2026-08-20</x:v>
      </x:c>
      <x:c r="L124" s="9" t="str">
        <x:v>OBSERVED</x:v>
      </x:c>
      <x:c r="M124" s="9" t="str">
        <x:v>FIRST-PARTY MEASUREMENT</x:v>
      </x:c>
      <x:c r="N124" s="9" t="str">
        <x:v>SRC-GSC-QUERIES</x:v>
      </x:c>
    </x:row>
    <x:row r="125" ht="48" customHeight="1">
      <x:c r="A125" s="8" t="str">
        <x:v>HQ121</x:v>
      </x:c>
      <x:c r="B125" s="8" t="str">
        <x:v>scooter 2 ride naxos</x:v>
      </x:c>
      <x:c r="C125" s="8" t="str">
        <x:v>English/Other</x:v>
      </x:c>
      <x:c r="D125" s="8" t="str">
        <x:v>Scooters &amp; motorbikes</x:v>
      </x:c>
      <x:c r="E125" s="8" t="n">
        <x:v>0</x:v>
      </x:c>
      <x:c r="F125" s="8" t="n">
        <x:v>2</x:v>
      </x:c>
      <x:c r="G125" s="8" t="n">
        <x:v>0</x:v>
      </x:c>
      <x:c r="H125" s="8" t="n">
        <x:v>13.5</x:v>
      </x:c>
      <x:c r="I125" s="8" t="str">
        <x:v>Build</x:v>
      </x:c>
      <x:c r="J125" s="8" t="str">
        <x:v>0.1</x:v>
      </x:c>
      <x:c r="K125" s="8" t="str">
        <x:v>2026-06-14 to 2026-08-20</x:v>
      </x:c>
      <x:c r="L125" s="8" t="str">
        <x:v>OBSERVED</x:v>
      </x:c>
      <x:c r="M125" s="8" t="str">
        <x:v>FIRST-PARTY MEASUREMENT</x:v>
      </x:c>
      <x:c r="N125" s="8" t="str">
        <x:v>SRC-GSC-QUERIES</x:v>
      </x:c>
    </x:row>
    <x:row r="126" ht="48" customHeight="1">
      <x:c r="A126" s="9" t="str">
        <x:v>HQ122</x:v>
      </x:c>
      <x:c r="B126" s="9" t="str">
        <x:v>ενοικιασεισ αυτοκινητων στην ναξο τιμεσ</x:v>
      </x:c>
      <x:c r="C126" s="9" t="str">
        <x:v>Greek</x:v>
      </x:c>
      <x:c r="D126" s="9" t="str">
        <x:v>Price &amp; value</x:v>
      </x:c>
      <x:c r="E126" s="9" t="n">
        <x:v>0</x:v>
      </x:c>
      <x:c r="F126" s="9" t="n">
        <x:v>2</x:v>
      </x:c>
      <x:c r="G126" s="9" t="n">
        <x:v>0</x:v>
      </x:c>
      <x:c r="H126" s="9" t="n">
        <x:v>14.5</x:v>
      </x:c>
      <x:c r="I126" s="9" t="str">
        <x:v>Build</x:v>
      </x:c>
      <x:c r="J126" s="9" t="str">
        <x:v>0.1</x:v>
      </x:c>
      <x:c r="K126" s="9" t="str">
        <x:v>2026-06-14 to 2026-08-20</x:v>
      </x:c>
      <x:c r="L126" s="9" t="str">
        <x:v>OBSERVED</x:v>
      </x:c>
      <x:c r="M126" s="9" t="str">
        <x:v>FIRST-PARTY MEASUREMENT</x:v>
      </x:c>
      <x:c r="N126" s="9" t="str">
        <x:v>SRC-GSC-QUERIES</x:v>
      </x:c>
    </x:row>
    <x:row r="127" ht="48" customHeight="1">
      <x:c r="A127" s="8" t="str">
        <x:v>HQ123</x:v>
      </x:c>
      <x:c r="B127" s="8" t="str">
        <x:v>rental naxos</x:v>
      </x:c>
      <x:c r="C127" s="8" t="str">
        <x:v>English/Other</x:v>
      </x:c>
      <x:c r="D127" s="8" t="str">
        <x:v>Naxos guide</x:v>
      </x:c>
      <x:c r="E127" s="8" t="n">
        <x:v>0</x:v>
      </x:c>
      <x:c r="F127" s="8" t="n">
        <x:v>2</x:v>
      </x:c>
      <x:c r="G127" s="8" t="n">
        <x:v>0</x:v>
      </x:c>
      <x:c r="H127" s="8" t="n">
        <x:v>16.5</x:v>
      </x:c>
      <x:c r="I127" s="8" t="str">
        <x:v>Build</x:v>
      </x:c>
      <x:c r="J127" s="8" t="str">
        <x:v>0.1</x:v>
      </x:c>
      <x:c r="K127" s="8" t="str">
        <x:v>2026-06-14 to 2026-08-20</x:v>
      </x:c>
      <x:c r="L127" s="8" t="str">
        <x:v>OBSERVED</x:v>
      </x:c>
      <x:c r="M127" s="8" t="str">
        <x:v>FIRST-PARTY MEASUREMENT</x:v>
      </x:c>
      <x:c r="N127" s="8" t="str">
        <x:v>SRC-GSC-QUERIES</x:v>
      </x:c>
    </x:row>
    <x:row r="128" ht="48" customHeight="1">
      <x:c r="A128" s="9" t="str">
        <x:v>HQ124</x:v>
      </x:c>
      <x:c r="B128" s="9" t="str">
        <x:v>autovermietung insel naxos flughafen</x:v>
      </x:c>
      <x:c r="C128" s="9" t="str">
        <x:v>German</x:v>
      </x:c>
      <x:c r="D128" s="9" t="str">
        <x:v>Airport &amp; port pickup</x:v>
      </x:c>
      <x:c r="E128" s="9" t="n">
        <x:v>0</x:v>
      </x:c>
      <x:c r="F128" s="9" t="n">
        <x:v>2</x:v>
      </x:c>
      <x:c r="G128" s="9" t="n">
        <x:v>0</x:v>
      </x:c>
      <x:c r="H128" s="9" t="n">
        <x:v>19</x:v>
      </x:c>
      <x:c r="I128" s="9" t="str">
        <x:v>Build</x:v>
      </x:c>
      <x:c r="J128" s="9" t="str">
        <x:v>0.1</x:v>
      </x:c>
      <x:c r="K128" s="9" t="str">
        <x:v>2026-06-14 to 2026-08-20</x:v>
      </x:c>
      <x:c r="L128" s="9" t="str">
        <x:v>OBSERVED</x:v>
      </x:c>
      <x:c r="M128" s="9" t="str">
        <x:v>FIRST-PARTY MEASUREMENT</x:v>
      </x:c>
      <x:c r="N128" s="9" t="str">
        <x:v>SRC-GSC-QUERIES</x:v>
      </x:c>
    </x:row>
    <x:row r="129" ht="48" customHeight="1">
      <x:c r="A129" s="8" t="str">
        <x:v>HQ125</x:v>
      </x:c>
      <x:c r="B129" s="8" t="str">
        <x:v>scooter rental giardini naxos airport</x:v>
      </x:c>
      <x:c r="C129" s="8" t="str">
        <x:v>English/Other</x:v>
      </x:c>
      <x:c r="D129" s="8" t="str">
        <x:v>Scooters &amp; motorbikes</x:v>
      </x:c>
      <x:c r="E129" s="8" t="n">
        <x:v>0</x:v>
      </x:c>
      <x:c r="F129" s="8" t="n">
        <x:v>2</x:v>
      </x:c>
      <x:c r="G129" s="8" t="n">
        <x:v>0</x:v>
      </x:c>
      <x:c r="H129" s="8" t="n">
        <x:v>20</x:v>
      </x:c>
      <x:c r="I129" s="8" t="str">
        <x:v>Build</x:v>
      </x:c>
      <x:c r="J129" s="8" t="str">
        <x:v>0.1</x:v>
      </x:c>
      <x:c r="K129" s="8" t="str">
        <x:v>2026-06-14 to 2026-08-20</x:v>
      </x:c>
      <x:c r="L129" s="8" t="str">
        <x:v>OBSERVED</x:v>
      </x:c>
      <x:c r="M129" s="8" t="str">
        <x:v>FIRST-PARTY MEASUREMENT</x:v>
      </x:c>
      <x:c r="N129" s="8" t="str">
        <x:v>SRC-GSC-QUERIES</x:v>
      </x:c>
    </x:row>
    <x:row r="130" ht="48" customHeight="1">
      <x:c r="A130" s="9" t="str">
        <x:v>HQ126</x:v>
      </x:c>
      <x:c r="B130" s="9" t="str">
        <x:v>should i rent a car in naxos</x:v>
      </x:c>
      <x:c r="C130" s="9" t="str">
        <x:v>English/Other</x:v>
      </x:c>
      <x:c r="D130" s="9" t="str">
        <x:v>Core car rental</x:v>
      </x:c>
      <x:c r="E130" s="9" t="n">
        <x:v>0</x:v>
      </x:c>
      <x:c r="F130" s="9" t="n">
        <x:v>2</x:v>
      </x:c>
      <x:c r="G130" s="9" t="n">
        <x:v>0</x:v>
      </x:c>
      <x:c r="H130" s="9" t="n">
        <x:v>20.5</x:v>
      </x:c>
      <x:c r="I130" s="9" t="str">
        <x:v>Build</x:v>
      </x:c>
      <x:c r="J130" s="9" t="str">
        <x:v>0.1</x:v>
      </x:c>
      <x:c r="K130" s="9" t="str">
        <x:v>2026-06-14 to 2026-08-20</x:v>
      </x:c>
      <x:c r="L130" s="9" t="str">
        <x:v>OBSERVED</x:v>
      </x:c>
      <x:c r="M130" s="9" t="str">
        <x:v>FIRST-PARTY MEASUREMENT</x:v>
      </x:c>
      <x:c r="N130" s="9" t="str">
        <x:v>SRC-GSC-QUERIES</x:v>
      </x:c>
    </x:row>
    <x:row r="131" ht="48" customHeight="1">
      <x:c r="A131" s="8" t="str">
        <x:v>HQ127</x:v>
      </x:c>
      <x:c r="B131" s="8" t="str">
        <x:v>rent motorbike naxos</x:v>
      </x:c>
      <x:c r="C131" s="8" t="str">
        <x:v>English/Other</x:v>
      </x:c>
      <x:c r="D131" s="8" t="str">
        <x:v>Scooters &amp; motorbikes</x:v>
      </x:c>
      <x:c r="E131" s="8" t="n">
        <x:v>0</x:v>
      </x:c>
      <x:c r="F131" s="8" t="n">
        <x:v>2</x:v>
      </x:c>
      <x:c r="G131" s="8" t="n">
        <x:v>0</x:v>
      </x:c>
      <x:c r="H131" s="8" t="n">
        <x:v>23.5</x:v>
      </x:c>
      <x:c r="I131" s="8" t="str">
        <x:v>Build</x:v>
      </x:c>
      <x:c r="J131" s="8" t="str">
        <x:v>0.1</x:v>
      </x:c>
      <x:c r="K131" s="8" t="str">
        <x:v>2026-06-14 to 2026-08-20</x:v>
      </x:c>
      <x:c r="L131" s="8" t="str">
        <x:v>OBSERVED</x:v>
      </x:c>
      <x:c r="M131" s="8" t="str">
        <x:v>FIRST-PARTY MEASUREMENT</x:v>
      </x:c>
      <x:c r="N131" s="8" t="str">
        <x:v>SRC-GSC-QUERIES</x:v>
      </x:c>
    </x:row>
    <x:row r="132" ht="48" customHeight="1">
      <x:c r="A132" s="9" t="str">
        <x:v>HQ128</x:v>
      </x:c>
      <x:c r="B132" s="9" t="str">
        <x:v>location voiture naxos aeroport</x:v>
      </x:c>
      <x:c r="C132" s="9" t="str">
        <x:v>French</x:v>
      </x:c>
      <x:c r="D132" s="9" t="str">
        <x:v>Airport &amp; port pickup</x:v>
      </x:c>
      <x:c r="E132" s="9" t="n">
        <x:v>0</x:v>
      </x:c>
      <x:c r="F132" s="9" t="n">
        <x:v>2</x:v>
      </x:c>
      <x:c r="G132" s="9" t="n">
        <x:v>0</x:v>
      </x:c>
      <x:c r="H132" s="9" t="n">
        <x:v>24.5</x:v>
      </x:c>
      <x:c r="I132" s="9" t="str">
        <x:v>Build</x:v>
      </x:c>
      <x:c r="J132" s="9" t="str">
        <x:v>0.1</x:v>
      </x:c>
      <x:c r="K132" s="9" t="str">
        <x:v>2026-06-14 to 2026-08-20</x:v>
      </x:c>
      <x:c r="L132" s="9" t="str">
        <x:v>OBSERVED</x:v>
      </x:c>
      <x:c r="M132" s="9" t="str">
        <x:v>FIRST-PARTY MEASUREMENT</x:v>
      </x:c>
      <x:c r="N132" s="9" t="str">
        <x:v>SRC-GSC-QUERIES</x:v>
      </x:c>
    </x:row>
    <x:row r="133" ht="48" customHeight="1">
      <x:c r="A133" s="8" t="str">
        <x:v>HQ129</x:v>
      </x:c>
      <x:c r="B133" s="8" t="str">
        <x:v>naxos buggy hire</x:v>
      </x:c>
      <x:c r="C133" s="8" t="str">
        <x:v>English/Other</x:v>
      </x:c>
      <x:c r="D133" s="8" t="str">
        <x:v>ATV, quad &amp; buggy</x:v>
      </x:c>
      <x:c r="E133" s="8" t="n">
        <x:v>0</x:v>
      </x:c>
      <x:c r="F133" s="8" t="n">
        <x:v>2</x:v>
      </x:c>
      <x:c r="G133" s="8" t="n">
        <x:v>0</x:v>
      </x:c>
      <x:c r="H133" s="8" t="n">
        <x:v>24.5</x:v>
      </x:c>
      <x:c r="I133" s="8" t="str">
        <x:v>Build</x:v>
      </x:c>
      <x:c r="J133" s="8" t="str">
        <x:v>0.1</x:v>
      </x:c>
      <x:c r="K133" s="8" t="str">
        <x:v>2026-06-14 to 2026-08-20</x:v>
      </x:c>
      <x:c r="L133" s="8" t="str">
        <x:v>OBSERVED</x:v>
      </x:c>
      <x:c r="M133" s="8" t="str">
        <x:v>FIRST-PARTY MEASUREMENT</x:v>
      </x:c>
      <x:c r="N133" s="8" t="str">
        <x:v>SRC-GSC-QUERIES</x:v>
      </x:c>
    </x:row>
    <x:row r="134" ht="48" customHeight="1">
      <x:c r="A134" s="9" t="str">
        <x:v>HQ130</x:v>
      </x:c>
      <x:c r="B134" s="9" t="str">
        <x:v>naxos rent a car prices</x:v>
      </x:c>
      <x:c r="C134" s="9" t="str">
        <x:v>English/Other</x:v>
      </x:c>
      <x:c r="D134" s="9" t="str">
        <x:v>Price &amp; value</x:v>
      </x:c>
      <x:c r="E134" s="9" t="n">
        <x:v>0</x:v>
      </x:c>
      <x:c r="F134" s="9" t="n">
        <x:v>2</x:v>
      </x:c>
      <x:c r="G134" s="9" t="n">
        <x:v>0</x:v>
      </x:c>
      <x:c r="H134" s="9" t="n">
        <x:v>29.5</x:v>
      </x:c>
      <x:c r="I134" s="9" t="str">
        <x:v>Build</x:v>
      </x:c>
      <x:c r="J134" s="9" t="str">
        <x:v>0.1</x:v>
      </x:c>
      <x:c r="K134" s="9" t="str">
        <x:v>2026-06-14 to 2026-08-20</x:v>
      </x:c>
      <x:c r="L134" s="9" t="str">
        <x:v>OBSERVED</x:v>
      </x:c>
      <x:c r="M134" s="9" t="str">
        <x:v>FIRST-PARTY MEASUREMENT</x:v>
      </x:c>
      <x:c r="N134" s="9" t="str">
        <x:v>SRC-GSC-QUERIES</x:v>
      </x:c>
    </x:row>
    <x:row r="135" ht="48" customHeight="1">
      <x:c r="A135" s="8" t="str">
        <x:v>HQ131</x:v>
      </x:c>
      <x:c r="B135" s="8" t="str">
        <x:v>rent a buggy naxos</x:v>
      </x:c>
      <x:c r="C135" s="8" t="str">
        <x:v>English/Other</x:v>
      </x:c>
      <x:c r="D135" s="8" t="str">
        <x:v>ATV, quad &amp; buggy</x:v>
      </x:c>
      <x:c r="E135" s="8" t="n">
        <x:v>0</x:v>
      </x:c>
      <x:c r="F135" s="8" t="n">
        <x:v>2</x:v>
      </x:c>
      <x:c r="G135" s="8" t="n">
        <x:v>0</x:v>
      </x:c>
      <x:c r="H135" s="8" t="n">
        <x:v>33</x:v>
      </x:c>
      <x:c r="I135" s="8" t="str">
        <x:v>Build</x:v>
      </x:c>
      <x:c r="J135" s="8" t="str">
        <x:v>0.1</x:v>
      </x:c>
      <x:c r="K135" s="8" t="str">
        <x:v>2026-06-14 to 2026-08-20</x:v>
      </x:c>
      <x:c r="L135" s="8" t="str">
        <x:v>OBSERVED</x:v>
      </x:c>
      <x:c r="M135" s="8" t="str">
        <x:v>FIRST-PARTY MEASUREMENT</x:v>
      </x:c>
      <x:c r="N135" s="8" t="str">
        <x:v>SRC-GSC-QUERIES</x:v>
      </x:c>
    </x:row>
    <x:row r="136" ht="48" customHeight="1">
      <x:c r="A136" s="9" t="str">
        <x:v>HQ132</x:v>
      </x:c>
      <x:c r="B136" s="9" t="str">
        <x:v>naxos moto rent</x:v>
      </x:c>
      <x:c r="C136" s="9" t="str">
        <x:v>English/Other</x:v>
      </x:c>
      <x:c r="D136" s="9" t="str">
        <x:v>Naxos guide</x:v>
      </x:c>
      <x:c r="E136" s="9" t="n">
        <x:v>0</x:v>
      </x:c>
      <x:c r="F136" s="9" t="n">
        <x:v>2</x:v>
      </x:c>
      <x:c r="G136" s="9" t="n">
        <x:v>0</x:v>
      </x:c>
      <x:c r="H136" s="9" t="n">
        <x:v>34</x:v>
      </x:c>
      <x:c r="I136" s="9" t="str">
        <x:v>Build</x:v>
      </x:c>
      <x:c r="J136" s="9" t="str">
        <x:v>0.1</x:v>
      </x:c>
      <x:c r="K136" s="9" t="str">
        <x:v>2026-06-14 to 2026-08-20</x:v>
      </x:c>
      <x:c r="L136" s="9" t="str">
        <x:v>OBSERVED</x:v>
      </x:c>
      <x:c r="M136" s="9" t="str">
        <x:v>FIRST-PARTY MEASUREMENT</x:v>
      </x:c>
      <x:c r="N136" s="9" t="str">
        <x:v>SRC-GSC-QUERIES</x:v>
      </x:c>
    </x:row>
    <x:row r="137" ht="48" customHeight="1">
      <x:c r="A137" s="8" t="str">
        <x:v>HQ133</x:v>
      </x:c>
      <x:c r="B137" s="8" t="str">
        <x:v>naxos quad rental</x:v>
      </x:c>
      <x:c r="C137" s="8" t="str">
        <x:v>English/Other</x:v>
      </x:c>
      <x:c r="D137" s="8" t="str">
        <x:v>ATV, quad &amp; buggy</x:v>
      </x:c>
      <x:c r="E137" s="8" t="n">
        <x:v>0</x:v>
      </x:c>
      <x:c r="F137" s="8" t="n">
        <x:v>2</x:v>
      </x:c>
      <x:c r="G137" s="8" t="n">
        <x:v>0</x:v>
      </x:c>
      <x:c r="H137" s="8" t="n">
        <x:v>35</x:v>
      </x:c>
      <x:c r="I137" s="8" t="str">
        <x:v>Build</x:v>
      </x:c>
      <x:c r="J137" s="8" t="str">
        <x:v>0.1</x:v>
      </x:c>
      <x:c r="K137" s="8" t="str">
        <x:v>2026-06-14 to 2026-08-20</x:v>
      </x:c>
      <x:c r="L137" s="8" t="str">
        <x:v>OBSERVED</x:v>
      </x:c>
      <x:c r="M137" s="8" t="str">
        <x:v>FIRST-PARTY MEASUREMENT</x:v>
      </x:c>
      <x:c r="N137" s="8" t="str">
        <x:v>SRC-GSC-QUERIES</x:v>
      </x:c>
    </x:row>
    <x:row r="138" ht="48" customHeight="1">
      <x:c r="A138" s="9" t="str">
        <x:v>HQ134</x:v>
      </x:c>
      <x:c r="B138" s="9" t="str">
        <x:v>naxos quad bike hire</x:v>
      </x:c>
      <x:c r="C138" s="9" t="str">
        <x:v>English/Other</x:v>
      </x:c>
      <x:c r="D138" s="9" t="str">
        <x:v>ATV, quad &amp; buggy</x:v>
      </x:c>
      <x:c r="E138" s="9" t="n">
        <x:v>0</x:v>
      </x:c>
      <x:c r="F138" s="9" t="n">
        <x:v>2</x:v>
      </x:c>
      <x:c r="G138" s="9" t="n">
        <x:v>0</x:v>
      </x:c>
      <x:c r="H138" s="9" t="n">
        <x:v>35.5</x:v>
      </x:c>
      <x:c r="I138" s="9" t="str">
        <x:v>Build</x:v>
      </x:c>
      <x:c r="J138" s="9" t="str">
        <x:v>0.1</x:v>
      </x:c>
      <x:c r="K138" s="9" t="str">
        <x:v>2026-06-14 to 2026-08-20</x:v>
      </x:c>
      <x:c r="L138" s="9" t="str">
        <x:v>OBSERVED</x:v>
      </x:c>
      <x:c r="M138" s="9" t="str">
        <x:v>FIRST-PARTY MEASUREMENT</x:v>
      </x:c>
      <x:c r="N138" s="9" t="str">
        <x:v>SRC-GSC-QUERIES</x:v>
      </x:c>
    </x:row>
    <x:row r="139" ht="48" customHeight="1">
      <x:c r="A139" s="8" t="str">
        <x:v>HQ135</x:v>
      </x:c>
      <x:c r="B139" s="8" t="str">
        <x:v>ενοικιαζομενα αμαξια ναξοσ</x:v>
      </x:c>
      <x:c r="C139" s="8" t="str">
        <x:v>Greek</x:v>
      </x:c>
      <x:c r="D139" s="8" t="str">
        <x:v>Core car rental</x:v>
      </x:c>
      <x:c r="E139" s="8" t="n">
        <x:v>0</x:v>
      </x:c>
      <x:c r="F139" s="8" t="n">
        <x:v>2</x:v>
      </x:c>
      <x:c r="G139" s="8" t="n">
        <x:v>0</x:v>
      </x:c>
      <x:c r="H139" s="8" t="n">
        <x:v>36.5</x:v>
      </x:c>
      <x:c r="I139" s="8" t="str">
        <x:v>Build</x:v>
      </x:c>
      <x:c r="J139" s="8" t="str">
        <x:v>0.1</x:v>
      </x:c>
      <x:c r="K139" s="8" t="str">
        <x:v>2026-06-14 to 2026-08-20</x:v>
      </x:c>
      <x:c r="L139" s="8" t="str">
        <x:v>OBSERVED</x:v>
      </x:c>
      <x:c r="M139" s="8" t="str">
        <x:v>FIRST-PARTY MEASUREMENT</x:v>
      </x:c>
      <x:c r="N139" s="8" t="str">
        <x:v>SRC-GSC-QUERIES</x:v>
      </x:c>
    </x:row>
    <x:row r="140" ht="48" customHeight="1">
      <x:c r="A140" s="9" t="str">
        <x:v>HQ136</x:v>
      </x:c>
      <x:c r="B140" s="9" t="str">
        <x:v>mietwagen naxos</x:v>
      </x:c>
      <x:c r="C140" s="9" t="str">
        <x:v>German</x:v>
      </x:c>
      <x:c r="D140" s="9" t="str">
        <x:v>Core car rental</x:v>
      </x:c>
      <x:c r="E140" s="9" t="n">
        <x:v>0</x:v>
      </x:c>
      <x:c r="F140" s="9" t="n">
        <x:v>2</x:v>
      </x:c>
      <x:c r="G140" s="9" t="n">
        <x:v>0</x:v>
      </x:c>
      <x:c r="H140" s="9" t="n">
        <x:v>39.5</x:v>
      </x:c>
      <x:c r="I140" s="9" t="str">
        <x:v>Build</x:v>
      </x:c>
      <x:c r="J140" s="9" t="str">
        <x:v>0.1</x:v>
      </x:c>
      <x:c r="K140" s="9" t="str">
        <x:v>2026-06-14 to 2026-08-20</x:v>
      </x:c>
      <x:c r="L140" s="9" t="str">
        <x:v>OBSERVED</x:v>
      </x:c>
      <x:c r="M140" s="9" t="str">
        <x:v>FIRST-PARTY MEASUREMENT</x:v>
      </x:c>
      <x:c r="N140" s="9" t="str">
        <x:v>SRC-GSC-QUERIES</x:v>
      </x:c>
    </x:row>
    <x:row r="141" ht="48" customHeight="1">
      <x:c r="A141" s="8" t="str">
        <x:v>HQ137</x:v>
      </x:c>
      <x:c r="B141" s="8" t="str">
        <x:v>ενοικιαζομενα αυτοκινητα ναξοσ</x:v>
      </x:c>
      <x:c r="C141" s="8" t="str">
        <x:v>Greek</x:v>
      </x:c>
      <x:c r="D141" s="8" t="str">
        <x:v>Core car rental</x:v>
      </x:c>
      <x:c r="E141" s="8" t="n">
        <x:v>0</x:v>
      </x:c>
      <x:c r="F141" s="8" t="n">
        <x:v>2</x:v>
      </x:c>
      <x:c r="G141" s="8" t="n">
        <x:v>0</x:v>
      </x:c>
      <x:c r="H141" s="8" t="n">
        <x:v>40</x:v>
      </x:c>
      <x:c r="I141" s="8" t="str">
        <x:v>Build</x:v>
      </x:c>
      <x:c r="J141" s="8" t="str">
        <x:v>0.1</x:v>
      </x:c>
      <x:c r="K141" s="8" t="str">
        <x:v>2026-06-14 to 2026-08-20</x:v>
      </x:c>
      <x:c r="L141" s="8" t="str">
        <x:v>OBSERVED</x:v>
      </x:c>
      <x:c r="M141" s="8" t="str">
        <x:v>FIRST-PARTY MEASUREMENT</x:v>
      </x:c>
      <x:c r="N141" s="8" t="str">
        <x:v>SRC-GSC-QUERIES</x:v>
      </x:c>
    </x:row>
    <x:row r="142" ht="48" customHeight="1">
      <x:c r="A142" s="9" t="str">
        <x:v>HQ138</x:v>
      </x:c>
      <x:c r="B142" s="9" t="str">
        <x:v>auto noleggio naxos</x:v>
      </x:c>
      <x:c r="C142" s="9" t="str">
        <x:v>Italian</x:v>
      </x:c>
      <x:c r="D142" s="9" t="str">
        <x:v>Naxos guide</x:v>
      </x:c>
      <x:c r="E142" s="9" t="n">
        <x:v>0</x:v>
      </x:c>
      <x:c r="F142" s="9" t="n">
        <x:v>2</x:v>
      </x:c>
      <x:c r="G142" s="9" t="n">
        <x:v>0</x:v>
      </x:c>
      <x:c r="H142" s="9" t="n">
        <x:v>49</x:v>
      </x:c>
      <x:c r="I142" s="9" t="str">
        <x:v>Build</x:v>
      </x:c>
      <x:c r="J142" s="9" t="str">
        <x:v>0.1</x:v>
      </x:c>
      <x:c r="K142" s="9" t="str">
        <x:v>2026-06-14 to 2026-08-20</x:v>
      </x:c>
      <x:c r="L142" s="9" t="str">
        <x:v>OBSERVED</x:v>
      </x:c>
      <x:c r="M142" s="9" t="str">
        <x:v>FIRST-PARTY MEASUREMENT</x:v>
      </x:c>
      <x:c r="N142" s="9" t="str">
        <x:v>SRC-GSC-QUERIES</x:v>
      </x:c>
    </x:row>
    <x:row r="143" ht="48" customHeight="1">
      <x:c r="A143" s="8" t="str">
        <x:v>HQ139</x:v>
      </x:c>
      <x:c r="B143" s="8" t="str">
        <x:v>rent a car naxos grecia</x:v>
      </x:c>
      <x:c r="C143" s="8" t="str">
        <x:v>Italian</x:v>
      </x:c>
      <x:c r="D143" s="8" t="str">
        <x:v>Core car rental</x:v>
      </x:c>
      <x:c r="E143" s="8" t="n">
        <x:v>0</x:v>
      </x:c>
      <x:c r="F143" s="8" t="n">
        <x:v>2</x:v>
      </x:c>
      <x:c r="G143" s="8" t="n">
        <x:v>0</x:v>
      </x:c>
      <x:c r="H143" s="8" t="n">
        <x:v>65</x:v>
      </x:c>
      <x:c r="I143" s="8" t="str">
        <x:v>Build</x:v>
      </x:c>
      <x:c r="J143" s="8" t="str">
        <x:v>0.1</x:v>
      </x:c>
      <x:c r="K143" s="8" t="str">
        <x:v>2026-06-14 to 2026-08-20</x:v>
      </x:c>
      <x:c r="L143" s="8" t="str">
        <x:v>OBSERVED</x:v>
      </x:c>
      <x:c r="M143" s="8" t="str">
        <x:v>FIRST-PARTY MEASUREMENT</x:v>
      </x:c>
      <x:c r="N143" s="8" t="str">
        <x:v>SRC-GSC-QUERIES</x:v>
      </x:c>
    </x:row>
    <x:row r="144" ht="48" customHeight="1">
      <x:c r="A144" s="9" t="str">
        <x:v>HQ140</x:v>
      </x:c>
      <x:c r="B144" s="9" t="str">
        <x:v>kouros car rental naxos</x:v>
      </x:c>
      <x:c r="C144" s="9" t="str">
        <x:v>English/Other</x:v>
      </x:c>
      <x:c r="D144" s="9" t="str">
        <x:v>Core car rental</x:v>
      </x:c>
      <x:c r="E144" s="9" t="n">
        <x:v>0</x:v>
      </x:c>
      <x:c r="F144" s="9" t="n">
        <x:v>2</x:v>
      </x:c>
      <x:c r="G144" s="9" t="n">
        <x:v>0</x:v>
      </x:c>
      <x:c r="H144" s="9" t="n">
        <x:v>85</x:v>
      </x:c>
      <x:c r="I144" s="9" t="str">
        <x:v>Build</x:v>
      </x:c>
      <x:c r="J144" s="9" t="str">
        <x:v>0.1</x:v>
      </x:c>
      <x:c r="K144" s="9" t="str">
        <x:v>2026-06-14 to 2026-08-20</x:v>
      </x:c>
      <x:c r="L144" s="9" t="str">
        <x:v>OBSERVED</x:v>
      </x:c>
      <x:c r="M144" s="9" t="str">
        <x:v>FIRST-PARTY MEASUREMENT</x:v>
      </x:c>
      <x:c r="N144" s="9" t="str">
        <x:v>SRC-GSC-QUERIES</x:v>
      </x:c>
    </x:row>
    <x:row r="145" ht="48" customHeight="1">
      <x:c r="A145" s="8" t="str">
        <x:v>HQ141</x:v>
      </x:c>
      <x:c r="B145" s="8" t="str">
        <x:v>international driving license</x:v>
      </x:c>
      <x:c r="C145" s="8" t="str">
        <x:v>English/Other</x:v>
      </x:c>
      <x:c r="D145" s="8" t="str">
        <x:v>Driving licence &amp; rules</x:v>
      </x:c>
      <x:c r="E145" s="8" t="n">
        <x:v>0</x:v>
      </x:c>
      <x:c r="F145" s="8" t="n">
        <x:v>2</x:v>
      </x:c>
      <x:c r="G145" s="8" t="n">
        <x:v>0</x:v>
      </x:c>
      <x:c r="H145" s="8" t="n">
        <x:v>92</x:v>
      </x:c>
      <x:c r="I145" s="8" t="str">
        <x:v>Build</x:v>
      </x:c>
      <x:c r="J145" s="8" t="str">
        <x:v>0.1</x:v>
      </x:c>
      <x:c r="K145" s="8" t="str">
        <x:v>2026-06-14 to 2026-08-20</x:v>
      </x:c>
      <x:c r="L145" s="8" t="str">
        <x:v>OBSERVED</x:v>
      </x:c>
      <x:c r="M145" s="8" t="str">
        <x:v>FIRST-PARTY MEASUREMENT</x:v>
      </x:c>
      <x:c r="N145" s="8" t="str">
        <x:v>SRC-GSC-QUERIES</x:v>
      </x:c>
    </x:row>
    <x:row r="146" ht="48" customHeight="1">
      <x:c r="A146" s="9" t="str">
        <x:v>HQ142</x:v>
      </x:c>
      <x:c r="B146" s="9" t="str">
        <x:v>alcohol limit greece driving</x:v>
      </x:c>
      <x:c r="C146" s="9" t="str">
        <x:v>English/Other</x:v>
      </x:c>
      <x:c r="D146" s="9" t="str">
        <x:v>Other</x:v>
      </x:c>
      <x:c r="E146" s="9" t="n">
        <x:v>0</x:v>
      </x:c>
      <x:c r="F146" s="9" t="n">
        <x:v>1</x:v>
      </x:c>
      <x:c r="G146" s="9" t="n">
        <x:v>0</x:v>
      </x:c>
      <x:c r="H146" s="9" t="n">
        <x:v>1</x:v>
      </x:c>
      <x:c r="I146" s="9" t="str">
        <x:v>Defend</x:v>
      </x:c>
      <x:c r="J146" s="9" t="str">
        <x:v>0.05</x:v>
      </x:c>
      <x:c r="K146" s="9" t="str">
        <x:v>2026-06-14 to 2026-08-20</x:v>
      </x:c>
      <x:c r="L146" s="9" t="str">
        <x:v>OBSERVED</x:v>
      </x:c>
      <x:c r="M146" s="9" t="str">
        <x:v>FIRST-PARTY MEASUREMENT</x:v>
      </x:c>
      <x:c r="N146" s="9" t="str">
        <x:v>SRC-GSC-QUERIES</x:v>
      </x:c>
    </x:row>
    <x:row r="147" ht="48" customHeight="1">
      <x:c r="A147" s="8" t="str">
        <x:v>HQ143</x:v>
      </x:c>
      <x:c r="B147" s="8" t="str">
        <x:v>auto mieten naxos</x:v>
      </x:c>
      <x:c r="C147" s="8" t="str">
        <x:v>Italian</x:v>
      </x:c>
      <x:c r="D147" s="8" t="str">
        <x:v>Naxos guide</x:v>
      </x:c>
      <x:c r="E147" s="8" t="n">
        <x:v>0</x:v>
      </x:c>
      <x:c r="F147" s="8" t="n">
        <x:v>1</x:v>
      </x:c>
      <x:c r="G147" s="8" t="n">
        <x:v>0</x:v>
      </x:c>
      <x:c r="H147" s="8" t="n">
        <x:v>1</x:v>
      </x:c>
      <x:c r="I147" s="8" t="str">
        <x:v>Defend</x:v>
      </x:c>
      <x:c r="J147" s="8" t="str">
        <x:v>0.05</x:v>
      </x:c>
      <x:c r="K147" s="8" t="str">
        <x:v>2026-06-14 to 2026-08-20</x:v>
      </x:c>
      <x:c r="L147" s="8" t="str">
        <x:v>OBSERVED</x:v>
      </x:c>
      <x:c r="M147" s="8" t="str">
        <x:v>FIRST-PARTY MEASUREMENT</x:v>
      </x:c>
      <x:c r="N147" s="8" t="str">
        <x:v>SRC-GSC-QUERIES</x:v>
      </x:c>
    </x:row>
    <x:row r="148" ht="48" customHeight="1">
      <x:c r="A148" s="9" t="str">
        <x:v>HQ144</x:v>
      </x:c>
      <x:c r="B148" s="9" t="str">
        <x:v>best companies to rent a car from</x:v>
      </x:c>
      <x:c r="C148" s="9" t="str">
        <x:v>English/Other</x:v>
      </x:c>
      <x:c r="D148" s="9" t="str">
        <x:v>Core car rental</x:v>
      </x:c>
      <x:c r="E148" s="9" t="n">
        <x:v>0</x:v>
      </x:c>
      <x:c r="F148" s="9" t="n">
        <x:v>1</x:v>
      </x:c>
      <x:c r="G148" s="9" t="n">
        <x:v>0</x:v>
      </x:c>
      <x:c r="H148" s="9" t="n">
        <x:v>1</x:v>
      </x:c>
      <x:c r="I148" s="9" t="str">
        <x:v>Defend</x:v>
      </x:c>
      <x:c r="J148" s="9" t="str">
        <x:v>0.05</x:v>
      </x:c>
      <x:c r="K148" s="9" t="str">
        <x:v>2026-06-14 to 2026-08-20</x:v>
      </x:c>
      <x:c r="L148" s="9" t="str">
        <x:v>OBSERVED</x:v>
      </x:c>
      <x:c r="M148" s="9" t="str">
        <x:v>FIRST-PARTY MEASUREMENT</x:v>
      </x:c>
      <x:c r="N148" s="9" t="str">
        <x:v>SRC-GSC-QUERIES</x:v>
      </x:c>
    </x:row>
    <x:row r="149" ht="48" customHeight="1">
      <x:c r="A149" s="8" t="str">
        <x:v>HQ145</x:v>
      </x:c>
      <x:c r="B149" s="8" t="str">
        <x:v>best options</x:v>
      </x:c>
      <x:c r="C149" s="8" t="str">
        <x:v>English/Other</x:v>
      </x:c>
      <x:c r="D149" s="8" t="str">
        <x:v>Other</x:v>
      </x:c>
      <x:c r="E149" s="8" t="n">
        <x:v>0</x:v>
      </x:c>
      <x:c r="F149" s="8" t="n">
        <x:v>1</x:v>
      </x:c>
      <x:c r="G149" s="8" t="n">
        <x:v>0</x:v>
      </x:c>
      <x:c r="H149" s="8" t="n">
        <x:v>1</x:v>
      </x:c>
      <x:c r="I149" s="8" t="str">
        <x:v>Defend</x:v>
      </x:c>
      <x:c r="J149" s="8" t="str">
        <x:v>0.05</x:v>
      </x:c>
      <x:c r="K149" s="8" t="str">
        <x:v>2026-06-14 to 2026-08-20</x:v>
      </x:c>
      <x:c r="L149" s="8" t="str">
        <x:v>OBSERVED</x:v>
      </x:c>
      <x:c r="M149" s="8" t="str">
        <x:v>FIRST-PARTY MEASUREMENT</x:v>
      </x:c>
      <x:c r="N149" s="8" t="str">
        <x:v>SRC-GSC-QUERIES</x:v>
      </x:c>
    </x:row>
    <x:row r="150" ht="48" customHeight="1">
      <x:c r="A150" s="9" t="str">
        <x:v>HQ146</x:v>
      </x:c>
      <x:c r="B150" s="9" t="str">
        <x:v>cuál es el más barato</x:v>
      </x:c>
      <x:c r="C150" s="9" t="str">
        <x:v>Spanish</x:v>
      </x:c>
      <x:c r="D150" s="9" t="str">
        <x:v>Other</x:v>
      </x:c>
      <x:c r="E150" s="9" t="n">
        <x:v>0</x:v>
      </x:c>
      <x:c r="F150" s="9" t="n">
        <x:v>1</x:v>
      </x:c>
      <x:c r="G150" s="9" t="n">
        <x:v>0</x:v>
      </x:c>
      <x:c r="H150" s="9" t="n">
        <x:v>1</x:v>
      </x:c>
      <x:c r="I150" s="9" t="str">
        <x:v>Defend</x:v>
      </x:c>
      <x:c r="J150" s="9" t="str">
        <x:v>0.05</x:v>
      </x:c>
      <x:c r="K150" s="9" t="str">
        <x:v>2026-06-14 to 2026-08-20</x:v>
      </x:c>
      <x:c r="L150" s="9" t="str">
        <x:v>OBSERVED</x:v>
      </x:c>
      <x:c r="M150" s="9" t="str">
        <x:v>FIRST-PARTY MEASUREMENT</x:v>
      </x:c>
      <x:c r="N150" s="9" t="str">
        <x:v>SRC-GSC-QUERIES</x:v>
      </x:c>
    </x:row>
    <x:row r="151" ht="48" customHeight="1">
      <x:c r="A151" s="8" t="str">
        <x:v>HQ147</x:v>
      </x:c>
      <x:c r="B151" s="8" t="str">
        <x:v>do i need an international driving permit</x:v>
      </x:c>
      <x:c r="C151" s="8" t="str">
        <x:v>English/Other</x:v>
      </x:c>
      <x:c r="D151" s="8" t="str">
        <x:v>Driving licence &amp; rules</x:v>
      </x:c>
      <x:c r="E151" s="8" t="n">
        <x:v>0</x:v>
      </x:c>
      <x:c r="F151" s="8" t="n">
        <x:v>1</x:v>
      </x:c>
      <x:c r="G151" s="8" t="n">
        <x:v>0</x:v>
      </x:c>
      <x:c r="H151" s="8" t="n">
        <x:v>1</x:v>
      </x:c>
      <x:c r="I151" s="8" t="str">
        <x:v>Defend</x:v>
      </x:c>
      <x:c r="J151" s="8" t="str">
        <x:v>0.05</x:v>
      </x:c>
      <x:c r="K151" s="8" t="str">
        <x:v>2026-06-14 to 2026-08-20</x:v>
      </x:c>
      <x:c r="L151" s="8" t="str">
        <x:v>OBSERVED</x:v>
      </x:c>
      <x:c r="M151" s="8" t="str">
        <x:v>FIRST-PARTY MEASUREMENT</x:v>
      </x:c>
      <x:c r="N151" s="8" t="str">
        <x:v>SRC-GSC-QUERIES</x:v>
      </x:c>
    </x:row>
    <x:row r="152" ht="48" customHeight="1">
      <x:c r="A152" s="9" t="str">
        <x:v>HQ148</x:v>
      </x:c>
      <x:c r="B152" s="9" t="str">
        <x:v>empresas</x:v>
      </x:c>
      <x:c r="C152" s="9" t="str">
        <x:v>Spanish</x:v>
      </x:c>
      <x:c r="D152" s="9" t="str">
        <x:v>Other</x:v>
      </x:c>
      <x:c r="E152" s="9" t="n">
        <x:v>0</x:v>
      </x:c>
      <x:c r="F152" s="9" t="n">
        <x:v>1</x:v>
      </x:c>
      <x:c r="G152" s="9" t="n">
        <x:v>0</x:v>
      </x:c>
      <x:c r="H152" s="9" t="n">
        <x:v>1</x:v>
      </x:c>
      <x:c r="I152" s="9" t="str">
        <x:v>Defend</x:v>
      </x:c>
      <x:c r="J152" s="9" t="str">
        <x:v>0.05</x:v>
      </x:c>
      <x:c r="K152" s="9" t="str">
        <x:v>2026-06-14 to 2026-08-20</x:v>
      </x:c>
      <x:c r="L152" s="9" t="str">
        <x:v>OBSERVED</x:v>
      </x:c>
      <x:c r="M152" s="9" t="str">
        <x:v>FIRST-PARTY MEASUREMENT</x:v>
      </x:c>
      <x:c r="N152" s="9" t="str">
        <x:v>SRC-GSC-QUERIES</x:v>
      </x:c>
    </x:row>
    <x:row r="153" ht="48" customHeight="1">
      <x:c r="A153" s="8" t="str">
        <x:v>HQ149</x:v>
      </x:c>
      <x:c r="B153" s="8" t="str">
        <x:v>free parking naxos</x:v>
      </x:c>
      <x:c r="C153" s="8" t="str">
        <x:v>English/Other</x:v>
      </x:c>
      <x:c r="D153" s="8" t="str">
        <x:v>Naxos guide</x:v>
      </x:c>
      <x:c r="E153" s="8" t="n">
        <x:v>0</x:v>
      </x:c>
      <x:c r="F153" s="8" t="n">
        <x:v>1</x:v>
      </x:c>
      <x:c r="G153" s="8" t="n">
        <x:v>0</x:v>
      </x:c>
      <x:c r="H153" s="8" t="n">
        <x:v>1</x:v>
      </x:c>
      <x:c r="I153" s="8" t="str">
        <x:v>Defend</x:v>
      </x:c>
      <x:c r="J153" s="8" t="str">
        <x:v>0.05</x:v>
      </x:c>
      <x:c r="K153" s="8" t="str">
        <x:v>2026-06-14 to 2026-08-20</x:v>
      </x:c>
      <x:c r="L153" s="8" t="str">
        <x:v>OBSERVED</x:v>
      </x:c>
      <x:c r="M153" s="8" t="str">
        <x:v>FIRST-PARTY MEASUREMENT</x:v>
      </x:c>
      <x:c r="N153" s="8" t="str">
        <x:v>SRC-GSC-QUERIES</x:v>
      </x:c>
    </x:row>
    <x:row r="154" ht="48" customHeight="1">
      <x:c r="A154" s="9" t="str">
        <x:v>HQ150</x:v>
      </x:c>
      <x:c r="B154" s="9" t="str">
        <x:v>ja graag</x:v>
      </x:c>
      <x:c r="C154" s="9" t="str">
        <x:v>English/Other</x:v>
      </x:c>
      <x:c r="D154" s="9" t="str">
        <x:v>Other</x:v>
      </x:c>
      <x:c r="E154" s="9" t="n">
        <x:v>0</x:v>
      </x:c>
      <x:c r="F154" s="9" t="n">
        <x:v>1</x:v>
      </x:c>
      <x:c r="G154" s="9" t="n">
        <x:v>0</x:v>
      </x:c>
      <x:c r="H154" s="9" t="n">
        <x:v>1</x:v>
      </x:c>
      <x:c r="I154" s="9" t="str">
        <x:v>Defend</x:v>
      </x:c>
      <x:c r="J154" s="9" t="str">
        <x:v>0.05</x:v>
      </x:c>
      <x:c r="K154" s="9" t="str">
        <x:v>2026-06-14 to 2026-08-20</x:v>
      </x:c>
      <x:c r="L154" s="9" t="str">
        <x:v>OBSERVED</x:v>
      </x:c>
      <x:c r="M154" s="9" t="str">
        <x:v>FIRST-PARTY MEASUREMENT</x:v>
      </x:c>
      <x:c r="N154" s="9" t="str">
        <x:v>SRC-GSC-QUERIES</x:v>
      </x:c>
    </x:row>
    <x:row r="155" ht="48" customHeight="1">
      <x:c r="A155" s="8" t="str">
        <x:v>HQ151</x:v>
      </x:c>
      <x:c r="B155" s="8" t="str">
        <x:v>naxos auto mieten</x:v>
      </x:c>
      <x:c r="C155" s="8" t="str">
        <x:v>Italian</x:v>
      </x:c>
      <x:c r="D155" s="8" t="str">
        <x:v>Naxos guide</x:v>
      </x:c>
      <x:c r="E155" s="8" t="n">
        <x:v>0</x:v>
      </x:c>
      <x:c r="F155" s="8" t="n">
        <x:v>1</x:v>
      </x:c>
      <x:c r="G155" s="8" t="n">
        <x:v>0</x:v>
      </x:c>
      <x:c r="H155" s="8" t="n">
        <x:v>1</x:v>
      </x:c>
      <x:c r="I155" s="8" t="str">
        <x:v>Defend</x:v>
      </x:c>
      <x:c r="J155" s="8" t="str">
        <x:v>0.05</x:v>
      </x:c>
      <x:c r="K155" s="8" t="str">
        <x:v>2026-06-14 to 2026-08-20</x:v>
      </x:c>
      <x:c r="L155" s="8" t="str">
        <x:v>OBSERVED</x:v>
      </x:c>
      <x:c r="M155" s="8" t="str">
        <x:v>FIRST-PARTY MEASUREMENT</x:v>
      </x:c>
      <x:c r="N155" s="8" t="str">
        <x:v>SRC-GSC-QUERIES</x:v>
      </x:c>
    </x:row>
    <x:row r="156" ht="48" customHeight="1">
      <x:c r="A156" s="9" t="str">
        <x:v>HQ152</x:v>
      </x:c>
      <x:c r="B156" s="9" t="str">
        <x:v>naxos greece car rental</x:v>
      </x:c>
      <x:c r="C156" s="9" t="str">
        <x:v>English/Other</x:v>
      </x:c>
      <x:c r="D156" s="9" t="str">
        <x:v>Core car rental</x:v>
      </x:c>
      <x:c r="E156" s="9" t="n">
        <x:v>0</x:v>
      </x:c>
      <x:c r="F156" s="9" t="n">
        <x:v>1</x:v>
      </x:c>
      <x:c r="G156" s="9" t="n">
        <x:v>0</x:v>
      </x:c>
      <x:c r="H156" s="9" t="n">
        <x:v>1</x:v>
      </x:c>
      <x:c r="I156" s="9" t="str">
        <x:v>Defend</x:v>
      </x:c>
      <x:c r="J156" s="9" t="str">
        <x:v>0.05</x:v>
      </x:c>
      <x:c r="K156" s="9" t="str">
        <x:v>2026-06-14 to 2026-08-20</x:v>
      </x:c>
      <x:c r="L156" s="9" t="str">
        <x:v>OBSERVED</x:v>
      </x:c>
      <x:c r="M156" s="9" t="str">
        <x:v>FIRST-PARTY MEASUREMENT</x:v>
      </x:c>
      <x:c r="N156" s="9" t="str">
        <x:v>SRC-GSC-QUERIES</x:v>
      </x:c>
    </x:row>
    <x:row r="157" ht="48" customHeight="1">
      <x:c r="A157" s="8" t="str">
        <x:v>HQ153</x:v>
      </x:c>
      <x:c r="B157" s="8" t="str">
        <x:v>naxos hire car</x:v>
      </x:c>
      <x:c r="C157" s="8" t="str">
        <x:v>English/Other</x:v>
      </x:c>
      <x:c r="D157" s="8" t="str">
        <x:v>Naxos guide</x:v>
      </x:c>
      <x:c r="E157" s="8" t="n">
        <x:v>0</x:v>
      </x:c>
      <x:c r="F157" s="8" t="n">
        <x:v>1</x:v>
      </x:c>
      <x:c r="G157" s="8" t="n">
        <x:v>0</x:v>
      </x:c>
      <x:c r="H157" s="8" t="n">
        <x:v>1</x:v>
      </x:c>
      <x:c r="I157" s="8" t="str">
        <x:v>Defend</x:v>
      </x:c>
      <x:c r="J157" s="8" t="str">
        <x:v>0.05</x:v>
      </x:c>
      <x:c r="K157" s="8" t="str">
        <x:v>2026-06-14 to 2026-08-20</x:v>
      </x:c>
      <x:c r="L157" s="8" t="str">
        <x:v>OBSERVED</x:v>
      </x:c>
      <x:c r="M157" s="8" t="str">
        <x:v>FIRST-PARTY MEASUREMENT</x:v>
      </x:c>
      <x:c r="N157" s="8" t="str">
        <x:v>SRC-GSC-QUERIES</x:v>
      </x:c>
    </x:row>
    <x:row r="158" ht="48" customHeight="1">
      <x:c r="A158" s="9" t="str">
        <x:v>HQ154</x:v>
      </x:c>
      <x:c r="B158" s="9" t="str">
        <x:v>naxos noleggio auto</x:v>
      </x:c>
      <x:c r="C158" s="9" t="str">
        <x:v>Italian</x:v>
      </x:c>
      <x:c r="D158" s="9" t="str">
        <x:v>Core car rental</x:v>
      </x:c>
      <x:c r="E158" s="9" t="n">
        <x:v>0</x:v>
      </x:c>
      <x:c r="F158" s="9" t="n">
        <x:v>1</x:v>
      </x:c>
      <x:c r="G158" s="9" t="n">
        <x:v>0</x:v>
      </x:c>
      <x:c r="H158" s="9" t="n">
        <x:v>1</x:v>
      </x:c>
      <x:c r="I158" s="9" t="str">
        <x:v>Defend</x:v>
      </x:c>
      <x:c r="J158" s="9" t="str">
        <x:v>0.05</x:v>
      </x:c>
      <x:c r="K158" s="9" t="str">
        <x:v>2026-06-14 to 2026-08-20</x:v>
      </x:c>
      <x:c r="L158" s="9" t="str">
        <x:v>OBSERVED</x:v>
      </x:c>
      <x:c r="M158" s="9" t="str">
        <x:v>FIRST-PARTY MEASUREMENT</x:v>
      </x:c>
      <x:c r="N158" s="9" t="str">
        <x:v>SRC-GSC-QUERIES</x:v>
      </x:c>
    </x:row>
    <x:row r="159" ht="48" customHeight="1">
      <x:c r="A159" s="8" t="str">
        <x:v>HQ155</x:v>
      </x:c>
      <x:c r="B159" s="8" t="str">
        <x:v>naxos rent car</x:v>
      </x:c>
      <x:c r="C159" s="8" t="str">
        <x:v>English/Other</x:v>
      </x:c>
      <x:c r="D159" s="8" t="str">
        <x:v>Core car rental</x:v>
      </x:c>
      <x:c r="E159" s="8" t="n">
        <x:v>0</x:v>
      </x:c>
      <x:c r="F159" s="8" t="n">
        <x:v>1</x:v>
      </x:c>
      <x:c r="G159" s="8" t="n">
        <x:v>0</x:v>
      </x:c>
      <x:c r="H159" s="8" t="n">
        <x:v>1</x:v>
      </x:c>
      <x:c r="I159" s="8" t="str">
        <x:v>Defend</x:v>
      </x:c>
      <x:c r="J159" s="8" t="str">
        <x:v>0.05</x:v>
      </x:c>
      <x:c r="K159" s="8" t="str">
        <x:v>2026-06-14 to 2026-08-20</x:v>
      </x:c>
      <x:c r="L159" s="8" t="str">
        <x:v>OBSERVED</x:v>
      </x:c>
      <x:c r="M159" s="8" t="str">
        <x:v>FIRST-PARTY MEASUREMENT</x:v>
      </x:c>
      <x:c r="N159" s="8" t="str">
        <x:v>SRC-GSC-QUERIES</x:v>
      </x:c>
    </x:row>
    <x:row r="160" ht="48" customHeight="1">
      <x:c r="A160" s="9" t="str">
        <x:v>HQ156</x:v>
      </x:c>
      <x:c r="B160" s="9" t="str">
        <x:v>naxos rental cars</x:v>
      </x:c>
      <x:c r="C160" s="9" t="str">
        <x:v>English/Other</x:v>
      </x:c>
      <x:c r="D160" s="9" t="str">
        <x:v>Core car rental</x:v>
      </x:c>
      <x:c r="E160" s="9" t="n">
        <x:v>0</x:v>
      </x:c>
      <x:c r="F160" s="9" t="n">
        <x:v>1</x:v>
      </x:c>
      <x:c r="G160" s="9" t="n">
        <x:v>0</x:v>
      </x:c>
      <x:c r="H160" s="9" t="n">
        <x:v>1</x:v>
      </x:c>
      <x:c r="I160" s="9" t="str">
        <x:v>Defend</x:v>
      </x:c>
      <x:c r="J160" s="9" t="str">
        <x:v>0.05</x:v>
      </x:c>
      <x:c r="K160" s="9" t="str">
        <x:v>2026-06-14 to 2026-08-20</x:v>
      </x:c>
      <x:c r="L160" s="9" t="str">
        <x:v>OBSERVED</x:v>
      </x:c>
      <x:c r="M160" s="9" t="str">
        <x:v>FIRST-PARTY MEASUREMENT</x:v>
      </x:c>
      <x:c r="N160" s="9" t="str">
        <x:v>SRC-GSC-QUERIES</x:v>
      </x:c>
    </x:row>
    <x:row r="161" ht="48" customHeight="1">
      <x:c r="A161" s="8" t="str">
        <x:v>HQ157</x:v>
      </x:c>
      <x:c r="B161" s="8" t="str">
        <x:v>rent a car agia anna naxos</x:v>
      </x:c>
      <x:c r="C161" s="8" t="str">
        <x:v>English/Other</x:v>
      </x:c>
      <x:c r="D161" s="8" t="str">
        <x:v>Core car rental</x:v>
      </x:c>
      <x:c r="E161" s="8" t="n">
        <x:v>0</x:v>
      </x:c>
      <x:c r="F161" s="8" t="n">
        <x:v>1</x:v>
      </x:c>
      <x:c r="G161" s="8" t="n">
        <x:v>0</x:v>
      </x:c>
      <x:c r="H161" s="8" t="n">
        <x:v>1</x:v>
      </x:c>
      <x:c r="I161" s="8" t="str">
        <x:v>Defend</x:v>
      </x:c>
      <x:c r="J161" s="8" t="str">
        <x:v>0.05</x:v>
      </x:c>
      <x:c r="K161" s="8" t="str">
        <x:v>2026-06-14 to 2026-08-20</x:v>
      </x:c>
      <x:c r="L161" s="8" t="str">
        <x:v>OBSERVED</x:v>
      </x:c>
      <x:c r="M161" s="8" t="str">
        <x:v>FIRST-PARTY MEASUREMENT</x:v>
      </x:c>
      <x:c r="N161" s="8" t="str">
        <x:v>SRC-GSC-QUERIES</x:v>
      </x:c>
    </x:row>
    <x:row r="162" ht="48" customHeight="1">
      <x:c r="A162" s="9" t="str">
        <x:v>HQ158</x:v>
      </x:c>
      <x:c r="B162" s="9" t="str">
        <x:v>rent car naxos</x:v>
      </x:c>
      <x:c r="C162" s="9" t="str">
        <x:v>English/Other</x:v>
      </x:c>
      <x:c r="D162" s="9" t="str">
        <x:v>Core car rental</x:v>
      </x:c>
      <x:c r="E162" s="9" t="n">
        <x:v>0</x:v>
      </x:c>
      <x:c r="F162" s="9" t="n">
        <x:v>1</x:v>
      </x:c>
      <x:c r="G162" s="9" t="n">
        <x:v>0</x:v>
      </x:c>
      <x:c r="H162" s="9" t="n">
        <x:v>1</x:v>
      </x:c>
      <x:c r="I162" s="9" t="str">
        <x:v>Defend</x:v>
      </x:c>
      <x:c r="J162" s="9" t="str">
        <x:v>0.05</x:v>
      </x:c>
      <x:c r="K162" s="9" t="str">
        <x:v>2026-06-14 to 2026-08-20</x:v>
      </x:c>
      <x:c r="L162" s="9" t="str">
        <x:v>OBSERVED</x:v>
      </x:c>
      <x:c r="M162" s="9" t="str">
        <x:v>FIRST-PARTY MEASUREMENT</x:v>
      </x:c>
      <x:c r="N162" s="9" t="str">
        <x:v>SRC-GSC-QUERIES</x:v>
      </x:c>
    </x:row>
    <x:row r="163" ht="48" customHeight="1">
      <x:c r="A163" s="8" t="str">
        <x:v>HQ159</x:v>
      </x:c>
      <x:c r="B163" s="8" t="str">
        <x:v>tak proszę</x:v>
      </x:c>
      <x:c r="C163" s="8" t="str">
        <x:v>English/Other</x:v>
      </x:c>
      <x:c r="D163" s="8" t="str">
        <x:v>Other</x:v>
      </x:c>
      <x:c r="E163" s="8" t="n">
        <x:v>0</x:v>
      </x:c>
      <x:c r="F163" s="8" t="n">
        <x:v>1</x:v>
      </x:c>
      <x:c r="G163" s="8" t="n">
        <x:v>0</x:v>
      </x:c>
      <x:c r="H163" s="8" t="n">
        <x:v>1</x:v>
      </x:c>
      <x:c r="I163" s="8" t="str">
        <x:v>Defend</x:v>
      </x:c>
      <x:c r="J163" s="8" t="str">
        <x:v>0.05</x:v>
      </x:c>
      <x:c r="K163" s="8" t="str">
        <x:v>2026-06-14 to 2026-08-20</x:v>
      </x:c>
      <x:c r="L163" s="8" t="str">
        <x:v>OBSERVED</x:v>
      </x:c>
      <x:c r="M163" s="8" t="str">
        <x:v>FIRST-PARTY MEASUREMENT</x:v>
      </x:c>
      <x:c r="N163" s="8" t="str">
        <x:v>SRC-GSC-QUERIES</x:v>
      </x:c>
    </x:row>
    <x:row r="164" ht="48" customHeight="1">
      <x:c r="A164" s="9" t="str">
        <x:v>HQ160</x:v>
      </x:c>
      <x:c r="B164" s="9" t="str">
        <x:v>yeah please</x:v>
      </x:c>
      <x:c r="C164" s="9" t="str">
        <x:v>English/Other</x:v>
      </x:c>
      <x:c r="D164" s="9" t="str">
        <x:v>Other</x:v>
      </x:c>
      <x:c r="E164" s="9" t="n">
        <x:v>0</x:v>
      </x:c>
      <x:c r="F164" s="9" t="n">
        <x:v>1</x:v>
      </x:c>
      <x:c r="G164" s="9" t="n">
        <x:v>0</x:v>
      </x:c>
      <x:c r="H164" s="9" t="n">
        <x:v>1</x:v>
      </x:c>
      <x:c r="I164" s="9" t="str">
        <x:v>Defend</x:v>
      </x:c>
      <x:c r="J164" s="9" t="str">
        <x:v>0.05</x:v>
      </x:c>
      <x:c r="K164" s="9" t="str">
        <x:v>2026-06-14 to 2026-08-20</x:v>
      </x:c>
      <x:c r="L164" s="9" t="str">
        <x:v>OBSERVED</x:v>
      </x:c>
      <x:c r="M164" s="9" t="str">
        <x:v>FIRST-PARTY MEASUREMENT</x:v>
      </x:c>
      <x:c r="N164" s="9" t="str">
        <x:v>SRC-GSC-QUERIES</x:v>
      </x:c>
    </x:row>
    <x:row r="165" ht="48" customHeight="1">
      <x:c r="A165" s="8" t="str">
        <x:v>HQ161</x:v>
      </x:c>
      <x:c r="B165" s="8" t="str">
        <x:v>ενοικίαση αυτοκινήτου ναξος</x:v>
      </x:c>
      <x:c r="C165" s="8" t="str">
        <x:v>Greek</x:v>
      </x:c>
      <x:c r="D165" s="8" t="str">
        <x:v>Other</x:v>
      </x:c>
      <x:c r="E165" s="8" t="n">
        <x:v>0</x:v>
      </x:c>
      <x:c r="F165" s="8" t="n">
        <x:v>1</x:v>
      </x:c>
      <x:c r="G165" s="8" t="n">
        <x:v>0</x:v>
      </x:c>
      <x:c r="H165" s="8" t="n">
        <x:v>1</x:v>
      </x:c>
      <x:c r="I165" s="8" t="str">
        <x:v>Defend</x:v>
      </x:c>
      <x:c r="J165" s="8" t="str">
        <x:v>0.05</x:v>
      </x:c>
      <x:c r="K165" s="8" t="str">
        <x:v>2026-06-14 to 2026-08-20</x:v>
      </x:c>
      <x:c r="L165" s="8" t="str">
        <x:v>OBSERVED</x:v>
      </x:c>
      <x:c r="M165" s="8" t="str">
        <x:v>FIRST-PARTY MEASUREMENT</x:v>
      </x:c>
      <x:c r="N165" s="8" t="str">
        <x:v>SRC-GSC-QUERIES</x:v>
      </x:c>
    </x:row>
    <x:row r="166" ht="48" customHeight="1">
      <x:c r="A166" s="9" t="str">
        <x:v>HQ162</x:v>
      </x:c>
      <x:c r="B166" s="9" t="str">
        <x:v>ενοικιαση μηχανακι ναξος</x:v>
      </x:c>
      <x:c r="C166" s="9" t="str">
        <x:v>Greek</x:v>
      </x:c>
      <x:c r="D166" s="9" t="str">
        <x:v>Scooters &amp; motorbikes</x:v>
      </x:c>
      <x:c r="E166" s="9" t="n">
        <x:v>0</x:v>
      </x:c>
      <x:c r="F166" s="9" t="n">
        <x:v>1</x:v>
      </x:c>
      <x:c r="G166" s="9" t="n">
        <x:v>0</x:v>
      </x:c>
      <x:c r="H166" s="9" t="n">
        <x:v>1</x:v>
      </x:c>
      <x:c r="I166" s="9" t="str">
        <x:v>Defend</x:v>
      </x:c>
      <x:c r="J166" s="9" t="str">
        <x:v>0.05</x:v>
      </x:c>
      <x:c r="K166" s="9" t="str">
        <x:v>2026-06-14 to 2026-08-20</x:v>
      </x:c>
      <x:c r="L166" s="9" t="str">
        <x:v>OBSERVED</x:v>
      </x:c>
      <x:c r="M166" s="9" t="str">
        <x:v>FIRST-PARTY MEASUREMENT</x:v>
      </x:c>
      <x:c r="N166" s="9" t="str">
        <x:v>SRC-GSC-QUERIES</x:v>
      </x:c>
    </x:row>
    <x:row r="167" ht="48" customHeight="1">
      <x:c r="A167" s="8" t="str">
        <x:v>HQ163</x:v>
      </x:c>
      <x:c r="B167" s="8" t="str">
        <x:v>cost to hire</x:v>
      </x:c>
      <x:c r="C167" s="8" t="str">
        <x:v>English/Other</x:v>
      </x:c>
      <x:c r="D167" s="8" t="str">
        <x:v>Price &amp; value</x:v>
      </x:c>
      <x:c r="E167" s="8" t="n">
        <x:v>0</x:v>
      </x:c>
      <x:c r="F167" s="8" t="n">
        <x:v>1</x:v>
      </x:c>
      <x:c r="G167" s="8" t="n">
        <x:v>0</x:v>
      </x:c>
      <x:c r="H167" s="8" t="n">
        <x:v>2</x:v>
      </x:c>
      <x:c r="I167" s="8" t="str">
        <x:v>Defend</x:v>
      </x:c>
      <x:c r="J167" s="8" t="str">
        <x:v>0.05</x:v>
      </x:c>
      <x:c r="K167" s="8" t="str">
        <x:v>2026-06-14 to 2026-08-20</x:v>
      </x:c>
      <x:c r="L167" s="8" t="str">
        <x:v>OBSERVED</x:v>
      </x:c>
      <x:c r="M167" s="8" t="str">
        <x:v>FIRST-PARTY MEASUREMENT</x:v>
      </x:c>
      <x:c r="N167" s="8" t="str">
        <x:v>SRC-GSC-QUERIES</x:v>
      </x:c>
    </x:row>
    <x:row r="168" ht="48" customHeight="1">
      <x:c r="A168" s="9" t="str">
        <x:v>HQ164</x:v>
      </x:c>
      <x:c r="B168" s="9" t="str">
        <x:v>for 4 days</x:v>
      </x:c>
      <x:c r="C168" s="9" t="str">
        <x:v>English/Other</x:v>
      </x:c>
      <x:c r="D168" s="9" t="str">
        <x:v>Other</x:v>
      </x:c>
      <x:c r="E168" s="9" t="n">
        <x:v>0</x:v>
      </x:c>
      <x:c r="F168" s="9" t="n">
        <x:v>1</x:v>
      </x:c>
      <x:c r="G168" s="9" t="n">
        <x:v>0</x:v>
      </x:c>
      <x:c r="H168" s="9" t="n">
        <x:v>2</x:v>
      </x:c>
      <x:c r="I168" s="9" t="str">
        <x:v>Defend</x:v>
      </x:c>
      <x:c r="J168" s="9" t="str">
        <x:v>0.05</x:v>
      </x:c>
      <x:c r="K168" s="9" t="str">
        <x:v>2026-06-14 to 2026-08-20</x:v>
      </x:c>
      <x:c r="L168" s="9" t="str">
        <x:v>OBSERVED</x:v>
      </x:c>
      <x:c r="M168" s="9" t="str">
        <x:v>FIRST-PARTY MEASUREMENT</x:v>
      </x:c>
      <x:c r="N168" s="9" t="str">
        <x:v>SRC-GSC-QUERIES</x:v>
      </x:c>
    </x:row>
    <x:row r="169" ht="48" customHeight="1">
      <x:c r="A169" s="8" t="str">
        <x:v>HQ165</x:v>
      </x:c>
      <x:c r="B169" s="8" t="str">
        <x:v>milos</x:v>
      </x:c>
      <x:c r="C169" s="8" t="str">
        <x:v>English/Other</x:v>
      </x:c>
      <x:c r="D169" s="8" t="str">
        <x:v>Other</x:v>
      </x:c>
      <x:c r="E169" s="8" t="n">
        <x:v>0</x:v>
      </x:c>
      <x:c r="F169" s="8" t="n">
        <x:v>1</x:v>
      </x:c>
      <x:c r="G169" s="8" t="n">
        <x:v>0</x:v>
      </x:c>
      <x:c r="H169" s="8" t="n">
        <x:v>2</x:v>
      </x:c>
      <x:c r="I169" s="8" t="str">
        <x:v>Defend</x:v>
      </x:c>
      <x:c r="J169" s="8" t="str">
        <x:v>0.05</x:v>
      </x:c>
      <x:c r="K169" s="8" t="str">
        <x:v>2026-06-14 to 2026-08-20</x:v>
      </x:c>
      <x:c r="L169" s="8" t="str">
        <x:v>OBSERVED</x:v>
      </x:c>
      <x:c r="M169" s="8" t="str">
        <x:v>FIRST-PARTY MEASUREMENT</x:v>
      </x:c>
      <x:c r="N169" s="8" t="str">
        <x:v>SRC-GSC-QUERIES</x:v>
      </x:c>
    </x:row>
    <x:row r="170" ht="48" customHeight="1">
      <x:c r="A170" s="9" t="str">
        <x:v>HQ166</x:v>
      </x:c>
      <x:c r="B170" s="9" t="str">
        <x:v>naxos car rent</x:v>
      </x:c>
      <x:c r="C170" s="9" t="str">
        <x:v>English/Other</x:v>
      </x:c>
      <x:c r="D170" s="9" t="str">
        <x:v>Naxos guide</x:v>
      </x:c>
      <x:c r="E170" s="9" t="n">
        <x:v>0</x:v>
      </x:c>
      <x:c r="F170" s="9" t="n">
        <x:v>1</x:v>
      </x:c>
      <x:c r="G170" s="9" t="n">
        <x:v>0</x:v>
      </x:c>
      <x:c r="H170" s="9" t="n">
        <x:v>2</x:v>
      </x:c>
      <x:c r="I170" s="9" t="str">
        <x:v>Defend</x:v>
      </x:c>
      <x:c r="J170" s="9" t="str">
        <x:v>0.05</x:v>
      </x:c>
      <x:c r="K170" s="9" t="str">
        <x:v>2026-06-14 to 2026-08-20</x:v>
      </x:c>
      <x:c r="L170" s="9" t="str">
        <x:v>OBSERVED</x:v>
      </x:c>
      <x:c r="M170" s="9" t="str">
        <x:v>FIRST-PARTY MEASUREMENT</x:v>
      </x:c>
      <x:c r="N170" s="9" t="str">
        <x:v>SRC-GSC-QUERIES</x:v>
      </x:c>
    </x:row>
    <x:row r="171" ht="48" customHeight="1">
      <x:c r="A171" s="8" t="str">
        <x:v>HQ167</x:v>
      </x:c>
      <x:c r="B171" s="8" t="str">
        <x:v>noleggio auto naxos grecia</x:v>
      </x:c>
      <x:c r="C171" s="8" t="str">
        <x:v>Italian</x:v>
      </x:c>
      <x:c r="D171" s="8" t="str">
        <x:v>Core car rental</x:v>
      </x:c>
      <x:c r="E171" s="8" t="n">
        <x:v>0</x:v>
      </x:c>
      <x:c r="F171" s="8" t="n">
        <x:v>1</x:v>
      </x:c>
      <x:c r="G171" s="8" t="n">
        <x:v>0</x:v>
      </x:c>
      <x:c r="H171" s="8" t="n">
        <x:v>2</x:v>
      </x:c>
      <x:c r="I171" s="8" t="str">
        <x:v>Defend</x:v>
      </x:c>
      <x:c r="J171" s="8" t="str">
        <x:v>0.05</x:v>
      </x:c>
      <x:c r="K171" s="8" t="str">
        <x:v>2026-06-14 to 2026-08-20</x:v>
      </x:c>
      <x:c r="L171" s="8" t="str">
        <x:v>OBSERVED</x:v>
      </x:c>
      <x:c r="M171" s="8" t="str">
        <x:v>FIRST-PARTY MEASUREMENT</x:v>
      </x:c>
      <x:c r="N171" s="8" t="str">
        <x:v>SRC-GSC-QUERIES</x:v>
      </x:c>
    </x:row>
    <x:row r="172" ht="48" customHeight="1">
      <x:c r="A172" s="9" t="str">
        <x:v>HQ168</x:v>
      </x:c>
      <x:c r="B172" s="9" t="str">
        <x:v>si</x:v>
      </x:c>
      <x:c r="C172" s="9" t="str">
        <x:v>English/Other</x:v>
      </x:c>
      <x:c r="D172" s="9" t="str">
        <x:v>Other</x:v>
      </x:c>
      <x:c r="E172" s="9" t="n">
        <x:v>0</x:v>
      </x:c>
      <x:c r="F172" s="9" t="n">
        <x:v>1</x:v>
      </x:c>
      <x:c r="G172" s="9" t="n">
        <x:v>0</x:v>
      </x:c>
      <x:c r="H172" s="9" t="n">
        <x:v>2</x:v>
      </x:c>
      <x:c r="I172" s="9" t="str">
        <x:v>Defend</x:v>
      </x:c>
      <x:c r="J172" s="9" t="str">
        <x:v>0.05</x:v>
      </x:c>
      <x:c r="K172" s="9" t="str">
        <x:v>2026-06-14 to 2026-08-20</x:v>
      </x:c>
      <x:c r="L172" s="9" t="str">
        <x:v>OBSERVED</x:v>
      </x:c>
      <x:c r="M172" s="9" t="str">
        <x:v>FIRST-PARTY MEASUREMENT</x:v>
      </x:c>
      <x:c r="N172" s="9" t="str">
        <x:v>SRC-GSC-QUERIES</x:v>
      </x:c>
    </x:row>
    <x:row r="173" ht="48" customHeight="1">
      <x:c r="A173" s="8" t="str">
        <x:v>HQ169</x:v>
      </x:c>
      <x:c r="B173" s="8" t="str">
        <x:v>ενοικιασεισ αυτοκινητων ναξοσ</x:v>
      </x:c>
      <x:c r="C173" s="8" t="str">
        <x:v>Greek</x:v>
      </x:c>
      <x:c r="D173" s="8" t="str">
        <x:v>Core car rental</x:v>
      </x:c>
      <x:c r="E173" s="8" t="n">
        <x:v>0</x:v>
      </x:c>
      <x:c r="F173" s="8" t="n">
        <x:v>1</x:v>
      </x:c>
      <x:c r="G173" s="8" t="n">
        <x:v>0</x:v>
      </x:c>
      <x:c r="H173" s="8" t="n">
        <x:v>2</x:v>
      </x:c>
      <x:c r="I173" s="8" t="str">
        <x:v>Defend</x:v>
      </x:c>
      <x:c r="J173" s="8" t="str">
        <x:v>0.05</x:v>
      </x:c>
      <x:c r="K173" s="8" t="str">
        <x:v>2026-06-14 to 2026-08-20</x:v>
      </x:c>
      <x:c r="L173" s="8" t="str">
        <x:v>OBSERVED</x:v>
      </x:c>
      <x:c r="M173" s="8" t="str">
        <x:v>FIRST-PARTY MEASUREMENT</x:v>
      </x:c>
      <x:c r="N173" s="8" t="str">
        <x:v>SRC-GSC-QUERIES</x:v>
      </x:c>
    </x:row>
    <x:row r="174" ht="48" customHeight="1">
      <x:c r="A174" s="9" t="str">
        <x:v>HQ170</x:v>
      </x:c>
      <x:c r="B174" s="9" t="str">
        <x:v>coche</x:v>
      </x:c>
      <x:c r="C174" s="9" t="str">
        <x:v>Spanish</x:v>
      </x:c>
      <x:c r="D174" s="9" t="str">
        <x:v>Other</x:v>
      </x:c>
      <x:c r="E174" s="9" t="n">
        <x:v>0</x:v>
      </x:c>
      <x:c r="F174" s="9" t="n">
        <x:v>1</x:v>
      </x:c>
      <x:c r="G174" s="9" t="n">
        <x:v>0</x:v>
      </x:c>
      <x:c r="H174" s="9" t="n">
        <x:v>3</x:v>
      </x:c>
      <x:c r="I174" s="9" t="str">
        <x:v>Defend</x:v>
      </x:c>
      <x:c r="J174" s="9" t="str">
        <x:v>0.05</x:v>
      </x:c>
      <x:c r="K174" s="9" t="str">
        <x:v>2026-06-14 to 2026-08-20</x:v>
      </x:c>
      <x:c r="L174" s="9" t="str">
        <x:v>OBSERVED</x:v>
      </x:c>
      <x:c r="M174" s="9" t="str">
        <x:v>FIRST-PARTY MEASUREMENT</x:v>
      </x:c>
      <x:c r="N174" s="9" t="str">
        <x:v>SRC-GSC-QUERIES</x:v>
      </x:c>
    </x:row>
    <x:row r="175" ht="48" customHeight="1">
      <x:c r="A175" s="8" t="str">
        <x:v>HQ171</x:v>
      </x:c>
      <x:c r="B175" s="8" t="str">
        <x:v>in kos</x:v>
      </x:c>
      <x:c r="C175" s="8" t="str">
        <x:v>English/Other</x:v>
      </x:c>
      <x:c r="D175" s="8" t="str">
        <x:v>Other</x:v>
      </x:c>
      <x:c r="E175" s="8" t="n">
        <x:v>0</x:v>
      </x:c>
      <x:c r="F175" s="8" t="n">
        <x:v>1</x:v>
      </x:c>
      <x:c r="G175" s="8" t="n">
        <x:v>0</x:v>
      </x:c>
      <x:c r="H175" s="8" t="n">
        <x:v>3</x:v>
      </x:c>
      <x:c r="I175" s="8" t="str">
        <x:v>Defend</x:v>
      </x:c>
      <x:c r="J175" s="8" t="str">
        <x:v>0.05</x:v>
      </x:c>
      <x:c r="K175" s="8" t="str">
        <x:v>2026-06-14 to 2026-08-20</x:v>
      </x:c>
      <x:c r="L175" s="8" t="str">
        <x:v>OBSERVED</x:v>
      </x:c>
      <x:c r="M175" s="8" t="str">
        <x:v>FIRST-PARTY MEASUREMENT</x:v>
      </x:c>
      <x:c r="N175" s="8" t="str">
        <x:v>SRC-GSC-QUERIES</x:v>
      </x:c>
    </x:row>
    <x:row r="176" ht="48" customHeight="1">
      <x:c r="A176" s="9" t="str">
        <x:v>HQ172</x:v>
      </x:c>
      <x:c r="B176" s="9" t="str">
        <x:v>kosten pro tag</x:v>
      </x:c>
      <x:c r="C176" s="9" t="str">
        <x:v>English/Other</x:v>
      </x:c>
      <x:c r="D176" s="9" t="str">
        <x:v>Price &amp; value</x:v>
      </x:c>
      <x:c r="E176" s="9" t="n">
        <x:v>0</x:v>
      </x:c>
      <x:c r="F176" s="9" t="n">
        <x:v>1</x:v>
      </x:c>
      <x:c r="G176" s="9" t="n">
        <x:v>0</x:v>
      </x:c>
      <x:c r="H176" s="9" t="n">
        <x:v>3</x:v>
      </x:c>
      <x:c r="I176" s="9" t="str">
        <x:v>Defend</x:v>
      </x:c>
      <x:c r="J176" s="9" t="str">
        <x:v>0.05</x:v>
      </x:c>
      <x:c r="K176" s="9" t="str">
        <x:v>2026-06-14 to 2026-08-20</x:v>
      </x:c>
      <x:c r="L176" s="9" t="str">
        <x:v>OBSERVED</x:v>
      </x:c>
      <x:c r="M176" s="9" t="str">
        <x:v>FIRST-PARTY MEASUREMENT</x:v>
      </x:c>
      <x:c r="N176" s="9" t="str">
        <x:v>SRC-GSC-QUERIES</x:v>
      </x:c>
    </x:row>
    <x:row r="177" ht="48" customHeight="1">
      <x:c r="A177" s="8" t="str">
        <x:v>HQ173</x:v>
      </x:c>
      <x:c r="B177" s="8" t="str">
        <x:v>location quad naxos</x:v>
      </x:c>
      <x:c r="C177" s="8" t="str">
        <x:v>French</x:v>
      </x:c>
      <x:c r="D177" s="8" t="str">
        <x:v>ATV, quad &amp; buggy</x:v>
      </x:c>
      <x:c r="E177" s="8" t="n">
        <x:v>0</x:v>
      </x:c>
      <x:c r="F177" s="8" t="n">
        <x:v>1</x:v>
      </x:c>
      <x:c r="G177" s="8" t="n">
        <x:v>0</x:v>
      </x:c>
      <x:c r="H177" s="8" t="n">
        <x:v>3</x:v>
      </x:c>
      <x:c r="I177" s="8" t="str">
        <x:v>Defend</x:v>
      </x:c>
      <x:c r="J177" s="8" t="str">
        <x:v>0.05</x:v>
      </x:c>
      <x:c r="K177" s="8" t="str">
        <x:v>2026-06-14 to 2026-08-20</x:v>
      </x:c>
      <x:c r="L177" s="8" t="str">
        <x:v>OBSERVED</x:v>
      </x:c>
      <x:c r="M177" s="8" t="str">
        <x:v>FIRST-PARTY MEASUREMENT</x:v>
      </x:c>
      <x:c r="N177" s="8" t="str">
        <x:v>SRC-GSC-QUERIES</x:v>
      </x:c>
    </x:row>
    <x:row r="178" ht="48" customHeight="1">
      <x:c r="A178" s="9" t="str">
        <x:v>HQ174</x:v>
      </x:c>
      <x:c r="B178" s="9" t="str">
        <x:v>naxos car rental prices</x:v>
      </x:c>
      <x:c r="C178" s="9" t="str">
        <x:v>English/Other</x:v>
      </x:c>
      <x:c r="D178" s="9" t="str">
        <x:v>Price &amp; value</x:v>
      </x:c>
      <x:c r="E178" s="9" t="n">
        <x:v>0</x:v>
      </x:c>
      <x:c r="F178" s="9" t="n">
        <x:v>1</x:v>
      </x:c>
      <x:c r="G178" s="9" t="n">
        <x:v>0</x:v>
      </x:c>
      <x:c r="H178" s="9" t="n">
        <x:v>3</x:v>
      </x:c>
      <x:c r="I178" s="9" t="str">
        <x:v>Defend</x:v>
      </x:c>
      <x:c r="J178" s="9" t="str">
        <x:v>0.05</x:v>
      </x:c>
      <x:c r="K178" s="9" t="str">
        <x:v>2026-06-14 to 2026-08-20</x:v>
      </x:c>
      <x:c r="L178" s="9" t="str">
        <x:v>OBSERVED</x:v>
      </x:c>
      <x:c r="M178" s="9" t="str">
        <x:v>FIRST-PARTY MEASUREMENT</x:v>
      </x:c>
      <x:c r="N178" s="9" t="str">
        <x:v>SRC-GSC-QUERIES</x:v>
      </x:c>
    </x:row>
    <x:row r="179" ht="48" customHeight="1">
      <x:c r="A179" s="8" t="str">
        <x:v>HQ175</x:v>
      </x:c>
      <x:c r="B179" s="8" t="str">
        <x:v>recensioni clienti</x:v>
      </x:c>
      <x:c r="C179" s="8" t="str">
        <x:v>Italian</x:v>
      </x:c>
      <x:c r="D179" s="8" t="str">
        <x:v>Reviews &amp; comparison</x:v>
      </x:c>
      <x:c r="E179" s="8" t="n">
        <x:v>0</x:v>
      </x:c>
      <x:c r="F179" s="8" t="n">
        <x:v>1</x:v>
      </x:c>
      <x:c r="G179" s="8" t="n">
        <x:v>0</x:v>
      </x:c>
      <x:c r="H179" s="8" t="n">
        <x:v>3</x:v>
      </x:c>
      <x:c r="I179" s="8" t="str">
        <x:v>Defend</x:v>
      </x:c>
      <x:c r="J179" s="8" t="str">
        <x:v>0.05</x:v>
      </x:c>
      <x:c r="K179" s="8" t="str">
        <x:v>2026-06-14 to 2026-08-20</x:v>
      </x:c>
      <x:c r="L179" s="8" t="str">
        <x:v>OBSERVED</x:v>
      </x:c>
      <x:c r="M179" s="8" t="str">
        <x:v>FIRST-PARTY MEASUREMENT</x:v>
      </x:c>
      <x:c r="N179" s="8" t="str">
        <x:v>SRC-GSC-QUERIES</x:v>
      </x:c>
    </x:row>
    <x:row r="180" ht="48" customHeight="1">
      <x:c r="A180" s="9" t="str">
        <x:v>HQ176</x:v>
      </x:c>
      <x:c r="B180" s="9" t="str">
        <x:v>renting a car in naxos</x:v>
      </x:c>
      <x:c r="C180" s="9" t="str">
        <x:v>English/Other</x:v>
      </x:c>
      <x:c r="D180" s="9" t="str">
        <x:v>Naxos guide</x:v>
      </x:c>
      <x:c r="E180" s="9" t="n">
        <x:v>0</x:v>
      </x:c>
      <x:c r="F180" s="9" t="n">
        <x:v>1</x:v>
      </x:c>
      <x:c r="G180" s="9" t="n">
        <x:v>0</x:v>
      </x:c>
      <x:c r="H180" s="9" t="n">
        <x:v>3</x:v>
      </x:c>
      <x:c r="I180" s="9" t="str">
        <x:v>Defend</x:v>
      </x:c>
      <x:c r="J180" s="9" t="str">
        <x:v>0.05</x:v>
      </x:c>
      <x:c r="K180" s="9" t="str">
        <x:v>2026-06-14 to 2026-08-20</x:v>
      </x:c>
      <x:c r="L180" s="9" t="str">
        <x:v>OBSERVED</x:v>
      </x:c>
      <x:c r="M180" s="9" t="str">
        <x:v>FIRST-PARTY MEASUREMENT</x:v>
      </x:c>
      <x:c r="N180" s="9" t="str">
        <x:v>SRC-GSC-QUERIES</x:v>
      </x:c>
    </x:row>
    <x:row r="181" ht="48" customHeight="1">
      <x:c r="A181" s="8" t="str">
        <x:v>HQ177</x:v>
      </x:c>
      <x:c r="B181" s="8" t="str">
        <x:v>what about naxos</x:v>
      </x:c>
      <x:c r="C181" s="8" t="str">
        <x:v>English/Other</x:v>
      </x:c>
      <x:c r="D181" s="8" t="str">
        <x:v>Naxos guide</x:v>
      </x:c>
      <x:c r="E181" s="8" t="n">
        <x:v>0</x:v>
      </x:c>
      <x:c r="F181" s="8" t="n">
        <x:v>1</x:v>
      </x:c>
      <x:c r="G181" s="8" t="n">
        <x:v>0</x:v>
      </x:c>
      <x:c r="H181" s="8" t="n">
        <x:v>3</x:v>
      </x:c>
      <x:c r="I181" s="8" t="str">
        <x:v>Defend</x:v>
      </x:c>
      <x:c r="J181" s="8" t="str">
        <x:v>0.05</x:v>
      </x:c>
      <x:c r="K181" s="8" t="str">
        <x:v>2026-06-14 to 2026-08-20</x:v>
      </x:c>
      <x:c r="L181" s="8" t="str">
        <x:v>OBSERVED</x:v>
      </x:c>
      <x:c r="M181" s="8" t="str">
        <x:v>FIRST-PARTY MEASUREMENT</x:v>
      </x:c>
      <x:c r="N181" s="8" t="str">
        <x:v>SRC-GSC-QUERIES</x:v>
      </x:c>
    </x:row>
    <x:row r="182" ht="48" customHeight="1">
      <x:c r="A182" s="9" t="str">
        <x:v>HQ178</x:v>
      </x:c>
      <x:c r="B182" s="9" t="str">
        <x:v>can you give me others?</x:v>
      </x:c>
      <x:c r="C182" s="9" t="str">
        <x:v>English/Other</x:v>
      </x:c>
      <x:c r="D182" s="9" t="str">
        <x:v>Other</x:v>
      </x:c>
      <x:c r="E182" s="9" t="n">
        <x:v>0</x:v>
      </x:c>
      <x:c r="F182" s="9" t="n">
        <x:v>1</x:v>
      </x:c>
      <x:c r="G182" s="9" t="n">
        <x:v>0</x:v>
      </x:c>
      <x:c r="H182" s="9" t="n">
        <x:v>4</x:v>
      </x:c>
      <x:c r="I182" s="9" t="str">
        <x:v>Build</x:v>
      </x:c>
      <x:c r="J182" s="9" t="str">
        <x:v>0.05</x:v>
      </x:c>
      <x:c r="K182" s="9" t="str">
        <x:v>2026-06-14 to 2026-08-20</x:v>
      </x:c>
      <x:c r="L182" s="9" t="str">
        <x:v>OBSERVED</x:v>
      </x:c>
      <x:c r="M182" s="9" t="str">
        <x:v>FIRST-PARTY MEASUREMENT</x:v>
      </x:c>
      <x:c r="N182" s="9" t="str">
        <x:v>SRC-GSC-QUERIES</x:v>
      </x:c>
    </x:row>
    <x:row r="183" ht="48" customHeight="1">
      <x:c r="A183" s="8" t="str">
        <x:v>HQ179</x:v>
      </x:c>
      <x:c r="B183" s="8" t="str">
        <x:v>do i need idp</x:v>
      </x:c>
      <x:c r="C183" s="8" t="str">
        <x:v>English/Other</x:v>
      </x:c>
      <x:c r="D183" s="8" t="str">
        <x:v>Driving licence &amp; rules</x:v>
      </x:c>
      <x:c r="E183" s="8" t="n">
        <x:v>0</x:v>
      </x:c>
      <x:c r="F183" s="8" t="n">
        <x:v>1</x:v>
      </x:c>
      <x:c r="G183" s="8" t="n">
        <x:v>0</x:v>
      </x:c>
      <x:c r="H183" s="8" t="n">
        <x:v>4</x:v>
      </x:c>
      <x:c r="I183" s="8" t="str">
        <x:v>Build</x:v>
      </x:c>
      <x:c r="J183" s="8" t="str">
        <x:v>0.05</x:v>
      </x:c>
      <x:c r="K183" s="8" t="str">
        <x:v>2026-06-14 to 2026-08-20</x:v>
      </x:c>
      <x:c r="L183" s="8" t="str">
        <x:v>OBSERVED</x:v>
      </x:c>
      <x:c r="M183" s="8" t="str">
        <x:v>FIRST-PARTY MEASUREMENT</x:v>
      </x:c>
      <x:c r="N183" s="8" t="str">
        <x:v>SRC-GSC-QUERIES</x:v>
      </x:c>
    </x:row>
    <x:row r="184" ht="48" customHeight="1">
      <x:c r="A184" s="9" t="str">
        <x:v>HQ180</x:v>
      </x:c>
      <x:c r="B184" s="9" t="str">
        <x:v>e na grécia</x:v>
      </x:c>
      <x:c r="C184" s="9" t="str">
        <x:v>English/Other</x:v>
      </x:c>
      <x:c r="D184" s="9" t="str">
        <x:v>Other</x:v>
      </x:c>
      <x:c r="E184" s="9" t="n">
        <x:v>0</x:v>
      </x:c>
      <x:c r="F184" s="9" t="n">
        <x:v>1</x:v>
      </x:c>
      <x:c r="G184" s="9" t="n">
        <x:v>0</x:v>
      </x:c>
      <x:c r="H184" s="9" t="n">
        <x:v>4</x:v>
      </x:c>
      <x:c r="I184" s="9" t="str">
        <x:v>Build</x:v>
      </x:c>
      <x:c r="J184" s="9" t="str">
        <x:v>0.05</x:v>
      </x:c>
      <x:c r="K184" s="9" t="str">
        <x:v>2026-06-14 to 2026-08-20</x:v>
      </x:c>
      <x:c r="L184" s="9" t="str">
        <x:v>OBSERVED</x:v>
      </x:c>
      <x:c r="M184" s="9" t="str">
        <x:v>FIRST-PARTY MEASUREMENT</x:v>
      </x:c>
      <x:c r="N184" s="9" t="str">
        <x:v>SRC-GSC-QUERIES</x:v>
      </x:c>
    </x:row>
    <x:row r="185" ht="48" customHeight="1">
      <x:c r="A185" s="8" t="str">
        <x:v>HQ181</x:v>
      </x:c>
      <x:c r="B185" s="8" t="str">
        <x:v>in greece</x:v>
      </x:c>
      <x:c r="C185" s="8" t="str">
        <x:v>English/Other</x:v>
      </x:c>
      <x:c r="D185" s="8" t="str">
        <x:v>Other</x:v>
      </x:c>
      <x:c r="E185" s="8" t="n">
        <x:v>0</x:v>
      </x:c>
      <x:c r="F185" s="8" t="n">
        <x:v>1</x:v>
      </x:c>
      <x:c r="G185" s="8" t="n">
        <x:v>0</x:v>
      </x:c>
      <x:c r="H185" s="8" t="n">
        <x:v>4</x:v>
      </x:c>
      <x:c r="I185" s="8" t="str">
        <x:v>Build</x:v>
      </x:c>
      <x:c r="J185" s="8" t="str">
        <x:v>0.05</x:v>
      </x:c>
      <x:c r="K185" s="8" t="str">
        <x:v>2026-06-14 to 2026-08-20</x:v>
      </x:c>
      <x:c r="L185" s="8" t="str">
        <x:v>OBSERVED</x:v>
      </x:c>
      <x:c r="M185" s="8" t="str">
        <x:v>FIRST-PARTY MEASUREMENT</x:v>
      </x:c>
      <x:c r="N185" s="8" t="str">
        <x:v>SRC-GSC-QUERIES</x:v>
      </x:c>
    </x:row>
    <x:row r="186" ht="48" customHeight="1">
      <x:c r="A186" s="9" t="str">
        <x:v>HQ182</x:v>
      </x:c>
      <x:c r="B186" s="9" t="str">
        <x:v>podaj aktualny cennik</x:v>
      </x:c>
      <x:c r="C186" s="9" t="str">
        <x:v>English/Other</x:v>
      </x:c>
      <x:c r="D186" s="9" t="str">
        <x:v>Other</x:v>
      </x:c>
      <x:c r="E186" s="9" t="n">
        <x:v>0</x:v>
      </x:c>
      <x:c r="F186" s="9" t="n">
        <x:v>1</x:v>
      </x:c>
      <x:c r="G186" s="9" t="n">
        <x:v>0</x:v>
      </x:c>
      <x:c r="H186" s="9" t="n">
        <x:v>4</x:v>
      </x:c>
      <x:c r="I186" s="9" t="str">
        <x:v>Build</x:v>
      </x:c>
      <x:c r="J186" s="9" t="str">
        <x:v>0.05</x:v>
      </x:c>
      <x:c r="K186" s="9" t="str">
        <x:v>2026-06-14 to 2026-08-20</x:v>
      </x:c>
      <x:c r="L186" s="9" t="str">
        <x:v>OBSERVED</x:v>
      </x:c>
      <x:c r="M186" s="9" t="str">
        <x:v>FIRST-PARTY MEASUREMENT</x:v>
      </x:c>
      <x:c r="N186" s="9" t="str">
        <x:v>SRC-GSC-QUERIES</x:v>
      </x:c>
    </x:row>
    <x:row r="187" ht="48" customHeight="1">
      <x:c r="A187" s="8" t="str">
        <x:v>HQ183</x:v>
      </x:c>
      <x:c r="B187" s="8" t="str">
        <x:v>villages in naxos</x:v>
      </x:c>
      <x:c r="C187" s="8" t="str">
        <x:v>English/Other</x:v>
      </x:c>
      <x:c r="D187" s="8" t="str">
        <x:v>Naxos guide</x:v>
      </x:c>
      <x:c r="E187" s="8" t="n">
        <x:v>0</x:v>
      </x:c>
      <x:c r="F187" s="8" t="n">
        <x:v>1</x:v>
      </x:c>
      <x:c r="G187" s="8" t="n">
        <x:v>0</x:v>
      </x:c>
      <x:c r="H187" s="8" t="n">
        <x:v>4</x:v>
      </x:c>
      <x:c r="I187" s="8" t="str">
        <x:v>Build</x:v>
      </x:c>
      <x:c r="J187" s="8" t="str">
        <x:v>0.05</x:v>
      </x:c>
      <x:c r="K187" s="8" t="str">
        <x:v>2026-06-14 to 2026-08-20</x:v>
      </x:c>
      <x:c r="L187" s="8" t="str">
        <x:v>OBSERVED</x:v>
      </x:c>
      <x:c r="M187" s="8" t="str">
        <x:v>FIRST-PARTY MEASUREMENT</x:v>
      </x:c>
      <x:c r="N187" s="8" t="str">
        <x:v>SRC-GSC-QUERIES</x:v>
      </x:c>
    </x:row>
    <x:row r="188" ht="48" customHeight="1">
      <x:c r="A188" s="9" t="str">
        <x:v>HQ184</x:v>
      </x:c>
      <x:c r="B188" s="9" t="str">
        <x:v>50cc scooter rental</x:v>
      </x:c>
      <x:c r="C188" s="9" t="str">
        <x:v>English/Other</x:v>
      </x:c>
      <x:c r="D188" s="9" t="str">
        <x:v>Scooters &amp; motorbikes</x:v>
      </x:c>
      <x:c r="E188" s="9" t="n">
        <x:v>0</x:v>
      </x:c>
      <x:c r="F188" s="9" t="n">
        <x:v>1</x:v>
      </x:c>
      <x:c r="G188" s="9" t="n">
        <x:v>0</x:v>
      </x:c>
      <x:c r="H188" s="9" t="n">
        <x:v>5</x:v>
      </x:c>
      <x:c r="I188" s="9" t="str">
        <x:v>Build</x:v>
      </x:c>
      <x:c r="J188" s="9" t="str">
        <x:v>0.05</x:v>
      </x:c>
      <x:c r="K188" s="9" t="str">
        <x:v>2026-06-14 to 2026-08-20</x:v>
      </x:c>
      <x:c r="L188" s="9" t="str">
        <x:v>OBSERVED</x:v>
      </x:c>
      <x:c r="M188" s="9" t="str">
        <x:v>FIRST-PARTY MEASUREMENT</x:v>
      </x:c>
      <x:c r="N188" s="9" t="str">
        <x:v>SRC-GSC-QUERIES</x:v>
      </x:c>
    </x:row>
    <x:row r="189" ht="48" customHeight="1">
      <x:c r="A189" s="8" t="str">
        <x:v>HQ185</x:v>
      </x:c>
      <x:c r="B189" s="8" t="str">
        <x:v>bitte</x:v>
      </x:c>
      <x:c r="C189" s="8" t="str">
        <x:v>English/Other</x:v>
      </x:c>
      <x:c r="D189" s="8" t="str">
        <x:v>Other</x:v>
      </x:c>
      <x:c r="E189" s="8" t="n">
        <x:v>0</x:v>
      </x:c>
      <x:c r="F189" s="8" t="n">
        <x:v>1</x:v>
      </x:c>
      <x:c r="G189" s="8" t="n">
        <x:v>0</x:v>
      </x:c>
      <x:c r="H189" s="8" t="n">
        <x:v>5</x:v>
      </x:c>
      <x:c r="I189" s="8" t="str">
        <x:v>Build</x:v>
      </x:c>
      <x:c r="J189" s="8" t="str">
        <x:v>0.05</x:v>
      </x:c>
      <x:c r="K189" s="8" t="str">
        <x:v>2026-06-14 to 2026-08-20</x:v>
      </x:c>
      <x:c r="L189" s="8" t="str">
        <x:v>OBSERVED</x:v>
      </x:c>
      <x:c r="M189" s="8" t="str">
        <x:v>FIRST-PARTY MEASUREMENT</x:v>
      </x:c>
      <x:c r="N189" s="8" t="str">
        <x:v>SRC-GSC-QUERIES</x:v>
      </x:c>
    </x:row>
    <x:row r="190" ht="48" customHeight="1">
      <x:c r="A190" s="9" t="str">
        <x:v>HQ186</x:v>
      </x:c>
      <x:c r="B190" s="9" t="str">
        <x:v>idp?</x:v>
      </x:c>
      <x:c r="C190" s="9" t="str">
        <x:v>English/Other</x:v>
      </x:c>
      <x:c r="D190" s="9" t="str">
        <x:v>Driving licence &amp; rules</x:v>
      </x:c>
      <x:c r="E190" s="9" t="n">
        <x:v>0</x:v>
      </x:c>
      <x:c r="F190" s="9" t="n">
        <x:v>1</x:v>
      </x:c>
      <x:c r="G190" s="9" t="n">
        <x:v>0</x:v>
      </x:c>
      <x:c r="H190" s="9" t="n">
        <x:v>5</x:v>
      </x:c>
      <x:c r="I190" s="9" t="str">
        <x:v>Build</x:v>
      </x:c>
      <x:c r="J190" s="9" t="str">
        <x:v>0.05</x:v>
      </x:c>
      <x:c r="K190" s="9" t="str">
        <x:v>2026-06-14 to 2026-08-20</x:v>
      </x:c>
      <x:c r="L190" s="9" t="str">
        <x:v>OBSERVED</x:v>
      </x:c>
      <x:c r="M190" s="9" t="str">
        <x:v>FIRST-PARTY MEASUREMENT</x:v>
      </x:c>
      <x:c r="N190" s="9" t="str">
        <x:v>SRC-GSC-QUERIES</x:v>
      </x:c>
    </x:row>
    <x:row r="191" ht="48" customHeight="1">
      <x:c r="A191" s="8" t="str">
        <x:v>HQ187</x:v>
      </x:c>
      <x:c r="B191" s="8" t="str">
        <x:v>motorroller mieten</x:v>
      </x:c>
      <x:c r="C191" s="8" t="str">
        <x:v>German</x:v>
      </x:c>
      <x:c r="D191" s="8" t="str">
        <x:v>Scooters &amp; motorbikes</x:v>
      </x:c>
      <x:c r="E191" s="8" t="n">
        <x:v>0</x:v>
      </x:c>
      <x:c r="F191" s="8" t="n">
        <x:v>1</x:v>
      </x:c>
      <x:c r="G191" s="8" t="n">
        <x:v>0</x:v>
      </x:c>
      <x:c r="H191" s="8" t="n">
        <x:v>5</x:v>
      </x:c>
      <x:c r="I191" s="8" t="str">
        <x:v>Build</x:v>
      </x:c>
      <x:c r="J191" s="8" t="str">
        <x:v>0.05</x:v>
      </x:c>
      <x:c r="K191" s="8" t="str">
        <x:v>2026-06-14 to 2026-08-20</x:v>
      </x:c>
      <x:c r="L191" s="8" t="str">
        <x:v>OBSERVED</x:v>
      </x:c>
      <x:c r="M191" s="8" t="str">
        <x:v>FIRST-PARTY MEASUREMENT</x:v>
      </x:c>
      <x:c r="N191" s="8" t="str">
        <x:v>SRC-GSC-QUERIES</x:v>
      </x:c>
    </x:row>
    <x:row r="192" ht="48" customHeight="1">
      <x:c r="A192" s="9" t="str">
        <x:v>HQ188</x:v>
      </x:c>
      <x:c r="B192" s="9" t="str">
        <x:v>naxos car hire</x:v>
      </x:c>
      <x:c r="C192" s="9" t="str">
        <x:v>English/Other</x:v>
      </x:c>
      <x:c r="D192" s="9" t="str">
        <x:v>Core car rental</x:v>
      </x:c>
      <x:c r="E192" s="9" t="n">
        <x:v>0</x:v>
      </x:c>
      <x:c r="F192" s="9" t="n">
        <x:v>1</x:v>
      </x:c>
      <x:c r="G192" s="9" t="n">
        <x:v>0</x:v>
      </x:c>
      <x:c r="H192" s="9" t="n">
        <x:v>5</x:v>
      </x:c>
      <x:c r="I192" s="9" t="str">
        <x:v>Build</x:v>
      </x:c>
      <x:c r="J192" s="9" t="str">
        <x:v>0.05</x:v>
      </x:c>
      <x:c r="K192" s="9" t="str">
        <x:v>2026-06-14 to 2026-08-20</x:v>
      </x:c>
      <x:c r="L192" s="9" t="str">
        <x:v>OBSERVED</x:v>
      </x:c>
      <x:c r="M192" s="9" t="str">
        <x:v>FIRST-PARTY MEASUREMENT</x:v>
      </x:c>
      <x:c r="N192" s="9" t="str">
        <x:v>SRC-GSC-QUERIES</x:v>
      </x:c>
    </x:row>
    <x:row r="193" ht="48" customHeight="1">
      <x:c r="A193" s="8" t="str">
        <x:v>HQ189</x:v>
      </x:c>
      <x:c r="B193" s="8" t="str">
        <x:v>naxos hafen mietwagen</x:v>
      </x:c>
      <x:c r="C193" s="8" t="str">
        <x:v>German</x:v>
      </x:c>
      <x:c r="D193" s="8" t="str">
        <x:v>Airport &amp; port pickup</x:v>
      </x:c>
      <x:c r="E193" s="8" t="n">
        <x:v>0</x:v>
      </x:c>
      <x:c r="F193" s="8" t="n">
        <x:v>1</x:v>
      </x:c>
      <x:c r="G193" s="8" t="n">
        <x:v>0</x:v>
      </x:c>
      <x:c r="H193" s="8" t="n">
        <x:v>5</x:v>
      </x:c>
      <x:c r="I193" s="8" t="str">
        <x:v>Build</x:v>
      </x:c>
      <x:c r="J193" s="8" t="str">
        <x:v>0.05</x:v>
      </x:c>
      <x:c r="K193" s="8" t="str">
        <x:v>2026-06-14 to 2026-08-20</x:v>
      </x:c>
      <x:c r="L193" s="8" t="str">
        <x:v>OBSERVED</x:v>
      </x:c>
      <x:c r="M193" s="8" t="str">
        <x:v>FIRST-PARTY MEASUREMENT</x:v>
      </x:c>
      <x:c r="N193" s="8" t="str">
        <x:v>SRC-GSC-QUERIES</x:v>
      </x:c>
    </x:row>
    <x:row r="194" ht="48" customHeight="1">
      <x:c r="A194" s="9" t="str">
        <x:v>HQ190</x:v>
      </x:c>
      <x:c r="B194" s="9" t="str">
        <x:v>us</x:v>
      </x:c>
      <x:c r="C194" s="9" t="str">
        <x:v>English/Other</x:v>
      </x:c>
      <x:c r="D194" s="9" t="str">
        <x:v>Other</x:v>
      </x:c>
      <x:c r="E194" s="9" t="n">
        <x:v>0</x:v>
      </x:c>
      <x:c r="F194" s="9" t="n">
        <x:v>1</x:v>
      </x:c>
      <x:c r="G194" s="9" t="n">
        <x:v>0</x:v>
      </x:c>
      <x:c r="H194" s="9" t="n">
        <x:v>5</x:v>
      </x:c>
      <x:c r="I194" s="9" t="str">
        <x:v>Build</x:v>
      </x:c>
      <x:c r="J194" s="9" t="str">
        <x:v>0.05</x:v>
      </x:c>
      <x:c r="K194" s="9" t="str">
        <x:v>2026-06-14 to 2026-08-20</x:v>
      </x:c>
      <x:c r="L194" s="9" t="str">
        <x:v>OBSERVED</x:v>
      </x:c>
      <x:c r="M194" s="9" t="str">
        <x:v>FIRST-PARTY MEASUREMENT</x:v>
      </x:c>
      <x:c r="N194" s="9" t="str">
        <x:v>SRC-GSC-QUERIES</x:v>
      </x:c>
    </x:row>
    <x:row r="195" ht="48" customHeight="1">
      <x:c r="A195" s="8" t="str">
        <x:v>HQ191</x:v>
      </x:c>
      <x:c r="B195" s="8" t="str">
        <x:v>greece legal blood alcohol limit drivers 2026</x:v>
      </x:c>
      <x:c r="C195" s="8" t="str">
        <x:v>English/Other</x:v>
      </x:c>
      <x:c r="D195" s="8" t="str">
        <x:v>Other</x:v>
      </x:c>
      <x:c r="E195" s="8" t="n">
        <x:v>0</x:v>
      </x:c>
      <x:c r="F195" s="8" t="n">
        <x:v>1</x:v>
      </x:c>
      <x:c r="G195" s="8" t="n">
        <x:v>0</x:v>
      </x:c>
      <x:c r="H195" s="8" t="n">
        <x:v>6</x:v>
      </x:c>
      <x:c r="I195" s="8" t="str">
        <x:v>Build</x:v>
      </x:c>
      <x:c r="J195" s="8" t="str">
        <x:v>0.05</x:v>
      </x:c>
      <x:c r="K195" s="8" t="str">
        <x:v>2026-06-14 to 2026-08-20</x:v>
      </x:c>
      <x:c r="L195" s="8" t="str">
        <x:v>OBSERVED</x:v>
      </x:c>
      <x:c r="M195" s="8" t="str">
        <x:v>FIRST-PARTY MEASUREMENT</x:v>
      </x:c>
      <x:c r="N195" s="8" t="str">
        <x:v>SRC-GSC-QUERIES</x:v>
      </x:c>
    </x:row>
    <x:row r="196" ht="48" customHeight="1">
      <x:c r="A196" s="9" t="str">
        <x:v>HQ192</x:v>
      </x:c>
      <x:c r="B196" s="9" t="str">
        <x:v>renting a car</x:v>
      </x:c>
      <x:c r="C196" s="9" t="str">
        <x:v>English/Other</x:v>
      </x:c>
      <x:c r="D196" s="9" t="str">
        <x:v>Other</x:v>
      </x:c>
      <x:c r="E196" s="9" t="n">
        <x:v>0</x:v>
      </x:c>
      <x:c r="F196" s="9" t="n">
        <x:v>1</x:v>
      </x:c>
      <x:c r="G196" s="9" t="n">
        <x:v>0</x:v>
      </x:c>
      <x:c r="H196" s="9" t="n">
        <x:v>6</x:v>
      </x:c>
      <x:c r="I196" s="9" t="str">
        <x:v>Build</x:v>
      </x:c>
      <x:c r="J196" s="9" t="str">
        <x:v>0.05</x:v>
      </x:c>
      <x:c r="K196" s="9" t="str">
        <x:v>2026-06-14 to 2026-08-20</x:v>
      </x:c>
      <x:c r="L196" s="9" t="str">
        <x:v>OBSERVED</x:v>
      </x:c>
      <x:c r="M196" s="9" t="str">
        <x:v>FIRST-PARTY MEASUREMENT</x:v>
      </x:c>
      <x:c r="N196" s="9" t="str">
        <x:v>SRC-GSC-QUERIES</x:v>
      </x:c>
    </x:row>
    <x:row r="197" ht="48" customHeight="1">
      <x:c r="A197" s="8" t="str">
        <x:v>HQ193</x:v>
      </x:c>
      <x:c r="B197" s="8" t="str">
        <x:v>scooter</x:v>
      </x:c>
      <x:c r="C197" s="8" t="str">
        <x:v>English/Other</x:v>
      </x:c>
      <x:c r="D197" s="8" t="str">
        <x:v>Scooters &amp; motorbikes</x:v>
      </x:c>
      <x:c r="E197" s="8" t="n">
        <x:v>0</x:v>
      </x:c>
      <x:c r="F197" s="8" t="n">
        <x:v>1</x:v>
      </x:c>
      <x:c r="G197" s="8" t="n">
        <x:v>0</x:v>
      </x:c>
      <x:c r="H197" s="8" t="n">
        <x:v>6</x:v>
      </x:c>
      <x:c r="I197" s="8" t="str">
        <x:v>Build</x:v>
      </x:c>
      <x:c r="J197" s="8" t="str">
        <x:v>0.05</x:v>
      </x:c>
      <x:c r="K197" s="8" t="str">
        <x:v>2026-06-14 to 2026-08-20</x:v>
      </x:c>
      <x:c r="L197" s="8" t="str">
        <x:v>OBSERVED</x:v>
      </x:c>
      <x:c r="M197" s="8" t="str">
        <x:v>FIRST-PARTY MEASUREMENT</x:v>
      </x:c>
      <x:c r="N197" s="8" t="str">
        <x:v>SRC-GSC-QUERIES</x:v>
      </x:c>
    </x:row>
    <x:row r="198" ht="48" customHeight="1">
      <x:c r="A198" s="9" t="str">
        <x:v>HQ194</x:v>
      </x:c>
      <x:c r="B198" s="9" t="str">
        <x:v>scooter 125</x:v>
      </x:c>
      <x:c r="C198" s="9" t="str">
        <x:v>English/Other</x:v>
      </x:c>
      <x:c r="D198" s="9" t="str">
        <x:v>Scooters &amp; motorbikes</x:v>
      </x:c>
      <x:c r="E198" s="9" t="n">
        <x:v>0</x:v>
      </x:c>
      <x:c r="F198" s="9" t="n">
        <x:v>1</x:v>
      </x:c>
      <x:c r="G198" s="9" t="n">
        <x:v>0</x:v>
      </x:c>
      <x:c r="H198" s="9" t="n">
        <x:v>6</x:v>
      </x:c>
      <x:c r="I198" s="9" t="str">
        <x:v>Build</x:v>
      </x:c>
      <x:c r="J198" s="9" t="str">
        <x:v>0.05</x:v>
      </x:c>
      <x:c r="K198" s="9" t="str">
        <x:v>2026-06-14 to 2026-08-20</x:v>
      </x:c>
      <x:c r="L198" s="9" t="str">
        <x:v>OBSERVED</x:v>
      </x:c>
      <x:c r="M198" s="9" t="str">
        <x:v>FIRST-PARTY MEASUREMENT</x:v>
      </x:c>
      <x:c r="N198" s="9" t="str">
        <x:v>SRC-GSC-QUERIES</x:v>
      </x:c>
    </x:row>
    <x:row r="199" ht="48" customHeight="1">
      <x:c r="A199" s="8" t="str">
        <x:v>HQ195</x:v>
      </x:c>
      <x:c r="B199" s="8" t="str">
        <x:v>sì grazie</x:v>
      </x:c>
      <x:c r="C199" s="8" t="str">
        <x:v>English/Other</x:v>
      </x:c>
      <x:c r="D199" s="8" t="str">
        <x:v>Other</x:v>
      </x:c>
      <x:c r="E199" s="8" t="n">
        <x:v>0</x:v>
      </x:c>
      <x:c r="F199" s="8" t="n">
        <x:v>1</x:v>
      </x:c>
      <x:c r="G199" s="8" t="n">
        <x:v>0</x:v>
      </x:c>
      <x:c r="H199" s="8" t="n">
        <x:v>6</x:v>
      </x:c>
      <x:c r="I199" s="8" t="str">
        <x:v>Build</x:v>
      </x:c>
      <x:c r="J199" s="8" t="str">
        <x:v>0.05</x:v>
      </x:c>
      <x:c r="K199" s="8" t="str">
        <x:v>2026-06-14 to 2026-08-20</x:v>
      </x:c>
      <x:c r="L199" s="8" t="str">
        <x:v>OBSERVED</x:v>
      </x:c>
      <x:c r="M199" s="8" t="str">
        <x:v>FIRST-PARTY MEASUREMENT</x:v>
      </x:c>
      <x:c r="N199" s="8" t="str">
        <x:v>SRC-GSC-QUERIES</x:v>
      </x:c>
    </x:row>
    <x:row r="200" ht="48" customHeight="1">
      <x:c r="A200" s="9" t="str">
        <x:v>HQ196</x:v>
      </x:c>
      <x:c r="B200" s="9" t="str">
        <x:v>what to do in naxos in 2 days</x:v>
      </x:c>
      <x:c r="C200" s="9" t="str">
        <x:v>English/Other</x:v>
      </x:c>
      <x:c r="D200" s="9" t="str">
        <x:v>Naxos guide</x:v>
      </x:c>
      <x:c r="E200" s="9" t="n">
        <x:v>0</x:v>
      </x:c>
      <x:c r="F200" s="9" t="n">
        <x:v>1</x:v>
      </x:c>
      <x:c r="G200" s="9" t="n">
        <x:v>0</x:v>
      </x:c>
      <x:c r="H200" s="9" t="n">
        <x:v>6</x:v>
      </x:c>
      <x:c r="I200" s="9" t="str">
        <x:v>Build</x:v>
      </x:c>
      <x:c r="J200" s="9" t="str">
        <x:v>0.05</x:v>
      </x:c>
      <x:c r="K200" s="9" t="str">
        <x:v>2026-06-14 to 2026-08-20</x:v>
      </x:c>
      <x:c r="L200" s="9" t="str">
        <x:v>OBSERVED</x:v>
      </x:c>
      <x:c r="M200" s="9" t="str">
        <x:v>FIRST-PARTY MEASUREMENT</x:v>
      </x:c>
      <x:c r="N200" s="9" t="str">
        <x:v>SRC-GSC-QUERIES</x:v>
      </x:c>
    </x:row>
    <x:row r="201" ht="48" customHeight="1">
      <x:c r="A201" s="8" t="str">
        <x:v>HQ197</x:v>
      </x:c>
      <x:c r="B201" s="8" t="str">
        <x:v>alugar carro</x:v>
      </x:c>
      <x:c r="C201" s="8" t="str">
        <x:v>English/Other</x:v>
      </x:c>
      <x:c r="D201" s="8" t="str">
        <x:v>Other</x:v>
      </x:c>
      <x:c r="E201" s="8" t="n">
        <x:v>0</x:v>
      </x:c>
      <x:c r="F201" s="8" t="n">
        <x:v>1</x:v>
      </x:c>
      <x:c r="G201" s="8" t="n">
        <x:v>0</x:v>
      </x:c>
      <x:c r="H201" s="8" t="n">
        <x:v>7</x:v>
      </x:c>
      <x:c r="I201" s="8" t="str">
        <x:v>Build</x:v>
      </x:c>
      <x:c r="J201" s="8" t="str">
        <x:v>0.05</x:v>
      </x:c>
      <x:c r="K201" s="8" t="str">
        <x:v>2026-06-14 to 2026-08-20</x:v>
      </x:c>
      <x:c r="L201" s="8" t="str">
        <x:v>OBSERVED</x:v>
      </x:c>
      <x:c r="M201" s="8" t="str">
        <x:v>FIRST-PARTY MEASUREMENT</x:v>
      </x:c>
      <x:c r="N201" s="8" t="str">
        <x:v>SRC-GSC-QUERIES</x:v>
      </x:c>
    </x:row>
    <x:row r="202" ht="48" customHeight="1">
      <x:c r="A202" s="9" t="str">
        <x:v>HQ198</x:v>
      </x:c>
      <x:c r="B202" s="9" t="str">
        <x:v>do you need an international drivers license in greece 2026</x:v>
      </x:c>
      <x:c r="C202" s="9" t="str">
        <x:v>English/Other</x:v>
      </x:c>
      <x:c r="D202" s="9" t="str">
        <x:v>Driving licence &amp; rules</x:v>
      </x:c>
      <x:c r="E202" s="9" t="n">
        <x:v>0</x:v>
      </x:c>
      <x:c r="F202" s="9" t="n">
        <x:v>1</x:v>
      </x:c>
      <x:c r="G202" s="9" t="n">
        <x:v>0</x:v>
      </x:c>
      <x:c r="H202" s="9" t="n">
        <x:v>7</x:v>
      </x:c>
      <x:c r="I202" s="9" t="str">
        <x:v>Build</x:v>
      </x:c>
      <x:c r="J202" s="9" t="str">
        <x:v>0.05</x:v>
      </x:c>
      <x:c r="K202" s="9" t="str">
        <x:v>2026-06-14 to 2026-08-20</x:v>
      </x:c>
      <x:c r="L202" s="9" t="str">
        <x:v>OBSERVED</x:v>
      </x:c>
      <x:c r="M202" s="9" t="str">
        <x:v>FIRST-PARTY MEASUREMENT</x:v>
      </x:c>
      <x:c r="N202" s="9" t="str">
        <x:v>SRC-GSC-QUERIES</x:v>
      </x:c>
    </x:row>
    <x:row r="203" ht="48" customHeight="1">
      <x:c r="A203" s="8" t="str">
        <x:v>HQ199</x:v>
      </x:c>
      <x:c r="B203" s="8" t="str">
        <x:v>find me the cheapest economy car rental in naxos next month for 5 days with 
unlimited mileage</x:v>
      </x:c>
      <x:c r="C203" s="8" t="str">
        <x:v>English/Other</x:v>
      </x:c>
      <x:c r="D203" s="8" t="str">
        <x:v>Price &amp; value</x:v>
      </x:c>
      <x:c r="E203" s="8" t="n">
        <x:v>0</x:v>
      </x:c>
      <x:c r="F203" s="8" t="n">
        <x:v>1</x:v>
      </x:c>
      <x:c r="G203" s="8" t="n">
        <x:v>0</x:v>
      </x:c>
      <x:c r="H203" s="8" t="n">
        <x:v>7</x:v>
      </x:c>
      <x:c r="I203" s="8" t="str">
        <x:v>Build</x:v>
      </x:c>
      <x:c r="J203" s="8" t="str">
        <x:v>0.05</x:v>
      </x:c>
      <x:c r="K203" s="8" t="str">
        <x:v>2026-06-14 to 2026-08-20</x:v>
      </x:c>
      <x:c r="L203" s="8" t="str">
        <x:v>OBSERVED</x:v>
      </x:c>
      <x:c r="M203" s="8" t="str">
        <x:v>FIRST-PARTY MEASUREMENT</x:v>
      </x:c>
      <x:c r="N203" s="8" t="str">
        <x:v>SRC-GSC-QUERIES</x:v>
      </x:c>
    </x:row>
    <x:row r="204" ht="48" customHeight="1">
      <x:c r="A204" s="9" t="str">
        <x:v>HQ200</x:v>
      </x:c>
      <x:c r="B204" s="9" t="str">
        <x:v>suzuki jimmy</x:v>
      </x:c>
      <x:c r="C204" s="9" t="str">
        <x:v>English/Other</x:v>
      </x:c>
      <x:c r="D204" s="9" t="str">
        <x:v>Other</x:v>
      </x:c>
      <x:c r="E204" s="9" t="n">
        <x:v>0</x:v>
      </x:c>
      <x:c r="F204" s="9" t="n">
        <x:v>1</x:v>
      </x:c>
      <x:c r="G204" s="9" t="n">
        <x:v>0</x:v>
      </x:c>
      <x:c r="H204" s="9" t="n">
        <x:v>7</x:v>
      </x:c>
      <x:c r="I204" s="9" t="str">
        <x:v>Build</x:v>
      </x:c>
      <x:c r="J204" s="9" t="str">
        <x:v>0.05</x:v>
      </x:c>
      <x:c r="K204" s="9" t="str">
        <x:v>2026-06-14 to 2026-08-20</x:v>
      </x:c>
      <x:c r="L204" s="9" t="str">
        <x:v>OBSERVED</x:v>
      </x:c>
      <x:c r="M204" s="9" t="str">
        <x:v>FIRST-PARTY MEASUREMENT</x:v>
      </x:c>
      <x:c r="N204" s="9" t="str">
        <x:v>SRC-GSC-QUERIES</x:v>
      </x:c>
    </x:row>
    <x:row r="205" ht="48" customHeight="1">
      <x:c r="A205" s="8" t="str">
        <x:v>HQ201</x:v>
      </x:c>
      <x:c r="B205" s="8" t="str">
        <x:v>try again</x:v>
      </x:c>
      <x:c r="C205" s="8" t="str">
        <x:v>English/Other</x:v>
      </x:c>
      <x:c r="D205" s="8" t="str">
        <x:v>Other</x:v>
      </x:c>
      <x:c r="E205" s="8" t="n">
        <x:v>0</x:v>
      </x:c>
      <x:c r="F205" s="8" t="n">
        <x:v>1</x:v>
      </x:c>
      <x:c r="G205" s="8" t="n">
        <x:v>0</x:v>
      </x:c>
      <x:c r="H205" s="8" t="n">
        <x:v>7</x:v>
      </x:c>
      <x:c r="I205" s="8" t="str">
        <x:v>Build</x:v>
      </x:c>
      <x:c r="J205" s="8" t="str">
        <x:v>0.05</x:v>
      </x:c>
      <x:c r="K205" s="8" t="str">
        <x:v>2026-06-14 to 2026-08-20</x:v>
      </x:c>
      <x:c r="L205" s="8" t="str">
        <x:v>OBSERVED</x:v>
      </x:c>
      <x:c r="M205" s="8" t="str">
        <x:v>FIRST-PARTY MEASUREMENT</x:v>
      </x:c>
      <x:c r="N205" s="8" t="str">
        <x:v>SRC-GSC-QUERIES</x:v>
      </x:c>
    </x:row>
    <x:row r="206" ht="48" customHeight="1">
      <x:c r="A206" s="9" t="str">
        <x:v>HQ202</x:v>
      </x:c>
      <x:c r="B206" s="9" t="str">
        <x:v>athen</x:v>
      </x:c>
      <x:c r="C206" s="9" t="str">
        <x:v>English/Other</x:v>
      </x:c>
      <x:c r="D206" s="9" t="str">
        <x:v>Other</x:v>
      </x:c>
      <x:c r="E206" s="9" t="n">
        <x:v>0</x:v>
      </x:c>
      <x:c r="F206" s="9" t="n">
        <x:v>1</x:v>
      </x:c>
      <x:c r="G206" s="9" t="n">
        <x:v>0</x:v>
      </x:c>
      <x:c r="H206" s="9" t="n">
        <x:v>8</x:v>
      </x:c>
      <x:c r="I206" s="9" t="str">
        <x:v>Build</x:v>
      </x:c>
      <x:c r="J206" s="9" t="str">
        <x:v>0.05</x:v>
      </x:c>
      <x:c r="K206" s="9" t="str">
        <x:v>2026-06-14 to 2026-08-20</x:v>
      </x:c>
      <x:c r="L206" s="9" t="str">
        <x:v>OBSERVED</x:v>
      </x:c>
      <x:c r="M206" s="9" t="str">
        <x:v>FIRST-PARTY MEASUREMENT</x:v>
      </x:c>
      <x:c r="N206" s="9" t="str">
        <x:v>SRC-GSC-QUERIES</x:v>
      </x:c>
    </x:row>
    <x:row r="207" ht="48" customHeight="1">
      <x:c r="A207" s="8" t="str">
        <x:v>HQ203</x:v>
      </x:c>
      <x:c r="B207" s="8" t="str">
        <x:v>autonoleggio naxos</x:v>
      </x:c>
      <x:c r="C207" s="8" t="str">
        <x:v>English/Other</x:v>
      </x:c>
      <x:c r="D207" s="8" t="str">
        <x:v>Naxos guide</x:v>
      </x:c>
      <x:c r="E207" s="8" t="n">
        <x:v>0</x:v>
      </x:c>
      <x:c r="F207" s="8" t="n">
        <x:v>1</x:v>
      </x:c>
      <x:c r="G207" s="8" t="n">
        <x:v>0</x:v>
      </x:c>
      <x:c r="H207" s="8" t="n">
        <x:v>8</x:v>
      </x:c>
      <x:c r="I207" s="8" t="str">
        <x:v>Build</x:v>
      </x:c>
      <x:c r="J207" s="8" t="str">
        <x:v>0.05</x:v>
      </x:c>
      <x:c r="K207" s="8" t="str">
        <x:v>2026-06-14 to 2026-08-20</x:v>
      </x:c>
      <x:c r="L207" s="8" t="str">
        <x:v>OBSERVED</x:v>
      </x:c>
      <x:c r="M207" s="8" t="str">
        <x:v>FIRST-PARTY MEASUREMENT</x:v>
      </x:c>
      <x:c r="N207" s="8" t="str">
        <x:v>SRC-GSC-QUERIES</x:v>
      </x:c>
    </x:row>
    <x:row r="208" ht="48" customHeight="1">
      <x:c r="A208" s="9" t="str">
        <x:v>HQ204</x:v>
      </x:c>
      <x:c r="B208" s="9" t="str">
        <x:v>je veux bien des recommandations</x:v>
      </x:c>
      <x:c r="C208" s="9" t="str">
        <x:v>English/Other</x:v>
      </x:c>
      <x:c r="D208" s="9" t="str">
        <x:v>Other</x:v>
      </x:c>
      <x:c r="E208" s="9" t="n">
        <x:v>0</x:v>
      </x:c>
      <x:c r="F208" s="9" t="n">
        <x:v>1</x:v>
      </x:c>
      <x:c r="G208" s="9" t="n">
        <x:v>0</x:v>
      </x:c>
      <x:c r="H208" s="9" t="n">
        <x:v>8</x:v>
      </x:c>
      <x:c r="I208" s="9" t="str">
        <x:v>Build</x:v>
      </x:c>
      <x:c r="J208" s="9" t="str">
        <x:v>0.05</x:v>
      </x:c>
      <x:c r="K208" s="9" t="str">
        <x:v>2026-06-14 to 2026-08-20</x:v>
      </x:c>
      <x:c r="L208" s="9" t="str">
        <x:v>OBSERVED</x:v>
      </x:c>
      <x:c r="M208" s="9" t="str">
        <x:v>FIRST-PARTY MEASUREMENT</x:v>
      </x:c>
      <x:c r="N208" s="9" t="str">
        <x:v>SRC-GSC-QUERIES</x:v>
      </x:c>
    </x:row>
    <x:row r="209" ht="48" customHeight="1">
      <x:c r="A209" s="8" t="str">
        <x:v>HQ205</x:v>
      </x:c>
      <x:c r="B209" s="8" t="str">
        <x:v>rent a car</x:v>
      </x:c>
      <x:c r="C209" s="8" t="str">
        <x:v>English/Other</x:v>
      </x:c>
      <x:c r="D209" s="8" t="str">
        <x:v>Core car rental</x:v>
      </x:c>
      <x:c r="E209" s="8" t="n">
        <x:v>0</x:v>
      </x:c>
      <x:c r="F209" s="8" t="n">
        <x:v>1</x:v>
      </x:c>
      <x:c r="G209" s="8" t="n">
        <x:v>0</x:v>
      </x:c>
      <x:c r="H209" s="8" t="n">
        <x:v>8</x:v>
      </x:c>
      <x:c r="I209" s="8" t="str">
        <x:v>Build</x:v>
      </x:c>
      <x:c r="J209" s="8" t="str">
        <x:v>0.05</x:v>
      </x:c>
      <x:c r="K209" s="8" t="str">
        <x:v>2026-06-14 to 2026-08-20</x:v>
      </x:c>
      <x:c r="L209" s="8" t="str">
        <x:v>OBSERVED</x:v>
      </x:c>
      <x:c r="M209" s="8" t="str">
        <x:v>FIRST-PARTY MEASUREMENT</x:v>
      </x:c>
      <x:c r="N209" s="8" t="str">
        <x:v>SRC-GSC-QUERIES</x:v>
      </x:c>
    </x:row>
    <x:row r="210" ht="48" customHeight="1">
      <x:c r="A210" s="9" t="str">
        <x:v>HQ206</x:v>
      </x:c>
      <x:c r="B210" s="9" t="str">
        <x:v>affitto scooter naxos</x:v>
      </x:c>
      <x:c r="C210" s="9" t="str">
        <x:v>English/Other</x:v>
      </x:c>
      <x:c r="D210" s="9" t="str">
        <x:v>Scooters &amp; motorbikes</x:v>
      </x:c>
      <x:c r="E210" s="9" t="n">
        <x:v>0</x:v>
      </x:c>
      <x:c r="F210" s="9" t="n">
        <x:v>1</x:v>
      </x:c>
      <x:c r="G210" s="9" t="n">
        <x:v>0</x:v>
      </x:c>
      <x:c r="H210" s="9" t="n">
        <x:v>9</x:v>
      </x:c>
      <x:c r="I210" s="9" t="str">
        <x:v>Build</x:v>
      </x:c>
      <x:c r="J210" s="9" t="str">
        <x:v>0.05</x:v>
      </x:c>
      <x:c r="K210" s="9" t="str">
        <x:v>2026-06-14 to 2026-08-20</x:v>
      </x:c>
      <x:c r="L210" s="9" t="str">
        <x:v>OBSERVED</x:v>
      </x:c>
      <x:c r="M210" s="9" t="str">
        <x:v>FIRST-PARTY MEASUREMENT</x:v>
      </x:c>
      <x:c r="N210" s="9" t="str">
        <x:v>SRC-GSC-QUERIES</x:v>
      </x:c>
    </x:row>
    <x:row r="211" ht="48" customHeight="1">
      <x:c r="A211" s="8" t="str">
        <x:v>HQ207</x:v>
      </x:c>
      <x:c r="B211" s="8" t="str">
        <x:v>yes list</x:v>
      </x:c>
      <x:c r="C211" s="8" t="str">
        <x:v>English/Other</x:v>
      </x:c>
      <x:c r="D211" s="8" t="str">
        <x:v>Other</x:v>
      </x:c>
      <x:c r="E211" s="8" t="n">
        <x:v>0</x:v>
      </x:c>
      <x:c r="F211" s="8" t="n">
        <x:v>1</x:v>
      </x:c>
      <x:c r="G211" s="8" t="n">
        <x:v>0</x:v>
      </x:c>
      <x:c r="H211" s="8" t="n">
        <x:v>9</x:v>
      </x:c>
      <x:c r="I211" s="8" t="str">
        <x:v>Build</x:v>
      </x:c>
      <x:c r="J211" s="8" t="str">
        <x:v>0.05</x:v>
      </x:c>
      <x:c r="K211" s="8" t="str">
        <x:v>2026-06-14 to 2026-08-20</x:v>
      </x:c>
      <x:c r="L211" s="8" t="str">
        <x:v>OBSERVED</x:v>
      </x:c>
      <x:c r="M211" s="8" t="str">
        <x:v>FIRST-PARTY MEASUREMENT</x:v>
      </x:c>
      <x:c r="N211" s="8" t="str">
        <x:v>SRC-GSC-QUERIES</x:v>
      </x:c>
    </x:row>
    <x:row r="212" ht="48" customHeight="1">
      <x:c r="A212" s="9" t="str">
        <x:v>HQ208</x:v>
      </x:c>
      <x:c r="B212" s="9" t="str">
        <x:v>auto mieten naxos hafen</x:v>
      </x:c>
      <x:c r="C212" s="9" t="str">
        <x:v>Italian</x:v>
      </x:c>
      <x:c r="D212" s="9" t="str">
        <x:v>Airport &amp; port pickup</x:v>
      </x:c>
      <x:c r="E212" s="9" t="n">
        <x:v>0</x:v>
      </x:c>
      <x:c r="F212" s="9" t="n">
        <x:v>1</x:v>
      </x:c>
      <x:c r="G212" s="9" t="n">
        <x:v>0</x:v>
      </x:c>
      <x:c r="H212" s="9" t="n">
        <x:v>10</x:v>
      </x:c>
      <x:c r="I212" s="9" t="str">
        <x:v>Build</x:v>
      </x:c>
      <x:c r="J212" s="9" t="str">
        <x:v>0.05</x:v>
      </x:c>
      <x:c r="K212" s="9" t="str">
        <x:v>2026-06-14 to 2026-08-20</x:v>
      </x:c>
      <x:c r="L212" s="9" t="str">
        <x:v>OBSERVED</x:v>
      </x:c>
      <x:c r="M212" s="9" t="str">
        <x:v>FIRST-PARTY MEASUREMENT</x:v>
      </x:c>
      <x:c r="N212" s="9" t="str">
        <x:v>SRC-GSC-QUERIES</x:v>
      </x:c>
    </x:row>
    <x:row r="213" ht="48" customHeight="1">
      <x:c r="A213" s="8" t="str">
        <x:v>HQ209</x:v>
      </x:c>
      <x:c r="B213" s="8" t="str">
        <x:v>fastmotor rent</x:v>
      </x:c>
      <x:c r="C213" s="8" t="str">
        <x:v>English/Other</x:v>
      </x:c>
      <x:c r="D213" s="8" t="str">
        <x:v>Other</x:v>
      </x:c>
      <x:c r="E213" s="8" t="n">
        <x:v>0</x:v>
      </x:c>
      <x:c r="F213" s="8" t="n">
        <x:v>1</x:v>
      </x:c>
      <x:c r="G213" s="8" t="n">
        <x:v>0</x:v>
      </x:c>
      <x:c r="H213" s="8" t="n">
        <x:v>10</x:v>
      </x:c>
      <x:c r="I213" s="8" t="str">
        <x:v>Build</x:v>
      </x:c>
      <x:c r="J213" s="8" t="str">
        <x:v>0.05</x:v>
      </x:c>
      <x:c r="K213" s="8" t="str">
        <x:v>2026-06-14 to 2026-08-20</x:v>
      </x:c>
      <x:c r="L213" s="8" t="str">
        <x:v>OBSERVED</x:v>
      </x:c>
      <x:c r="M213" s="8" t="str">
        <x:v>FIRST-PARTY MEASUREMENT</x:v>
      </x:c>
      <x:c r="N213" s="8" t="str">
        <x:v>SRC-GSC-QUERIES</x:v>
      </x:c>
    </x:row>
    <x:row r="214" ht="48" customHeight="1">
      <x:c r="A214" s="9" t="str">
        <x:v>HQ210</x:v>
      </x:c>
      <x:c r="B214" s="9" t="str">
        <x:v>mietwagen naxos flughafen</x:v>
      </x:c>
      <x:c r="C214" s="9" t="str">
        <x:v>German</x:v>
      </x:c>
      <x:c r="D214" s="9" t="str">
        <x:v>Airport &amp; port pickup</x:v>
      </x:c>
      <x:c r="E214" s="9" t="n">
        <x:v>0</x:v>
      </x:c>
      <x:c r="F214" s="9" t="n">
        <x:v>1</x:v>
      </x:c>
      <x:c r="G214" s="9" t="n">
        <x:v>0</x:v>
      </x:c>
      <x:c r="H214" s="9" t="n">
        <x:v>10</x:v>
      </x:c>
      <x:c r="I214" s="9" t="str">
        <x:v>Build</x:v>
      </x:c>
      <x:c r="J214" s="9" t="str">
        <x:v>0.05</x:v>
      </x:c>
      <x:c r="K214" s="9" t="str">
        <x:v>2026-06-14 to 2026-08-20</x:v>
      </x:c>
      <x:c r="L214" s="9" t="str">
        <x:v>OBSERVED</x:v>
      </x:c>
      <x:c r="M214" s="9" t="str">
        <x:v>FIRST-PARTY MEASUREMENT</x:v>
      </x:c>
      <x:c r="N214" s="9" t="str">
        <x:v>SRC-GSC-QUERIES</x:v>
      </x:c>
    </x:row>
    <x:row r="215" ht="48" customHeight="1">
      <x:c r="A215" s="8" t="str">
        <x:v>HQ211</x:v>
      </x:c>
      <x:c r="B215" s="8" t="str">
        <x:v>naxos rent a car by matha rent αξιολογήσεις</x:v>
      </x:c>
      <x:c r="C215" s="8" t="str">
        <x:v>Greek</x:v>
      </x:c>
      <x:c r="D215" s="8" t="str">
        <x:v>Reviews &amp; comparison</x:v>
      </x:c>
      <x:c r="E215" s="8" t="n">
        <x:v>0</x:v>
      </x:c>
      <x:c r="F215" s="8" t="n">
        <x:v>1</x:v>
      </x:c>
      <x:c r="G215" s="8" t="n">
        <x:v>0</x:v>
      </x:c>
      <x:c r="H215" s="8" t="n">
        <x:v>10</x:v>
      </x:c>
      <x:c r="I215" s="8" t="str">
        <x:v>Build</x:v>
      </x:c>
      <x:c r="J215" s="8" t="str">
        <x:v>0.05</x:v>
      </x:c>
      <x:c r="K215" s="8" t="str">
        <x:v>2026-06-14 to 2026-08-20</x:v>
      </x:c>
      <x:c r="L215" s="8" t="str">
        <x:v>OBSERVED</x:v>
      </x:c>
      <x:c r="M215" s="8" t="str">
        <x:v>FIRST-PARTY MEASUREMENT</x:v>
      </x:c>
      <x:c r="N215" s="8" t="str">
        <x:v>SRC-GSC-QUERIES</x:v>
      </x:c>
    </x:row>
    <x:row r="216" ht="48" customHeight="1">
      <x:c r="A216" s="9" t="str">
        <x:v>HQ212</x:v>
      </x:c>
      <x:c r="B216" s="9" t="str">
        <x:v>new car naxos reviews</x:v>
      </x:c>
      <x:c r="C216" s="9" t="str">
        <x:v>English/Other</x:v>
      </x:c>
      <x:c r="D216" s="9" t="str">
        <x:v>Reviews &amp; comparison</x:v>
      </x:c>
      <x:c r="E216" s="9" t="n">
        <x:v>0</x:v>
      </x:c>
      <x:c r="F216" s="9" t="n">
        <x:v>1</x:v>
      </x:c>
      <x:c r="G216" s="9" t="n">
        <x:v>0</x:v>
      </x:c>
      <x:c r="H216" s="9" t="n">
        <x:v>10</x:v>
      </x:c>
      <x:c r="I216" s="9" t="str">
        <x:v>Build</x:v>
      </x:c>
      <x:c r="J216" s="9" t="str">
        <x:v>0.05</x:v>
      </x:c>
      <x:c r="K216" s="9" t="str">
        <x:v>2026-06-14 to 2026-08-20</x:v>
      </x:c>
      <x:c r="L216" s="9" t="str">
        <x:v>OBSERVED</x:v>
      </x:c>
      <x:c r="M216" s="9" t="str">
        <x:v>FIRST-PARTY MEASUREMENT</x:v>
      </x:c>
      <x:c r="N216" s="9" t="str">
        <x:v>SRC-GSC-QUERIES</x:v>
      </x:c>
    </x:row>
    <x:row r="217" ht="48" customHeight="1">
      <x:c r="A217" s="8" t="str">
        <x:v>HQ213</x:v>
      </x:c>
      <x:c r="B217" s="8" t="str">
        <x:v>ναξοσ</x:v>
      </x:c>
      <x:c r="C217" s="8" t="str">
        <x:v>Greek</x:v>
      </x:c>
      <x:c r="D217" s="8" t="str">
        <x:v>Other</x:v>
      </x:c>
      <x:c r="E217" s="8" t="n">
        <x:v>0</x:v>
      </x:c>
      <x:c r="F217" s="8" t="n">
        <x:v>1</x:v>
      </x:c>
      <x:c r="G217" s="8" t="n">
        <x:v>0</x:v>
      </x:c>
      <x:c r="H217" s="8" t="n">
        <x:v>10</x:v>
      </x:c>
      <x:c r="I217" s="8" t="str">
        <x:v>Build</x:v>
      </x:c>
      <x:c r="J217" s="8" t="str">
        <x:v>0.05</x:v>
      </x:c>
      <x:c r="K217" s="8" t="str">
        <x:v>2026-06-14 to 2026-08-20</x:v>
      </x:c>
      <x:c r="L217" s="8" t="str">
        <x:v>OBSERVED</x:v>
      </x:c>
      <x:c r="M217" s="8" t="str">
        <x:v>FIRST-PARTY MEASUREMENT</x:v>
      </x:c>
      <x:c r="N217" s="8" t="str">
        <x:v>SRC-GSC-QUERIES</x:v>
      </x:c>
    </x:row>
    <x:row r="218" ht="48" customHeight="1">
      <x:c r="A218" s="9" t="str">
        <x:v>HQ214</x:v>
      </x:c>
      <x:c r="B218" s="9" t="str">
        <x:v>location de voiture naxos</x:v>
      </x:c>
      <x:c r="C218" s="9" t="str">
        <x:v>French</x:v>
      </x:c>
      <x:c r="D218" s="9" t="str">
        <x:v>Naxos guide</x:v>
      </x:c>
      <x:c r="E218" s="9" t="n">
        <x:v>0</x:v>
      </x:c>
      <x:c r="F218" s="9" t="n">
        <x:v>1</x:v>
      </x:c>
      <x:c r="G218" s="9" t="n">
        <x:v>0</x:v>
      </x:c>
      <x:c r="H218" s="9" t="n">
        <x:v>11</x:v>
      </x:c>
      <x:c r="I218" s="9" t="str">
        <x:v>Build</x:v>
      </x:c>
      <x:c r="J218" s="9" t="str">
        <x:v>0.05</x:v>
      </x:c>
      <x:c r="K218" s="9" t="str">
        <x:v>2026-06-14 to 2026-08-20</x:v>
      </x:c>
      <x:c r="L218" s="9" t="str">
        <x:v>OBSERVED</x:v>
      </x:c>
      <x:c r="M218" s="9" t="str">
        <x:v>FIRST-PARTY MEASUREMENT</x:v>
      </x:c>
      <x:c r="N218" s="9" t="str">
        <x:v>SRC-GSC-QUERIES</x:v>
      </x:c>
    </x:row>
    <x:row r="219" ht="48" customHeight="1">
      <x:c r="A219" s="8" t="str">
        <x:v>HQ215</x:v>
      </x:c>
      <x:c r="B219" s="8" t="str">
        <x:v>location scooter naxos prix</x:v>
      </x:c>
      <x:c r="C219" s="8" t="str">
        <x:v>French</x:v>
      </x:c>
      <x:c r="D219" s="8" t="str">
        <x:v>Scooters &amp; motorbikes</x:v>
      </x:c>
      <x:c r="E219" s="8" t="n">
        <x:v>0</x:v>
      </x:c>
      <x:c r="F219" s="8" t="n">
        <x:v>1</x:v>
      </x:c>
      <x:c r="G219" s="8" t="n">
        <x:v>0</x:v>
      </x:c>
      <x:c r="H219" s="8" t="n">
        <x:v>11</x:v>
      </x:c>
      <x:c r="I219" s="8" t="str">
        <x:v>Build</x:v>
      </x:c>
      <x:c r="J219" s="8" t="str">
        <x:v>0.05</x:v>
      </x:c>
      <x:c r="K219" s="8" t="str">
        <x:v>2026-06-14 to 2026-08-20</x:v>
      </x:c>
      <x:c r="L219" s="8" t="str">
        <x:v>OBSERVED</x:v>
      </x:c>
      <x:c r="M219" s="8" t="str">
        <x:v>FIRST-PARTY MEASUREMENT</x:v>
      </x:c>
      <x:c r="N219" s="8" t="str">
        <x:v>SRC-GSC-QUERIES</x:v>
      </x:c>
    </x:row>
    <x:row r="220" ht="48" customHeight="1">
      <x:c r="A220" s="9" t="str">
        <x:v>HQ216</x:v>
      </x:c>
      <x:c r="B220" s="9" t="str">
        <x:v>roller mieten naxos preise</x:v>
      </x:c>
      <x:c r="C220" s="9" t="str">
        <x:v>German</x:v>
      </x:c>
      <x:c r="D220" s="9" t="str">
        <x:v>Scooters &amp; motorbikes</x:v>
      </x:c>
      <x:c r="E220" s="9" t="n">
        <x:v>0</x:v>
      </x:c>
      <x:c r="F220" s="9" t="n">
        <x:v>1</x:v>
      </x:c>
      <x:c r="G220" s="9" t="n">
        <x:v>0</x:v>
      </x:c>
      <x:c r="H220" s="9" t="n">
        <x:v>11</x:v>
      </x:c>
      <x:c r="I220" s="9" t="str">
        <x:v>Build</x:v>
      </x:c>
      <x:c r="J220" s="9" t="str">
        <x:v>0.05</x:v>
      </x:c>
      <x:c r="K220" s="9" t="str">
        <x:v>2026-06-14 to 2026-08-20</x:v>
      </x:c>
      <x:c r="L220" s="9" t="str">
        <x:v>OBSERVED</x:v>
      </x:c>
      <x:c r="M220" s="9" t="str">
        <x:v>FIRST-PARTY MEASUREMENT</x:v>
      </x:c>
      <x:c r="N220" s="9" t="str">
        <x:v>SRC-GSC-QUERIES</x:v>
      </x:c>
    </x:row>
    <x:row r="221" ht="48" customHeight="1">
      <x:c r="A221" s="8" t="str">
        <x:v>HQ217</x:v>
      </x:c>
      <x:c r="B221" s="8" t="str">
        <x:v>scooter rental naxos greece</x:v>
      </x:c>
      <x:c r="C221" s="8" t="str">
        <x:v>English/Other</x:v>
      </x:c>
      <x:c r="D221" s="8" t="str">
        <x:v>Scooters &amp; motorbikes</x:v>
      </x:c>
      <x:c r="E221" s="8" t="n">
        <x:v>0</x:v>
      </x:c>
      <x:c r="F221" s="8" t="n">
        <x:v>1</x:v>
      </x:c>
      <x:c r="G221" s="8" t="n">
        <x:v>0</x:v>
      </x:c>
      <x:c r="H221" s="8" t="n">
        <x:v>11</x:v>
      </x:c>
      <x:c r="I221" s="8" t="str">
        <x:v>Build</x:v>
      </x:c>
      <x:c r="J221" s="8" t="str">
        <x:v>0.05</x:v>
      </x:c>
      <x:c r="K221" s="8" t="str">
        <x:v>2026-06-14 to 2026-08-20</x:v>
      </x:c>
      <x:c r="L221" s="8" t="str">
        <x:v>OBSERVED</x:v>
      </x:c>
      <x:c r="M221" s="8" t="str">
        <x:v>FIRST-PARTY MEASUREMENT</x:v>
      </x:c>
      <x:c r="N221" s="8" t="str">
        <x:v>SRC-GSC-QUERIES</x:v>
      </x:c>
    </x:row>
    <x:row r="222" ht="48" customHeight="1">
      <x:c r="A222" s="9" t="str">
        <x:v>HQ218</x:v>
      </x:c>
      <x:c r="B222" s="9" t="str">
        <x:v>naxos on the road</x:v>
      </x:c>
      <x:c r="C222" s="9" t="str">
        <x:v>English/Other</x:v>
      </x:c>
      <x:c r="D222" s="9" t="str">
        <x:v>Naxos guide</x:v>
      </x:c>
      <x:c r="E222" s="9" t="n">
        <x:v>0</x:v>
      </x:c>
      <x:c r="F222" s="9" t="n">
        <x:v>1</x:v>
      </x:c>
      <x:c r="G222" s="9" t="n">
        <x:v>0</x:v>
      </x:c>
      <x:c r="H222" s="9" t="n">
        <x:v>12</x:v>
      </x:c>
      <x:c r="I222" s="9" t="str">
        <x:v>Build</x:v>
      </x:c>
      <x:c r="J222" s="9" t="str">
        <x:v>0.05</x:v>
      </x:c>
      <x:c r="K222" s="9" t="str">
        <x:v>2026-06-14 to 2026-08-20</x:v>
      </x:c>
      <x:c r="L222" s="9" t="str">
        <x:v>OBSERVED</x:v>
      </x:c>
      <x:c r="M222" s="9" t="str">
        <x:v>FIRST-PARTY MEASUREMENT</x:v>
      </x:c>
      <x:c r="N222" s="9" t="str">
        <x:v>SRC-GSC-QUERIES</x:v>
      </x:c>
    </x:row>
    <x:row r="223" ht="48" customHeight="1">
      <x:c r="A223" s="8" t="str">
        <x:v>HQ219</x:v>
      </x:c>
      <x:c r="B223" s="8" t="str">
        <x:v>car hire naxos port</x:v>
      </x:c>
      <x:c r="C223" s="8" t="str">
        <x:v>English/Other</x:v>
      </x:c>
      <x:c r="D223" s="8" t="str">
        <x:v>Airport &amp; port pickup</x:v>
      </x:c>
      <x:c r="E223" s="8" t="n">
        <x:v>0</x:v>
      </x:c>
      <x:c r="F223" s="8" t="n">
        <x:v>1</x:v>
      </x:c>
      <x:c r="G223" s="8" t="n">
        <x:v>0</x:v>
      </x:c>
      <x:c r="H223" s="8" t="n">
        <x:v>13</x:v>
      </x:c>
      <x:c r="I223" s="8" t="str">
        <x:v>Build</x:v>
      </x:c>
      <x:c r="J223" s="8" t="str">
        <x:v>0.05</x:v>
      </x:c>
      <x:c r="K223" s="8" t="str">
        <x:v>2026-06-14 to 2026-08-20</x:v>
      </x:c>
      <x:c r="L223" s="8" t="str">
        <x:v>OBSERVED</x:v>
      </x:c>
      <x:c r="M223" s="8" t="str">
        <x:v>FIRST-PARTY MEASUREMENT</x:v>
      </x:c>
      <x:c r="N223" s="8" t="str">
        <x:v>SRC-GSC-QUERIES</x:v>
      </x:c>
    </x:row>
    <x:row r="224" ht="48" customHeight="1">
      <x:c r="A224" s="9" t="str">
        <x:v>HQ220</x:v>
      </x:c>
      <x:c r="B224" s="9" t="str">
        <x:v>car rental naxos chora</x:v>
      </x:c>
      <x:c r="C224" s="9" t="str">
        <x:v>English/Other</x:v>
      </x:c>
      <x:c r="D224" s="9" t="str">
        <x:v>Core car rental</x:v>
      </x:c>
      <x:c r="E224" s="9" t="n">
        <x:v>0</x:v>
      </x:c>
      <x:c r="F224" s="9" t="n">
        <x:v>1</x:v>
      </x:c>
      <x:c r="G224" s="9" t="n">
        <x:v>0</x:v>
      </x:c>
      <x:c r="H224" s="9" t="n">
        <x:v>13</x:v>
      </x:c>
      <x:c r="I224" s="9" t="str">
        <x:v>Build</x:v>
      </x:c>
      <x:c r="J224" s="9" t="str">
        <x:v>0.05</x:v>
      </x:c>
      <x:c r="K224" s="9" t="str">
        <x:v>2026-06-14 to 2026-08-20</x:v>
      </x:c>
      <x:c r="L224" s="9" t="str">
        <x:v>OBSERVED</x:v>
      </x:c>
      <x:c r="M224" s="9" t="str">
        <x:v>FIRST-PARTY MEASUREMENT</x:v>
      </x:c>
      <x:c r="N224" s="9" t="str">
        <x:v>SRC-GSC-QUERIES</x:v>
      </x:c>
    </x:row>
    <x:row r="225" ht="48" customHeight="1">
      <x:c r="A225" s="8" t="str">
        <x:v>HQ221</x:v>
      </x:c>
      <x:c r="B225" s="8" t="str">
        <x:v>las dos cosas</x:v>
      </x:c>
      <x:c r="C225" s="8" t="str">
        <x:v>English/Other</x:v>
      </x:c>
      <x:c r="D225" s="8" t="str">
        <x:v>Other</x:v>
      </x:c>
      <x:c r="E225" s="8" t="n">
        <x:v>0</x:v>
      </x:c>
      <x:c r="F225" s="8" t="n">
        <x:v>1</x:v>
      </x:c>
      <x:c r="G225" s="8" t="n">
        <x:v>0</x:v>
      </x:c>
      <x:c r="H225" s="8" t="n">
        <x:v>13</x:v>
      </x:c>
      <x:c r="I225" s="8" t="str">
        <x:v>Build</x:v>
      </x:c>
      <x:c r="J225" s="8" t="str">
        <x:v>0.05</x:v>
      </x:c>
      <x:c r="K225" s="8" t="str">
        <x:v>2026-06-14 to 2026-08-20</x:v>
      </x:c>
      <x:c r="L225" s="8" t="str">
        <x:v>OBSERVED</x:v>
      </x:c>
      <x:c r="M225" s="8" t="str">
        <x:v>FIRST-PARTY MEASUREMENT</x:v>
      </x:c>
      <x:c r="N225" s="8" t="str">
        <x:v>SRC-GSC-QUERIES</x:v>
      </x:c>
    </x:row>
    <x:row r="226" ht="48" customHeight="1">
      <x:c r="A226" s="9" t="str">
        <x:v>HQ222</x:v>
      </x:c>
      <x:c r="B226" s="9" t="str">
        <x:v>car rental naxos airport</x:v>
      </x:c>
      <x:c r="C226" s="9" t="str">
        <x:v>English/Other</x:v>
      </x:c>
      <x:c r="D226" s="9" t="str">
        <x:v>Airport &amp; port pickup</x:v>
      </x:c>
      <x:c r="E226" s="9" t="n">
        <x:v>0</x:v>
      </x:c>
      <x:c r="F226" s="9" t="n">
        <x:v>1</x:v>
      </x:c>
      <x:c r="G226" s="9" t="n">
        <x:v>0</x:v>
      </x:c>
      <x:c r="H226" s="9" t="n">
        <x:v>15</x:v>
      </x:c>
      <x:c r="I226" s="9" t="str">
        <x:v>Build</x:v>
      </x:c>
      <x:c r="J226" s="9" t="str">
        <x:v>0.05</x:v>
      </x:c>
      <x:c r="K226" s="9" t="str">
        <x:v>2026-06-14 to 2026-08-20</x:v>
      </x:c>
      <x:c r="L226" s="9" t="str">
        <x:v>OBSERVED</x:v>
      </x:c>
      <x:c r="M226" s="9" t="str">
        <x:v>FIRST-PARTY MEASUREMENT</x:v>
      </x:c>
      <x:c r="N226" s="9" t="str">
        <x:v>SRC-GSC-QUERIES</x:v>
      </x:c>
    </x:row>
    <x:row r="227" ht="48" customHeight="1">
      <x:c r="A227" s="8" t="str">
        <x:v>HQ223</x:v>
      </x:c>
      <x:c r="B227" s="8" t="str">
        <x:v>cuales tienen mejores reseñas</x:v>
      </x:c>
      <x:c r="C227" s="8" t="str">
        <x:v>English/Other</x:v>
      </x:c>
      <x:c r="D227" s="8" t="str">
        <x:v>Other</x:v>
      </x:c>
      <x:c r="E227" s="8" t="n">
        <x:v>0</x:v>
      </x:c>
      <x:c r="F227" s="8" t="n">
        <x:v>1</x:v>
      </x:c>
      <x:c r="G227" s="8" t="n">
        <x:v>0</x:v>
      </x:c>
      <x:c r="H227" s="8" t="n">
        <x:v>15</x:v>
      </x:c>
      <x:c r="I227" s="8" t="str">
        <x:v>Build</x:v>
      </x:c>
      <x:c r="J227" s="8" t="str">
        <x:v>0.05</x:v>
      </x:c>
      <x:c r="K227" s="8" t="str">
        <x:v>2026-06-14 to 2026-08-20</x:v>
      </x:c>
      <x:c r="L227" s="8" t="str">
        <x:v>OBSERVED</x:v>
      </x:c>
      <x:c r="M227" s="8" t="str">
        <x:v>FIRST-PARTY MEASUREMENT</x:v>
      </x:c>
      <x:c r="N227" s="8" t="str">
        <x:v>SRC-GSC-QUERIES</x:v>
      </x:c>
    </x:row>
    <x:row r="228" ht="48" customHeight="1">
      <x:c r="A228" s="9" t="str">
        <x:v>HQ224</x:v>
      </x:c>
      <x:c r="B228" s="9" t="str">
        <x:v>enjoy naxos car rental</x:v>
      </x:c>
      <x:c r="C228" s="9" t="str">
        <x:v>English/Other</x:v>
      </x:c>
      <x:c r="D228" s="9" t="str">
        <x:v>Core car rental</x:v>
      </x:c>
      <x:c r="E228" s="9" t="n">
        <x:v>0</x:v>
      </x:c>
      <x:c r="F228" s="9" t="n">
        <x:v>1</x:v>
      </x:c>
      <x:c r="G228" s="9" t="n">
        <x:v>0</x:v>
      </x:c>
      <x:c r="H228" s="9" t="n">
        <x:v>19</x:v>
      </x:c>
      <x:c r="I228" s="9" t="str">
        <x:v>Build</x:v>
      </x:c>
      <x:c r="J228" s="9" t="str">
        <x:v>0.05</x:v>
      </x:c>
      <x:c r="K228" s="9" t="str">
        <x:v>2026-06-14 to 2026-08-20</x:v>
      </x:c>
      <x:c r="L228" s="9" t="str">
        <x:v>OBSERVED</x:v>
      </x:c>
      <x:c r="M228" s="9" t="str">
        <x:v>FIRST-PARTY MEASUREMENT</x:v>
      </x:c>
      <x:c r="N228" s="9" t="str">
        <x:v>SRC-GSC-QUERIES</x:v>
      </x:c>
    </x:row>
    <x:row r="229" ht="48" customHeight="1">
      <x:c r="A229" s="8" t="str">
        <x:v>HQ225</x:v>
      </x:c>
      <x:c r="B229" s="8" t="str">
        <x:v>quad huren naxos</x:v>
      </x:c>
      <x:c r="C229" s="8" t="str">
        <x:v>English/Other</x:v>
      </x:c>
      <x:c r="D229" s="8" t="str">
        <x:v>ATV, quad &amp; buggy</x:v>
      </x:c>
      <x:c r="E229" s="8" t="n">
        <x:v>0</x:v>
      </x:c>
      <x:c r="F229" s="8" t="n">
        <x:v>1</x:v>
      </x:c>
      <x:c r="G229" s="8" t="n">
        <x:v>0</x:v>
      </x:c>
      <x:c r="H229" s="8" t="n">
        <x:v>21</x:v>
      </x:c>
      <x:c r="I229" s="8" t="str">
        <x:v>Build</x:v>
      </x:c>
      <x:c r="J229" s="8" t="str">
        <x:v>0.05</x:v>
      </x:c>
      <x:c r="K229" s="8" t="str">
        <x:v>2026-06-14 to 2026-08-20</x:v>
      </x:c>
      <x:c r="L229" s="8" t="str">
        <x:v>OBSERVED</x:v>
      </x:c>
      <x:c r="M229" s="8" t="str">
        <x:v>FIRST-PARTY MEASUREMENT</x:v>
      </x:c>
      <x:c r="N229" s="8" t="str">
        <x:v>SRC-GSC-QUERIES</x:v>
      </x:c>
    </x:row>
    <x:row r="230" ht="48" customHeight="1">
      <x:c r="A230" s="9" t="str">
        <x:v>HQ226</x:v>
      </x:c>
      <x:c r="B230" s="9" t="str">
        <x:v>naxos motorbike rental</x:v>
      </x:c>
      <x:c r="C230" s="9" t="str">
        <x:v>English/Other</x:v>
      </x:c>
      <x:c r="D230" s="9" t="str">
        <x:v>Scooters &amp; motorbikes</x:v>
      </x:c>
      <x:c r="E230" s="9" t="n">
        <x:v>0</x:v>
      </x:c>
      <x:c r="F230" s="9" t="n">
        <x:v>1</x:v>
      </x:c>
      <x:c r="G230" s="9" t="n">
        <x:v>0</x:v>
      </x:c>
      <x:c r="H230" s="9" t="n">
        <x:v>22</x:v>
      </x:c>
      <x:c r="I230" s="9" t="str">
        <x:v>Build</x:v>
      </x:c>
      <x:c r="J230" s="9" t="str">
        <x:v>0.05</x:v>
      </x:c>
      <x:c r="K230" s="9" t="str">
        <x:v>2026-06-14 to 2026-08-20</x:v>
      </x:c>
      <x:c r="L230" s="9" t="str">
        <x:v>OBSERVED</x:v>
      </x:c>
      <x:c r="M230" s="9" t="str">
        <x:v>FIRST-PARTY MEASUREMENT</x:v>
      </x:c>
      <x:c r="N230" s="9" t="str">
        <x:v>SRC-GSC-QUERIES</x:v>
      </x:c>
    </x:row>
    <x:row r="231" ht="48" customHeight="1">
      <x:c r="A231" s="8" t="str">
        <x:v>HQ227</x:v>
      </x:c>
      <x:c r="B231" s="8" t="str">
        <x:v>buggy hire naxos</x:v>
      </x:c>
      <x:c r="C231" s="8" t="str">
        <x:v>English/Other</x:v>
      </x:c>
      <x:c r="D231" s="8" t="str">
        <x:v>ATV, quad &amp; buggy</x:v>
      </x:c>
      <x:c r="E231" s="8" t="n">
        <x:v>0</x:v>
      </x:c>
      <x:c r="F231" s="8" t="n">
        <x:v>1</x:v>
      </x:c>
      <x:c r="G231" s="8" t="n">
        <x:v>0</x:v>
      </x:c>
      <x:c r="H231" s="8" t="n">
        <x:v>23</x:v>
      </x:c>
      <x:c r="I231" s="8" t="str">
        <x:v>Build</x:v>
      </x:c>
      <x:c r="J231" s="8" t="str">
        <x:v>0.05</x:v>
      </x:c>
      <x:c r="K231" s="8" t="str">
        <x:v>2026-06-14 to 2026-08-20</x:v>
      </x:c>
      <x:c r="L231" s="8" t="str">
        <x:v>OBSERVED</x:v>
      </x:c>
      <x:c r="M231" s="8" t="str">
        <x:v>FIRST-PARTY MEASUREMENT</x:v>
      </x:c>
      <x:c r="N231" s="8" t="str">
        <x:v>SRC-GSC-QUERIES</x:v>
      </x:c>
    </x:row>
    <x:row r="232" ht="48" customHeight="1">
      <x:c r="A232" s="9" t="str">
        <x:v>HQ228</x:v>
      </x:c>
      <x:c r="B232" s="9" t="str">
        <x:v>moped rental giardini naxos</x:v>
      </x:c>
      <x:c r="C232" s="9" t="str">
        <x:v>English/Other</x:v>
      </x:c>
      <x:c r="D232" s="9" t="str">
        <x:v>Scooters &amp; motorbikes</x:v>
      </x:c>
      <x:c r="E232" s="9" t="n">
        <x:v>0</x:v>
      </x:c>
      <x:c r="F232" s="9" t="n">
        <x:v>1</x:v>
      </x:c>
      <x:c r="G232" s="9" t="n">
        <x:v>0</x:v>
      </x:c>
      <x:c r="H232" s="9" t="n">
        <x:v>25</x:v>
      </x:c>
      <x:c r="I232" s="9" t="str">
        <x:v>Build</x:v>
      </x:c>
      <x:c r="J232" s="9" t="str">
        <x:v>0.05</x:v>
      </x:c>
      <x:c r="K232" s="9" t="str">
        <x:v>2026-06-14 to 2026-08-20</x:v>
      </x:c>
      <x:c r="L232" s="9" t="str">
        <x:v>OBSERVED</x:v>
      </x:c>
      <x:c r="M232" s="9" t="str">
        <x:v>FIRST-PARTY MEASUREMENT</x:v>
      </x:c>
      <x:c r="N232" s="9" t="str">
        <x:v>SRC-GSC-QUERIES</x:v>
      </x:c>
    </x:row>
    <x:row r="233" ht="48" customHeight="1">
      <x:c r="A233" s="8" t="str">
        <x:v>HQ229</x:v>
      </x:c>
      <x:c r="B233" s="8" t="str">
        <x:v>moto rental naxos</x:v>
      </x:c>
      <x:c r="C233" s="8" t="str">
        <x:v>English/Other</x:v>
      </x:c>
      <x:c r="D233" s="8" t="str">
        <x:v>Naxos guide</x:v>
      </x:c>
      <x:c r="E233" s="8" t="n">
        <x:v>0</x:v>
      </x:c>
      <x:c r="F233" s="8" t="n">
        <x:v>1</x:v>
      </x:c>
      <x:c r="G233" s="8" t="n">
        <x:v>0</x:v>
      </x:c>
      <x:c r="H233" s="8" t="n">
        <x:v>25</x:v>
      </x:c>
      <x:c r="I233" s="8" t="str">
        <x:v>Build</x:v>
      </x:c>
      <x:c r="J233" s="8" t="str">
        <x:v>0.05</x:v>
      </x:c>
      <x:c r="K233" s="8" t="str">
        <x:v>2026-06-14 to 2026-08-20</x:v>
      </x:c>
      <x:c r="L233" s="8" t="str">
        <x:v>OBSERVED</x:v>
      </x:c>
      <x:c r="M233" s="8" t="str">
        <x:v>FIRST-PARTY MEASUREMENT</x:v>
      </x:c>
      <x:c r="N233" s="8" t="str">
        <x:v>SRC-GSC-QUERIES</x:v>
      </x:c>
    </x:row>
    <x:row r="234" ht="48" customHeight="1">
      <x:c r="A234" s="9" t="str">
        <x:v>HQ230</x:v>
      </x:c>
      <x:c r="B234" s="9" t="str">
        <x:v>moped hire naxos</x:v>
      </x:c>
      <x:c r="C234" s="9" t="str">
        <x:v>English/Other</x:v>
      </x:c>
      <x:c r="D234" s="9" t="str">
        <x:v>Scooters &amp; motorbikes</x:v>
      </x:c>
      <x:c r="E234" s="9" t="n">
        <x:v>0</x:v>
      </x:c>
      <x:c r="F234" s="9" t="n">
        <x:v>1</x:v>
      </x:c>
      <x:c r="G234" s="9" t="n">
        <x:v>0</x:v>
      </x:c>
      <x:c r="H234" s="9" t="n">
        <x:v>26</x:v>
      </x:c>
      <x:c r="I234" s="9" t="str">
        <x:v>Build</x:v>
      </x:c>
      <x:c r="J234" s="9" t="str">
        <x:v>0.05</x:v>
      </x:c>
      <x:c r="K234" s="9" t="str">
        <x:v>2026-06-14 to 2026-08-20</x:v>
      </x:c>
      <x:c r="L234" s="9" t="str">
        <x:v>OBSERVED</x:v>
      </x:c>
      <x:c r="M234" s="9" t="str">
        <x:v>FIRST-PARTY MEASUREMENT</x:v>
      </x:c>
      <x:c r="N234" s="9" t="str">
        <x:v>SRC-GSC-QUERIES</x:v>
      </x:c>
    </x:row>
    <x:row r="235" ht="48" customHeight="1">
      <x:c r="A235" s="8" t="str">
        <x:v>HQ231</x:v>
      </x:c>
      <x:c r="B235" s="8" t="str">
        <x:v>roller mieten naxos</x:v>
      </x:c>
      <x:c r="C235" s="8" t="str">
        <x:v>German</x:v>
      </x:c>
      <x:c r="D235" s="8" t="str">
        <x:v>Scooters &amp; motorbikes</x:v>
      </x:c>
      <x:c r="E235" s="8" t="n">
        <x:v>0</x:v>
      </x:c>
      <x:c r="F235" s="8" t="n">
        <x:v>1</x:v>
      </x:c>
      <x:c r="G235" s="8" t="n">
        <x:v>0</x:v>
      </x:c>
      <x:c r="H235" s="8" t="n">
        <x:v>26</x:v>
      </x:c>
      <x:c r="I235" s="8" t="str">
        <x:v>Build</x:v>
      </x:c>
      <x:c r="J235" s="8" t="str">
        <x:v>0.05</x:v>
      </x:c>
      <x:c r="K235" s="8" t="str">
        <x:v>2026-06-14 to 2026-08-20</x:v>
      </x:c>
      <x:c r="L235" s="8" t="str">
        <x:v>OBSERVED</x:v>
      </x:c>
      <x:c r="M235" s="8" t="str">
        <x:v>FIRST-PARTY MEASUREMENT</x:v>
      </x:c>
      <x:c r="N235" s="8" t="str">
        <x:v>SRC-GSC-QUERIES</x:v>
      </x:c>
    </x:row>
    <x:row r="236" ht="48" customHeight="1">
      <x:c r="A236" s="9" t="str">
        <x:v>HQ232</x:v>
      </x:c>
      <x:c r="B236" s="9" t="str">
        <x:v>motopower naxos</x:v>
      </x:c>
      <x:c r="C236" s="9" t="str">
        <x:v>English/Other</x:v>
      </x:c>
      <x:c r="D236" s="9" t="str">
        <x:v>Naxos guide</x:v>
      </x:c>
      <x:c r="E236" s="9" t="n">
        <x:v>0</x:v>
      </x:c>
      <x:c r="F236" s="9" t="n">
        <x:v>1</x:v>
      </x:c>
      <x:c r="G236" s="9" t="n">
        <x:v>0</x:v>
      </x:c>
      <x:c r="H236" s="9" t="n">
        <x:v>28</x:v>
      </x:c>
      <x:c r="I236" s="9" t="str">
        <x:v>Build</x:v>
      </x:c>
      <x:c r="J236" s="9" t="str">
        <x:v>0.05</x:v>
      </x:c>
      <x:c r="K236" s="9" t="str">
        <x:v>2026-06-14 to 2026-08-20</x:v>
      </x:c>
      <x:c r="L236" s="9" t="str">
        <x:v>OBSERVED</x:v>
      </x:c>
      <x:c r="M236" s="9" t="str">
        <x:v>FIRST-PARTY MEASUREMENT</x:v>
      </x:c>
      <x:c r="N236" s="9" t="str">
        <x:v>SRC-GSC-QUERIES</x:v>
      </x:c>
    </x:row>
    <x:row r="237" ht="48" customHeight="1">
      <x:c r="A237" s="8" t="str">
        <x:v>HQ233</x:v>
      </x:c>
      <x:c r="B237" s="8" t="str">
        <x:v>quickrides-rentals.com</x:v>
      </x:c>
      <x:c r="C237" s="8" t="str">
        <x:v>English/Other</x:v>
      </x:c>
      <x:c r="D237" s="8" t="str">
        <x:v>Other</x:v>
      </x:c>
      <x:c r="E237" s="8" t="n">
        <x:v>0</x:v>
      </x:c>
      <x:c r="F237" s="8" t="n">
        <x:v>1</x:v>
      </x:c>
      <x:c r="G237" s="8" t="n">
        <x:v>0</x:v>
      </x:c>
      <x:c r="H237" s="8" t="n">
        <x:v>29</x:v>
      </x:c>
      <x:c r="I237" s="8" t="str">
        <x:v>Build</x:v>
      </x:c>
      <x:c r="J237" s="8" t="str">
        <x:v>0.05</x:v>
      </x:c>
      <x:c r="K237" s="8" t="str">
        <x:v>2026-06-14 to 2026-08-20</x:v>
      </x:c>
      <x:c r="L237" s="8" t="str">
        <x:v>OBSERVED</x:v>
      </x:c>
      <x:c r="M237" s="8" t="str">
        <x:v>FIRST-PARTY MEASUREMENT</x:v>
      </x:c>
      <x:c r="N237" s="8" t="str">
        <x:v>SRC-GSC-QUERIES</x:v>
      </x:c>
    </x:row>
    <x:row r="238" ht="48" customHeight="1">
      <x:c r="A238" s="9" t="str">
        <x:v>HQ234</x:v>
      </x:c>
      <x:c r="B238" s="9" t="str">
        <x:v>motorbike rental naxos</x:v>
      </x:c>
      <x:c r="C238" s="9" t="str">
        <x:v>English/Other</x:v>
      </x:c>
      <x:c r="D238" s="9" t="str">
        <x:v>Scooters &amp; motorbikes</x:v>
      </x:c>
      <x:c r="E238" s="9" t="n">
        <x:v>0</x:v>
      </x:c>
      <x:c r="F238" s="9" t="n">
        <x:v>1</x:v>
      </x:c>
      <x:c r="G238" s="9" t="n">
        <x:v>0</x:v>
      </x:c>
      <x:c r="H238" s="9" t="n">
        <x:v>30</x:v>
      </x:c>
      <x:c r="I238" s="9" t="str">
        <x:v>Build</x:v>
      </x:c>
      <x:c r="J238" s="9" t="str">
        <x:v>0.05</x:v>
      </x:c>
      <x:c r="K238" s="9" t="str">
        <x:v>2026-06-14 to 2026-08-20</x:v>
      </x:c>
      <x:c r="L238" s="9" t="str">
        <x:v>OBSERVED</x:v>
      </x:c>
      <x:c r="M238" s="9" t="str">
        <x:v>FIRST-PARTY MEASUREMENT</x:v>
      </x:c>
      <x:c r="N238" s="9" t="str">
        <x:v>SRC-GSC-QUERIES</x:v>
      </x:c>
    </x:row>
    <x:row r="239" ht="48" customHeight="1">
      <x:c r="A239" s="8" t="str">
        <x:v>HQ235</x:v>
      </x:c>
      <x:c r="B239" s="8" t="str">
        <x:v>quad hire naxos</x:v>
      </x:c>
      <x:c r="C239" s="8" t="str">
        <x:v>English/Other</x:v>
      </x:c>
      <x:c r="D239" s="8" t="str">
        <x:v>ATV, quad &amp; buggy</x:v>
      </x:c>
      <x:c r="E239" s="8" t="n">
        <x:v>0</x:v>
      </x:c>
      <x:c r="F239" s="8" t="n">
        <x:v>1</x:v>
      </x:c>
      <x:c r="G239" s="8" t="n">
        <x:v>0</x:v>
      </x:c>
      <x:c r="H239" s="8" t="n">
        <x:v>30</x:v>
      </x:c>
      <x:c r="I239" s="8" t="str">
        <x:v>Build</x:v>
      </x:c>
      <x:c r="J239" s="8" t="str">
        <x:v>0.05</x:v>
      </x:c>
      <x:c r="K239" s="8" t="str">
        <x:v>2026-06-14 to 2026-08-20</x:v>
      </x:c>
      <x:c r="L239" s="8" t="str">
        <x:v>OBSERVED</x:v>
      </x:c>
      <x:c r="M239" s="8" t="str">
        <x:v>FIRST-PARTY MEASUREMENT</x:v>
      </x:c>
      <x:c r="N239" s="8" t="str">
        <x:v>SRC-GSC-QUERIES</x:v>
      </x:c>
    </x:row>
    <x:row r="240" ht="48" customHeight="1">
      <x:c r="A240" s="9" t="str">
        <x:v>HQ236</x:v>
      </x:c>
      <x:c r="B240" s="9" t="str">
        <x:v>rental scooter naxos</x:v>
      </x:c>
      <x:c r="C240" s="9" t="str">
        <x:v>English/Other</x:v>
      </x:c>
      <x:c r="D240" s="9" t="str">
        <x:v>Scooters &amp; motorbikes</x:v>
      </x:c>
      <x:c r="E240" s="9" t="n">
        <x:v>0</x:v>
      </x:c>
      <x:c r="F240" s="9" t="n">
        <x:v>1</x:v>
      </x:c>
      <x:c r="G240" s="9" t="n">
        <x:v>0</x:v>
      </x:c>
      <x:c r="H240" s="9" t="n">
        <x:v>31</x:v>
      </x:c>
      <x:c r="I240" s="9" t="str">
        <x:v>Build</x:v>
      </x:c>
      <x:c r="J240" s="9" t="str">
        <x:v>0.05</x:v>
      </x:c>
      <x:c r="K240" s="9" t="str">
        <x:v>2026-06-14 to 2026-08-20</x:v>
      </x:c>
      <x:c r="L240" s="9" t="str">
        <x:v>OBSERVED</x:v>
      </x:c>
      <x:c r="M240" s="9" t="str">
        <x:v>FIRST-PARTY MEASUREMENT</x:v>
      </x:c>
      <x:c r="N240" s="9" t="str">
        <x:v>SRC-GSC-QUERIES</x:v>
      </x:c>
    </x:row>
    <x:row r="241" ht="48" customHeight="1">
      <x:c r="A241" s="8" t="str">
        <x:v>HQ237</x:v>
      </x:c>
      <x:c r="B241" s="8" t="str">
        <x:v>quad bike hire naxos</x:v>
      </x:c>
      <x:c r="C241" s="8" t="str">
        <x:v>English/Other</x:v>
      </x:c>
      <x:c r="D241" s="8" t="str">
        <x:v>ATV, quad &amp; buggy</x:v>
      </x:c>
      <x:c r="E241" s="8" t="n">
        <x:v>0</x:v>
      </x:c>
      <x:c r="F241" s="8" t="n">
        <x:v>1</x:v>
      </x:c>
      <x:c r="G241" s="8" t="n">
        <x:v>0</x:v>
      </x:c>
      <x:c r="H241" s="8" t="n">
        <x:v>32</x:v>
      </x:c>
      <x:c r="I241" s="8" t="str">
        <x:v>Build</x:v>
      </x:c>
      <x:c r="J241" s="8" t="str">
        <x:v>0.05</x:v>
      </x:c>
      <x:c r="K241" s="8" t="str">
        <x:v>2026-06-14 to 2026-08-20</x:v>
      </x:c>
      <x:c r="L241" s="8" t="str">
        <x:v>OBSERVED</x:v>
      </x:c>
      <x:c r="M241" s="8" t="str">
        <x:v>FIRST-PARTY MEASUREMENT</x:v>
      </x:c>
      <x:c r="N241" s="8" t="str">
        <x:v>SRC-GSC-QUERIES</x:v>
      </x:c>
    </x:row>
    <x:row r="242" ht="48" customHeight="1">
      <x:c r="A242" s="9" t="str">
        <x:v>HQ238</x:v>
      </x:c>
      <x:c r="B242" s="9" t="str">
        <x:v>atv rental naxos</x:v>
      </x:c>
      <x:c r="C242" s="9" t="str">
        <x:v>English/Other</x:v>
      </x:c>
      <x:c r="D242" s="9" t="str">
        <x:v>ATV, quad &amp; buggy</x:v>
      </x:c>
      <x:c r="E242" s="9" t="n">
        <x:v>0</x:v>
      </x:c>
      <x:c r="F242" s="9" t="n">
        <x:v>1</x:v>
      </x:c>
      <x:c r="G242" s="9" t="n">
        <x:v>0</x:v>
      </x:c>
      <x:c r="H242" s="9" t="n">
        <x:v>34</x:v>
      </x:c>
      <x:c r="I242" s="9" t="str">
        <x:v>Build</x:v>
      </x:c>
      <x:c r="J242" s="9" t="str">
        <x:v>0.05</x:v>
      </x:c>
      <x:c r="K242" s="9" t="str">
        <x:v>2026-06-14 to 2026-08-20</x:v>
      </x:c>
      <x:c r="L242" s="9" t="str">
        <x:v>OBSERVED</x:v>
      </x:c>
      <x:c r="M242" s="9" t="str">
        <x:v>FIRST-PARTY MEASUREMENT</x:v>
      </x:c>
      <x:c r="N242" s="9" t="str">
        <x:v>SRC-GSC-QUERIES</x:v>
      </x:c>
    </x:row>
    <x:row r="243" ht="48" customHeight="1">
      <x:c r="A243" s="8" t="str">
        <x:v>HQ239</x:v>
      </x:c>
      <x:c r="B243" s="8" t="str">
        <x:v>ενοικιαση σκουτερ ναξοσ</x:v>
      </x:c>
      <x:c r="C243" s="8" t="str">
        <x:v>Greek</x:v>
      </x:c>
      <x:c r="D243" s="8" t="str">
        <x:v>Core car rental</x:v>
      </x:c>
      <x:c r="E243" s="8" t="n">
        <x:v>0</x:v>
      </x:c>
      <x:c r="F243" s="8" t="n">
        <x:v>1</x:v>
      </x:c>
      <x:c r="G243" s="8" t="n">
        <x:v>0</x:v>
      </x:c>
      <x:c r="H243" s="8" t="n">
        <x:v>34</x:v>
      </x:c>
      <x:c r="I243" s="8" t="str">
        <x:v>Build</x:v>
      </x:c>
      <x:c r="J243" s="8" t="str">
        <x:v>0.05</x:v>
      </x:c>
      <x:c r="K243" s="8" t="str">
        <x:v>2026-06-14 to 2026-08-20</x:v>
      </x:c>
      <x:c r="L243" s="8" t="str">
        <x:v>OBSERVED</x:v>
      </x:c>
      <x:c r="M243" s="8" t="str">
        <x:v>FIRST-PARTY MEASUREMENT</x:v>
      </x:c>
      <x:c r="N243" s="8" t="str">
        <x:v>SRC-GSC-QUERIES</x:v>
      </x:c>
    </x:row>
    <x:row r="244" ht="48" customHeight="1">
      <x:c r="A244" s="9" t="str">
        <x:v>HQ240</x:v>
      </x:c>
      <x:c r="B244" s="9" t="str">
        <x:v>atvs naxos</x:v>
      </x:c>
      <x:c r="C244" s="9" t="str">
        <x:v>English/Other</x:v>
      </x:c>
      <x:c r="D244" s="9" t="str">
        <x:v>ATV, quad &amp; buggy</x:v>
      </x:c>
      <x:c r="E244" s="9" t="n">
        <x:v>0</x:v>
      </x:c>
      <x:c r="F244" s="9" t="n">
        <x:v>1</x:v>
      </x:c>
      <x:c r="G244" s="9" t="n">
        <x:v>0</x:v>
      </x:c>
      <x:c r="H244" s="9" t="n">
        <x:v>35</x:v>
      </x:c>
      <x:c r="I244" s="9" t="str">
        <x:v>Build</x:v>
      </x:c>
      <x:c r="J244" s="9" t="str">
        <x:v>0.05</x:v>
      </x:c>
      <x:c r="K244" s="9" t="str">
        <x:v>2026-06-14 to 2026-08-20</x:v>
      </x:c>
      <x:c r="L244" s="9" t="str">
        <x:v>OBSERVED</x:v>
      </x:c>
      <x:c r="M244" s="9" t="str">
        <x:v>FIRST-PARTY MEASUREMENT</x:v>
      </x:c>
      <x:c r="N244" s="9" t="str">
        <x:v>SRC-GSC-QUERIES</x:v>
      </x:c>
    </x:row>
    <x:row r="245" ht="48" customHeight="1">
      <x:c r="A245" s="8" t="str">
        <x:v>HQ241</x:v>
      </x:c>
      <x:c r="B245" s="8" t="str">
        <x:v>rent a quad naxos</x:v>
      </x:c>
      <x:c r="C245" s="8" t="str">
        <x:v>English/Other</x:v>
      </x:c>
      <x:c r="D245" s="8" t="str">
        <x:v>ATV, quad &amp; buggy</x:v>
      </x:c>
      <x:c r="E245" s="8" t="n">
        <x:v>0</x:v>
      </x:c>
      <x:c r="F245" s="8" t="n">
        <x:v>1</x:v>
      </x:c>
      <x:c r="G245" s="8" t="n">
        <x:v>0</x:v>
      </x:c>
      <x:c r="H245" s="8" t="n">
        <x:v>35</x:v>
      </x:c>
      <x:c r="I245" s="8" t="str">
        <x:v>Build</x:v>
      </x:c>
      <x:c r="J245" s="8" t="str">
        <x:v>0.05</x:v>
      </x:c>
      <x:c r="K245" s="8" t="str">
        <x:v>2026-06-14 to 2026-08-20</x:v>
      </x:c>
      <x:c r="L245" s="8" t="str">
        <x:v>OBSERVED</x:v>
      </x:c>
      <x:c r="M245" s="8" t="str">
        <x:v>FIRST-PARTY MEASUREMENT</x:v>
      </x:c>
      <x:c r="N245" s="8" t="str">
        <x:v>SRC-GSC-QUERIES</x:v>
      </x:c>
    </x:row>
    <x:row r="246" ht="48" customHeight="1">
      <x:c r="A246" s="9" t="str">
        <x:v>HQ242</x:v>
      </x:c>
      <x:c r="B246" s="9" t="str">
        <x:v>south ferry terminal inurl:article</x:v>
      </x:c>
      <x:c r="C246" s="9" t="str">
        <x:v>English/Other</x:v>
      </x:c>
      <x:c r="D246" s="9" t="str">
        <x:v>Other</x:v>
      </x:c>
      <x:c r="E246" s="9" t="n">
        <x:v>0</x:v>
      </x:c>
      <x:c r="F246" s="9" t="n">
        <x:v>1</x:v>
      </x:c>
      <x:c r="G246" s="9" t="n">
        <x:v>0</x:v>
      </x:c>
      <x:c r="H246" s="9" t="n">
        <x:v>39</x:v>
      </x:c>
      <x:c r="I246" s="9" t="str">
        <x:v>Build</x:v>
      </x:c>
      <x:c r="J246" s="9" t="str">
        <x:v>0.05</x:v>
      </x:c>
      <x:c r="K246" s="9" t="str">
        <x:v>2026-06-14 to 2026-08-20</x:v>
      </x:c>
      <x:c r="L246" s="9" t="str">
        <x:v>OBSERVED</x:v>
      </x:c>
      <x:c r="M246" s="9" t="str">
        <x:v>FIRST-PARTY MEASUREMENT</x:v>
      </x:c>
      <x:c r="N246" s="9" t="str">
        <x:v>SRC-GSC-QUERIES</x:v>
      </x:c>
    </x:row>
    <x:row r="247" ht="48" customHeight="1">
      <x:c r="A247" s="8" t="str">
        <x:v>HQ243</x:v>
      </x:c>
      <x:c r="B247" s="8" t="str">
        <x:v>ενοικιαση αυτοκινητου ναξο</x:v>
      </x:c>
      <x:c r="C247" s="8" t="str">
        <x:v>Greek</x:v>
      </x:c>
      <x:c r="D247" s="8" t="str">
        <x:v>Core car rental</x:v>
      </x:c>
      <x:c r="E247" s="8" t="n">
        <x:v>0</x:v>
      </x:c>
      <x:c r="F247" s="8" t="n">
        <x:v>1</x:v>
      </x:c>
      <x:c r="G247" s="8" t="n">
        <x:v>0</x:v>
      </x:c>
      <x:c r="H247" s="8" t="n">
        <x:v>39</x:v>
      </x:c>
      <x:c r="I247" s="8" t="str">
        <x:v>Build</x:v>
      </x:c>
      <x:c r="J247" s="8" t="str">
        <x:v>0.05</x:v>
      </x:c>
      <x:c r="K247" s="8" t="str">
        <x:v>2026-06-14 to 2026-08-20</x:v>
      </x:c>
      <x:c r="L247" s="8" t="str">
        <x:v>OBSERVED</x:v>
      </x:c>
      <x:c r="M247" s="8" t="str">
        <x:v>FIRST-PARTY MEASUREMENT</x:v>
      </x:c>
      <x:c r="N247" s="8" t="str">
        <x:v>SRC-GSC-QUERIES</x:v>
      </x:c>
    </x:row>
    <x:row r="248" ht="48" customHeight="1">
      <x:c r="A248" s="9" t="str">
        <x:v>HQ244</x:v>
      </x:c>
      <x:c r="B248" s="9" t="str">
        <x:v>do i need an idp in greece</x:v>
      </x:c>
      <x:c r="C248" s="9" t="str">
        <x:v>English/Other</x:v>
      </x:c>
      <x:c r="D248" s="9" t="str">
        <x:v>Driving licence &amp; rules</x:v>
      </x:c>
      <x:c r="E248" s="9" t="n">
        <x:v>0</x:v>
      </x:c>
      <x:c r="F248" s="9" t="n">
        <x:v>1</x:v>
      </x:c>
      <x:c r="G248" s="9" t="n">
        <x:v>0</x:v>
      </x:c>
      <x:c r="H248" s="9" t="n">
        <x:v>40</x:v>
      </x:c>
      <x:c r="I248" s="9" t="str">
        <x:v>Build</x:v>
      </x:c>
      <x:c r="J248" s="9" t="str">
        <x:v>0.05</x:v>
      </x:c>
      <x:c r="K248" s="9" t="str">
        <x:v>2026-06-14 to 2026-08-20</x:v>
      </x:c>
      <x:c r="L248" s="9" t="str">
        <x:v>OBSERVED</x:v>
      </x:c>
      <x:c r="M248" s="9" t="str">
        <x:v>FIRST-PARTY MEASUREMENT</x:v>
      </x:c>
      <x:c r="N248" s="9" t="str">
        <x:v>SRC-GSC-QUERIES</x:v>
      </x:c>
    </x:row>
    <x:row r="249" ht="48" customHeight="1">
      <x:c r="A249" s="8" t="str">
        <x:v>HQ245</x:v>
      </x:c>
      <x:c r="B249" s="8" t="str">
        <x:v>atv hire naxos</x:v>
      </x:c>
      <x:c r="C249" s="8" t="str">
        <x:v>English/Other</x:v>
      </x:c>
      <x:c r="D249" s="8" t="str">
        <x:v>ATV, quad &amp; buggy</x:v>
      </x:c>
      <x:c r="E249" s="8" t="n">
        <x:v>0</x:v>
      </x:c>
      <x:c r="F249" s="8" t="n">
        <x:v>1</x:v>
      </x:c>
      <x:c r="G249" s="8" t="n">
        <x:v>0</x:v>
      </x:c>
      <x:c r="H249" s="8" t="n">
        <x:v>42</x:v>
      </x:c>
      <x:c r="I249" s="8" t="str">
        <x:v>Build</x:v>
      </x:c>
      <x:c r="J249" s="8" t="str">
        <x:v>0.05</x:v>
      </x:c>
      <x:c r="K249" s="8" t="str">
        <x:v>2026-06-14 to 2026-08-20</x:v>
      </x:c>
      <x:c r="L249" s="8" t="str">
        <x:v>OBSERVED</x:v>
      </x:c>
      <x:c r="M249" s="8" t="str">
        <x:v>FIRST-PARTY MEASUREMENT</x:v>
      </x:c>
      <x:c r="N249" s="8" t="str">
        <x:v>SRC-GSC-QUERIES</x:v>
      </x:c>
    </x:row>
    <x:row r="250" ht="48" customHeight="1">
      <x:c r="A250" s="9" t="str">
        <x:v>HQ246</x:v>
      </x:c>
      <x:c r="B250" s="9" t="str">
        <x:v>idp greece</x:v>
      </x:c>
      <x:c r="C250" s="9" t="str">
        <x:v>English/Other</x:v>
      </x:c>
      <x:c r="D250" s="9" t="str">
        <x:v>Driving licence &amp; rules</x:v>
      </x:c>
      <x:c r="E250" s="9" t="n">
        <x:v>0</x:v>
      </x:c>
      <x:c r="F250" s="9" t="n">
        <x:v>1</x:v>
      </x:c>
      <x:c r="G250" s="9" t="n">
        <x:v>0</x:v>
      </x:c>
      <x:c r="H250" s="9" t="n">
        <x:v>42</x:v>
      </x:c>
      <x:c r="I250" s="9" t="str">
        <x:v>Build</x:v>
      </x:c>
      <x:c r="J250" s="9" t="str">
        <x:v>0.05</x:v>
      </x:c>
      <x:c r="K250" s="9" t="str">
        <x:v>2026-06-14 to 2026-08-20</x:v>
      </x:c>
      <x:c r="L250" s="9" t="str">
        <x:v>OBSERVED</x:v>
      </x:c>
      <x:c r="M250" s="9" t="str">
        <x:v>FIRST-PARTY MEASUREMENT</x:v>
      </x:c>
      <x:c r="N250" s="9" t="str">
        <x:v>SRC-GSC-QUERIES</x:v>
      </x:c>
    </x:row>
    <x:row r="251" ht="48" customHeight="1">
      <x:c r="A251" s="8" t="str">
        <x:v>HQ247</x:v>
      </x:c>
      <x:c r="B251" s="8" t="str">
        <x:v>rent atv naxos</x:v>
      </x:c>
      <x:c r="C251" s="8" t="str">
        <x:v>English/Other</x:v>
      </x:c>
      <x:c r="D251" s="8" t="str">
        <x:v>ATV, quad &amp; buggy</x:v>
      </x:c>
      <x:c r="E251" s="8" t="n">
        <x:v>0</x:v>
      </x:c>
      <x:c r="F251" s="8" t="n">
        <x:v>1</x:v>
      </x:c>
      <x:c r="G251" s="8" t="n">
        <x:v>0</x:v>
      </x:c>
      <x:c r="H251" s="8" t="n">
        <x:v>42</x:v>
      </x:c>
      <x:c r="I251" s="8" t="str">
        <x:v>Build</x:v>
      </x:c>
      <x:c r="J251" s="8" t="str">
        <x:v>0.05</x:v>
      </x:c>
      <x:c r="K251" s="8" t="str">
        <x:v>2026-06-14 to 2026-08-20</x:v>
      </x:c>
      <x:c r="L251" s="8" t="str">
        <x:v>OBSERVED</x:v>
      </x:c>
      <x:c r="M251" s="8" t="str">
        <x:v>FIRST-PARTY MEASUREMENT</x:v>
      </x:c>
      <x:c r="N251" s="8" t="str">
        <x:v>SRC-GSC-QUERIES</x:v>
      </x:c>
    </x:row>
    <x:row r="252" ht="48" customHeight="1">
      <x:c r="A252" s="9" t="str">
        <x:v>HQ248</x:v>
      </x:c>
      <x:c r="B252" s="9" t="str">
        <x:v>drivetime naxos</x:v>
      </x:c>
      <x:c r="C252" s="9" t="str">
        <x:v>English/Other</x:v>
      </x:c>
      <x:c r="D252" s="9" t="str">
        <x:v>Naxos guide</x:v>
      </x:c>
      <x:c r="E252" s="9" t="n">
        <x:v>0</x:v>
      </x:c>
      <x:c r="F252" s="9" t="n">
        <x:v>1</x:v>
      </x:c>
      <x:c r="G252" s="9" t="n">
        <x:v>0</x:v>
      </x:c>
      <x:c r="H252" s="9" t="n">
        <x:v>43</x:v>
      </x:c>
      <x:c r="I252" s="9" t="str">
        <x:v>Build</x:v>
      </x:c>
      <x:c r="J252" s="9" t="str">
        <x:v>0.05</x:v>
      </x:c>
      <x:c r="K252" s="9" t="str">
        <x:v>2026-06-14 to 2026-08-20</x:v>
      </x:c>
      <x:c r="L252" s="9" t="str">
        <x:v>OBSERVED</x:v>
      </x:c>
      <x:c r="M252" s="9" t="str">
        <x:v>FIRST-PARTY MEASUREMENT</x:v>
      </x:c>
      <x:c r="N252" s="9" t="str">
        <x:v>SRC-GSC-QUERIES</x:v>
      </x:c>
    </x:row>
    <x:row r="253" ht="48" customHeight="1">
      <x:c r="A253" s="8" t="str">
        <x:v>HQ249</x:v>
      </x:c>
      <x:c r="B253" s="8" t="str">
        <x:v>promponas rent a car naxos</x:v>
      </x:c>
      <x:c r="C253" s="8" t="str">
        <x:v>English/Other</x:v>
      </x:c>
      <x:c r="D253" s="8" t="str">
        <x:v>Core car rental</x:v>
      </x:c>
      <x:c r="E253" s="8" t="n">
        <x:v>0</x:v>
      </x:c>
      <x:c r="F253" s="8" t="n">
        <x:v>1</x:v>
      </x:c>
      <x:c r="G253" s="8" t="n">
        <x:v>0</x:v>
      </x:c>
      <x:c r="H253" s="8" t="n">
        <x:v>45</x:v>
      </x:c>
      <x:c r="I253" s="8" t="str">
        <x:v>Build</x:v>
      </x:c>
      <x:c r="J253" s="8" t="str">
        <x:v>0.05</x:v>
      </x:c>
      <x:c r="K253" s="8" t="str">
        <x:v>2026-06-14 to 2026-08-20</x:v>
      </x:c>
      <x:c r="L253" s="8" t="str">
        <x:v>OBSERVED</x:v>
      </x:c>
      <x:c r="M253" s="8" t="str">
        <x:v>FIRST-PARTY MEASUREMENT</x:v>
      </x:c>
      <x:c r="N253" s="8" t="str">
        <x:v>SRC-GSC-QUERIES</x:v>
      </x:c>
    </x:row>
    <x:row r="254" ht="48" customHeight="1">
      <x:c r="A254" s="9" t="str">
        <x:v>HQ250</x:v>
      </x:c>
      <x:c r="B254" s="9" t="str">
        <x:v>naxos atv rentals</x:v>
      </x:c>
      <x:c r="C254" s="9" t="str">
        <x:v>English/Other</x:v>
      </x:c>
      <x:c r="D254" s="9" t="str">
        <x:v>ATV, quad &amp; buggy</x:v>
      </x:c>
      <x:c r="E254" s="9" t="n">
        <x:v>0</x:v>
      </x:c>
      <x:c r="F254" s="9" t="n">
        <x:v>1</x:v>
      </x:c>
      <x:c r="G254" s="9" t="n">
        <x:v>0</x:v>
      </x:c>
      <x:c r="H254" s="9" t="n">
        <x:v>47</x:v>
      </x:c>
      <x:c r="I254" s="9" t="str">
        <x:v>Build</x:v>
      </x:c>
      <x:c r="J254" s="9" t="str">
        <x:v>0.05</x:v>
      </x:c>
      <x:c r="K254" s="9" t="str">
        <x:v>2026-06-14 to 2026-08-20</x:v>
      </x:c>
      <x:c r="L254" s="9" t="str">
        <x:v>OBSERVED</x:v>
      </x:c>
      <x:c r="M254" s="9" t="str">
        <x:v>FIRST-PARTY MEASUREMENT</x:v>
      </x:c>
      <x:c r="N254" s="9" t="str">
        <x:v>SRC-GSC-QUERIES</x:v>
      </x:c>
    </x:row>
    <x:row r="255" ht="48" customHeight="1">
      <x:c r="A255" s="8" t="str">
        <x:v>HQ251</x:v>
      </x:c>
      <x:c r="B255" s="8" t="str">
        <x:v>international drivers license greece</x:v>
      </x:c>
      <x:c r="C255" s="8" t="str">
        <x:v>English/Other</x:v>
      </x:c>
      <x:c r="D255" s="8" t="str">
        <x:v>Driving licence &amp; rules</x:v>
      </x:c>
      <x:c r="E255" s="8" t="n">
        <x:v>0</x:v>
      </x:c>
      <x:c r="F255" s="8" t="n">
        <x:v>1</x:v>
      </x:c>
      <x:c r="G255" s="8" t="n">
        <x:v>0</x:v>
      </x:c>
      <x:c r="H255" s="8" t="n">
        <x:v>48</x:v>
      </x:c>
      <x:c r="I255" s="8" t="str">
        <x:v>Build</x:v>
      </x:c>
      <x:c r="J255" s="8" t="str">
        <x:v>0.05</x:v>
      </x:c>
      <x:c r="K255" s="8" t="str">
        <x:v>2026-06-14 to 2026-08-20</x:v>
      </x:c>
      <x:c r="L255" s="8" t="str">
        <x:v>OBSERVED</x:v>
      </x:c>
      <x:c r="M255" s="8" t="str">
        <x:v>FIRST-PARTY MEASUREMENT</x:v>
      </x:c>
      <x:c r="N255" s="8" t="str">
        <x:v>SRC-GSC-QUERIES</x:v>
      </x:c>
    </x:row>
    <x:row r="256" ht="48" customHeight="1">
      <x:c r="A256" s="9" t="str">
        <x:v>HQ252</x:v>
      </x:c>
      <x:c r="B256" s="9" t="str">
        <x:v>naxos top drive</x:v>
      </x:c>
      <x:c r="C256" s="9" t="str">
        <x:v>English/Other</x:v>
      </x:c>
      <x:c r="D256" s="9" t="str">
        <x:v>Naxos guide</x:v>
      </x:c>
      <x:c r="E256" s="9" t="n">
        <x:v>0</x:v>
      </x:c>
      <x:c r="F256" s="9" t="n">
        <x:v>1</x:v>
      </x:c>
      <x:c r="G256" s="9" t="n">
        <x:v>0</x:v>
      </x:c>
      <x:c r="H256" s="9" t="n">
        <x:v>51</x:v>
      </x:c>
      <x:c r="I256" s="9" t="str">
        <x:v>Build</x:v>
      </x:c>
      <x:c r="J256" s="9" t="str">
        <x:v>0.05</x:v>
      </x:c>
      <x:c r="K256" s="9" t="str">
        <x:v>2026-06-14 to 2026-08-20</x:v>
      </x:c>
      <x:c r="L256" s="9" t="str">
        <x:v>OBSERVED</x:v>
      </x:c>
      <x:c r="M256" s="9" t="str">
        <x:v>FIRST-PARTY MEASUREMENT</x:v>
      </x:c>
      <x:c r="N256" s="9" t="str">
        <x:v>SRC-GSC-QUERIES</x:v>
      </x:c>
    </x:row>
    <x:row r="257" ht="48" customHeight="1">
      <x:c r="A257" s="8" t="str">
        <x:v>HQ253</x:v>
      </x:c>
      <x:c r="B257" s="8" t="str">
        <x:v>do you need an idp to drive in greece</x:v>
      </x:c>
      <x:c r="C257" s="8" t="str">
        <x:v>English/Other</x:v>
      </x:c>
      <x:c r="D257" s="8" t="str">
        <x:v>Driving licence &amp; rules</x:v>
      </x:c>
      <x:c r="E257" s="8" t="n">
        <x:v>0</x:v>
      </x:c>
      <x:c r="F257" s="8" t="n">
        <x:v>1</x:v>
      </x:c>
      <x:c r="G257" s="8" t="n">
        <x:v>0</x:v>
      </x:c>
      <x:c r="H257" s="8" t="n">
        <x:v>52</x:v>
      </x:c>
      <x:c r="I257" s="8" t="str">
        <x:v>Build</x:v>
      </x:c>
      <x:c r="J257" s="8" t="str">
        <x:v>0.05</x:v>
      </x:c>
      <x:c r="K257" s="8" t="str">
        <x:v>2026-06-14 to 2026-08-20</x:v>
      </x:c>
      <x:c r="L257" s="8" t="str">
        <x:v>OBSERVED</x:v>
      </x:c>
      <x:c r="M257" s="8" t="str">
        <x:v>FIRST-PARTY MEASUREMENT</x:v>
      </x:c>
      <x:c r="N257" s="8" t="str">
        <x:v>SRC-GSC-QUERIES</x:v>
      </x:c>
    </x:row>
    <x:row r="258" ht="48" customHeight="1">
      <x:c r="A258" s="9" t="str">
        <x:v>HQ254</x:v>
      </x:c>
      <x:c r="B258" s="9" t="str">
        <x:v>international drivers permit greece</x:v>
      </x:c>
      <x:c r="C258" s="9" t="str">
        <x:v>English/Other</x:v>
      </x:c>
      <x:c r="D258" s="9" t="str">
        <x:v>Other</x:v>
      </x:c>
      <x:c r="E258" s="9" t="n">
        <x:v>0</x:v>
      </x:c>
      <x:c r="F258" s="9" t="n">
        <x:v>1</x:v>
      </x:c>
      <x:c r="G258" s="9" t="n">
        <x:v>0</x:v>
      </x:c>
      <x:c r="H258" s="9" t="n">
        <x:v>58</x:v>
      </x:c>
      <x:c r="I258" s="9" t="str">
        <x:v>Build</x:v>
      </x:c>
      <x:c r="J258" s="9" t="str">
        <x:v>0.05</x:v>
      </x:c>
      <x:c r="K258" s="9" t="str">
        <x:v>2026-06-14 to 2026-08-20</x:v>
      </x:c>
      <x:c r="L258" s="9" t="str">
        <x:v>OBSERVED</x:v>
      </x:c>
      <x:c r="M258" s="9" t="str">
        <x:v>FIRST-PARTY MEASUREMENT</x:v>
      </x:c>
      <x:c r="N258" s="9" t="str">
        <x:v>SRC-GSC-QUERIES</x:v>
      </x:c>
    </x:row>
    <x:row r="259" ht="48" customHeight="1">
      <x:c r="A259" s="8" t="str">
        <x:v>HQ255</x:v>
      </x:c>
      <x:c r="B259" s="8" t="str">
        <x:v>international driving permit for greece</x:v>
      </x:c>
      <x:c r="C259" s="8" t="str">
        <x:v>English/Other</x:v>
      </x:c>
      <x:c r="D259" s="8" t="str">
        <x:v>Driving licence &amp; rules</x:v>
      </x:c>
      <x:c r="E259" s="8" t="n">
        <x:v>0</x:v>
      </x:c>
      <x:c r="F259" s="8" t="n">
        <x:v>1</x:v>
      </x:c>
      <x:c r="G259" s="8" t="n">
        <x:v>0</x:v>
      </x:c>
      <x:c r="H259" s="8" t="n">
        <x:v>58</x:v>
      </x:c>
      <x:c r="I259" s="8" t="str">
        <x:v>Build</x:v>
      </x:c>
      <x:c r="J259" s="8" t="str">
        <x:v>0.05</x:v>
      </x:c>
      <x:c r="K259" s="8" t="str">
        <x:v>2026-06-14 to 2026-08-20</x:v>
      </x:c>
      <x:c r="L259" s="8" t="str">
        <x:v>OBSERVED</x:v>
      </x:c>
      <x:c r="M259" s="8" t="str">
        <x:v>FIRST-PARTY MEASUREMENT</x:v>
      </x:c>
      <x:c r="N259" s="8" t="str">
        <x:v>SRC-GSC-QUERIES</x:v>
      </x:c>
    </x:row>
    <x:row r="260" ht="48" customHeight="1">
      <x:c r="A260" s="9" t="str">
        <x:v>HQ256</x:v>
      </x:c>
      <x:c r="B260" s="9" t="str">
        <x:v>φθηνή ενοικίαση 10θέσιο νάξος</x:v>
      </x:c>
      <x:c r="C260" s="9" t="str">
        <x:v>Greek</x:v>
      </x:c>
      <x:c r="D260" s="9" t="str">
        <x:v>Price &amp; value</x:v>
      </x:c>
      <x:c r="E260" s="9" t="n">
        <x:v>0</x:v>
      </x:c>
      <x:c r="F260" s="9" t="n">
        <x:v>1</x:v>
      </x:c>
      <x:c r="G260" s="9" t="n">
        <x:v>0</x:v>
      </x:c>
      <x:c r="H260" s="9" t="n">
        <x:v>92</x:v>
      </x:c>
      <x:c r="I260" s="9" t="str">
        <x:v>Build</x:v>
      </x:c>
      <x:c r="J260" s="9" t="str">
        <x:v>0.05</x:v>
      </x:c>
      <x:c r="K260" s="9" t="str">
        <x:v>2026-06-14 to 2026-08-20</x:v>
      </x:c>
      <x:c r="L260" s="9" t="str">
        <x:v>OBSERVED</x:v>
      </x:c>
      <x:c r="M260" s="9" t="str">
        <x:v>FIRST-PARTY MEASUREMENT</x:v>
      </x:c>
      <x:c r="N260" s="9" t="str">
        <x:v>SRC-GSC-QUERIES</x:v>
      </x:c>
    </x:row>
    <x:row r="261" ht="48" customHeight="1">
      <x:c r="A261" s="8" t="str">
        <x:v>HQ257</x:v>
      </x:c>
      <x:c r="B261" s="8" t="str">
        <x:v>international driving permit</x:v>
      </x:c>
      <x:c r="C261" s="8" t="str">
        <x:v>English/Other</x:v>
      </x:c>
      <x:c r="D261" s="8" t="str">
        <x:v>Driving licence &amp; rules</x:v>
      </x:c>
      <x:c r="E261" s="8" t="n">
        <x:v>0</x:v>
      </x:c>
      <x:c r="F261" s="8" t="n">
        <x:v>1</x:v>
      </x:c>
      <x:c r="G261" s="8" t="n">
        <x:v>0</x:v>
      </x:c>
      <x:c r="H261" s="8" t="n">
        <x:v>95</x:v>
      </x:c>
      <x:c r="I261" s="8" t="str">
        <x:v>Build</x:v>
      </x:c>
      <x:c r="J261" s="8" t="str">
        <x:v>0.05</x:v>
      </x:c>
      <x:c r="K261" s="8" t="str">
        <x:v>2026-06-14 to 2026-08-20</x:v>
      </x:c>
      <x:c r="L261" s="8" t="str">
        <x:v>OBSERVED</x:v>
      </x:c>
      <x:c r="M261" s="8" t="str">
        <x:v>FIRST-PARTY MEASUREMENT</x:v>
      </x:c>
      <x:c r="N261" s="8" t="str">
        <x:v>SRC-GSC-QUERIES</x:v>
      </x:c>
    </x:row>
    <x:row r="262" ht="48" customHeight="1">
      <x:c r="A262" s="9" t="str">
        <x:v>HQ258</x:v>
      </x:c>
      <x:c r="B262" s="9" t="str">
        <x:v>car hire naxos landing pages</x:v>
      </x:c>
      <x:c r="C262" s="9" t="str">
        <x:v>English/Other</x:v>
      </x:c>
      <x:c r="D262" s="9" t="str">
        <x:v>Core car rental</x:v>
      </x:c>
      <x:c r="E262" s="9" t="n">
        <x:v>0</x:v>
      </x:c>
      <x:c r="F262" s="9" t="n">
        <x:v>1</x:v>
      </x:c>
      <x:c r="G262" s="9" t="n">
        <x:v>0</x:v>
      </x:c>
      <x:c r="H262" s="9" t="n">
        <x:v>98</x:v>
      </x:c>
      <x:c r="I262" s="9" t="str">
        <x:v>Build</x:v>
      </x:c>
      <x:c r="J262" s="9" t="str">
        <x:v>0.05</x:v>
      </x:c>
      <x:c r="K262" s="9" t="str">
        <x:v>2026-06-14 to 2026-08-20</x:v>
      </x:c>
      <x:c r="L262" s="9" t="str">
        <x:v>OBSERVED</x:v>
      </x:c>
      <x:c r="M262" s="9" t="str">
        <x:v>FIRST-PARTY MEASUREMENT</x:v>
      </x:c>
      <x:c r="N262" s="9" t="str">
        <x:v>SRC-GSC-QUERIES</x:v>
      </x:c>
    </x:row>
  </x:sheetData>
  <x:mergeCells>
    <x:mergeCell ref="A1:E1"/>
    <x:mergeCell ref="A2:F2"/>
  </x:mergeCells>
  <x:conditionalFormatting sqref="L5:L262">
    <x:cfRule type="containsText" dxfId="22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0e9d0e08f58f4859"/>
  </x:tableParts>
</x:worksheet>
</file>